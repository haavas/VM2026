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ken/Desktop/"/>
    </mc:Choice>
  </mc:AlternateContent>
  <xr:revisionPtr revIDLastSave="0" documentId="13_ncr:1_{F8B6DA65-C3C7-3845-AE16-3AA4293B5FF5}" xr6:coauthVersionLast="37" xr6:coauthVersionMax="47" xr10:uidLastSave="{00000000-0000-0000-0000-000000000000}"/>
  <bookViews>
    <workbookView xWindow="0" yWindow="500" windowWidth="28800" windowHeight="1584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S47" i="3"/>
  <c r="S67" i="3"/>
  <c r="S72" i="3"/>
  <c r="T20" i="3"/>
  <c r="T44" i="3"/>
  <c r="S70" i="3"/>
  <c r="S42" i="3"/>
  <c r="S64" i="3"/>
  <c r="T41" i="3"/>
  <c r="S40" i="3"/>
  <c r="S62" i="3"/>
  <c r="T61" i="3"/>
  <c r="S38" i="3"/>
  <c r="S65" i="3"/>
  <c r="S55" i="3"/>
  <c r="T11" i="3"/>
  <c r="T13" i="3"/>
  <c r="S57" i="3"/>
  <c r="T60" i="3"/>
  <c r="T29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9" i="3"/>
  <c r="AR69" i="3" l="1"/>
  <c r="AR70" i="3"/>
  <c r="AR33" i="3"/>
  <c r="AR35" i="3"/>
  <c r="AD57" i="3"/>
  <c r="AR71" i="3"/>
  <c r="AD71" i="3" s="1"/>
  <c r="AR34" i="3"/>
  <c r="AR22" i="3"/>
  <c r="AR27" i="3"/>
  <c r="AR75" i="3"/>
  <c r="AR28" i="3"/>
  <c r="AR76" i="3"/>
  <c r="AR29" i="3"/>
  <c r="AR41" i="3"/>
  <c r="AR77" i="3"/>
  <c r="AR21" i="3"/>
  <c r="AR65" i="3"/>
  <c r="AR40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/>
  <c r="AD8" i="3"/>
  <c r="AD10" i="3"/>
  <c r="AD11" i="3"/>
  <c r="AD33" i="3" l="1"/>
  <c r="AD69" i="3"/>
  <c r="AD35" i="3"/>
  <c r="AD34" i="3"/>
  <c r="AD68" i="3"/>
  <c r="O69" i="3" s="1"/>
  <c r="AD32" i="3"/>
  <c r="M33" i="3" s="1"/>
  <c r="AD70" i="3"/>
  <c r="AD27" i="3"/>
  <c r="L58" i="3"/>
  <c r="AD74" i="3"/>
  <c r="AD29" i="3"/>
  <c r="AD26" i="3"/>
  <c r="AD28" i="3"/>
  <c r="AD75" i="3"/>
  <c r="L76" i="3" s="1"/>
  <c r="AD21" i="3"/>
  <c r="AD77" i="3"/>
  <c r="AD76" i="3"/>
  <c r="AD20" i="3"/>
  <c r="AD47" i="3"/>
  <c r="AD22" i="3"/>
  <c r="AD39" i="3"/>
  <c r="AD63" i="3"/>
  <c r="AD41" i="3"/>
  <c r="AD53" i="3"/>
  <c r="O60" i="3"/>
  <c r="L59" i="3"/>
  <c r="N58" i="3"/>
  <c r="M58" i="3"/>
  <c r="AD14" i="3"/>
  <c r="O16" i="3" s="1"/>
  <c r="AD62" i="3"/>
  <c r="AD15" i="3"/>
  <c r="M59" i="3"/>
  <c r="AD44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O39" i="3" s="1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M22" i="3" l="1"/>
  <c r="M76" i="3"/>
  <c r="N76" i="3"/>
  <c r="L72" i="3"/>
  <c r="N69" i="3"/>
  <c r="O36" i="3"/>
  <c r="M69" i="3"/>
  <c r="L69" i="3"/>
  <c r="O34" i="3"/>
  <c r="M35" i="3"/>
  <c r="J69" i="3"/>
  <c r="AS68" i="3" s="1"/>
  <c r="BL70" i="3" s="1"/>
  <c r="O33" i="3"/>
  <c r="N22" i="3"/>
  <c r="L35" i="3"/>
  <c r="L22" i="3"/>
  <c r="P22" i="3" s="1"/>
  <c r="N34" i="3"/>
  <c r="L33" i="3"/>
  <c r="P33" i="3" s="1"/>
  <c r="N36" i="3"/>
  <c r="N33" i="3"/>
  <c r="N35" i="3"/>
  <c r="J33" i="3"/>
  <c r="AS32" i="3" s="1"/>
  <c r="BL10" i="3" s="1"/>
  <c r="J70" i="3"/>
  <c r="AS69" i="3" s="1"/>
  <c r="BL26" i="3" s="1"/>
  <c r="J22" i="3"/>
  <c r="AS21" i="3" s="1"/>
  <c r="BL23" i="3" s="1"/>
  <c r="L30" i="3"/>
  <c r="J71" i="3"/>
  <c r="AE90" i="3" s="1"/>
  <c r="AQ90" i="3" s="1"/>
  <c r="N72" i="3"/>
  <c r="L75" i="3"/>
  <c r="L34" i="3"/>
  <c r="J34" i="3"/>
  <c r="AS33" i="3" s="1"/>
  <c r="BL46" i="3" s="1"/>
  <c r="O35" i="3"/>
  <c r="J36" i="3"/>
  <c r="L71" i="3"/>
  <c r="M72" i="3"/>
  <c r="M34" i="3"/>
  <c r="L36" i="3"/>
  <c r="J35" i="3"/>
  <c r="AE84" i="3" s="1"/>
  <c r="AQ84" i="3" s="1"/>
  <c r="N71" i="3"/>
  <c r="M36" i="3"/>
  <c r="M71" i="3"/>
  <c r="O71" i="3"/>
  <c r="O70" i="3"/>
  <c r="N75" i="3"/>
  <c r="J72" i="3"/>
  <c r="O72" i="3"/>
  <c r="N70" i="3"/>
  <c r="L70" i="3"/>
  <c r="J75" i="3"/>
  <c r="AS74" i="3" s="1"/>
  <c r="BL54" i="3" s="1"/>
  <c r="O75" i="3"/>
  <c r="M70" i="3"/>
  <c r="P58" i="3"/>
  <c r="O30" i="3"/>
  <c r="O76" i="3"/>
  <c r="L63" i="3"/>
  <c r="M30" i="3"/>
  <c r="M75" i="3"/>
  <c r="L27" i="3"/>
  <c r="M27" i="3"/>
  <c r="J27" i="3"/>
  <c r="AS26" i="3" s="1"/>
  <c r="BL34" i="3" s="1"/>
  <c r="N27" i="3"/>
  <c r="N29" i="3"/>
  <c r="J63" i="3"/>
  <c r="AS62" i="3" s="1"/>
  <c r="BL58" i="3" s="1"/>
  <c r="BS60" i="3" s="1"/>
  <c r="BZ64" i="3" s="1"/>
  <c r="N30" i="3"/>
  <c r="J30" i="3"/>
  <c r="O77" i="3"/>
  <c r="J76" i="3"/>
  <c r="AS75" i="3" s="1"/>
  <c r="BL27" i="3" s="1"/>
  <c r="O27" i="3"/>
  <c r="O64" i="3"/>
  <c r="M64" i="3"/>
  <c r="L64" i="3"/>
  <c r="M29" i="3"/>
  <c r="J28" i="3"/>
  <c r="AS27" i="3" s="1"/>
  <c r="BL62" i="3" s="1"/>
  <c r="BS61" i="3" s="1"/>
  <c r="N45" i="3"/>
  <c r="N78" i="3"/>
  <c r="M28" i="3"/>
  <c r="O28" i="3"/>
  <c r="J29" i="3"/>
  <c r="AE83" i="3" s="1"/>
  <c r="AQ83" i="3" s="1"/>
  <c r="L28" i="3"/>
  <c r="J51" i="3"/>
  <c r="AS50" i="3" s="1"/>
  <c r="BL30" i="3" s="1"/>
  <c r="L77" i="3"/>
  <c r="J78" i="3"/>
  <c r="N77" i="3"/>
  <c r="L78" i="3"/>
  <c r="M78" i="3"/>
  <c r="O78" i="3"/>
  <c r="M77" i="3"/>
  <c r="J77" i="3"/>
  <c r="AE91" i="3" s="1"/>
  <c r="AQ91" i="3" s="1"/>
  <c r="N28" i="3"/>
  <c r="O29" i="3"/>
  <c r="O52" i="3"/>
  <c r="L29" i="3"/>
  <c r="M18" i="3"/>
  <c r="O24" i="3"/>
  <c r="O45" i="3"/>
  <c r="L45" i="3"/>
  <c r="L39" i="3"/>
  <c r="J39" i="3"/>
  <c r="AS38" i="3" s="1"/>
  <c r="BL22" i="3" s="1"/>
  <c r="P59" i="3"/>
  <c r="O22" i="3"/>
  <c r="AI88" i="3"/>
  <c r="N66" i="3"/>
  <c r="AH88" i="3"/>
  <c r="AG88" i="3"/>
  <c r="L23" i="3"/>
  <c r="O40" i="3"/>
  <c r="AF88" i="3"/>
  <c r="L24" i="3"/>
  <c r="M16" i="3"/>
  <c r="N40" i="3"/>
  <c r="L40" i="3"/>
  <c r="M40" i="3"/>
  <c r="N16" i="3"/>
  <c r="O42" i="3"/>
  <c r="L66" i="3"/>
  <c r="O21" i="3"/>
  <c r="L21" i="3"/>
  <c r="O66" i="3"/>
  <c r="J24" i="3"/>
  <c r="L16" i="3"/>
  <c r="M66" i="3"/>
  <c r="J21" i="3"/>
  <c r="AS20" i="3" s="1"/>
  <c r="BL42" i="3" s="1"/>
  <c r="BS44" i="3" s="1"/>
  <c r="BZ48" i="3" s="1"/>
  <c r="N64" i="3"/>
  <c r="N21" i="3"/>
  <c r="O65" i="3"/>
  <c r="L41" i="3"/>
  <c r="J64" i="3"/>
  <c r="AS63" i="3" s="1"/>
  <c r="BL31" i="3" s="1"/>
  <c r="N65" i="3"/>
  <c r="N63" i="3"/>
  <c r="N24" i="3"/>
  <c r="L18" i="3"/>
  <c r="J65" i="3"/>
  <c r="AE89" i="3" s="1"/>
  <c r="AQ89" i="3" s="1"/>
  <c r="M65" i="3"/>
  <c r="M63" i="3"/>
  <c r="N41" i="3"/>
  <c r="M24" i="3"/>
  <c r="N18" i="3"/>
  <c r="M54" i="3"/>
  <c r="O63" i="3"/>
  <c r="J66" i="3"/>
  <c r="L65" i="3"/>
  <c r="M21" i="3"/>
  <c r="O18" i="3"/>
  <c r="J40" i="3"/>
  <c r="AS39" i="3" s="1"/>
  <c r="BL43" i="3" s="1"/>
  <c r="M53" i="3"/>
  <c r="N51" i="3"/>
  <c r="M45" i="3"/>
  <c r="N53" i="3"/>
  <c r="J45" i="3"/>
  <c r="AS44" i="3" s="1"/>
  <c r="BL38" i="3" s="1"/>
  <c r="J42" i="3"/>
  <c r="M52" i="3"/>
  <c r="N52" i="3"/>
  <c r="O51" i="3"/>
  <c r="O54" i="3"/>
  <c r="L46" i="3"/>
  <c r="L54" i="3"/>
  <c r="P57" i="3"/>
  <c r="L17" i="3"/>
  <c r="L51" i="3"/>
  <c r="J52" i="3"/>
  <c r="AS51" i="3" s="1"/>
  <c r="BL59" i="3" s="1"/>
  <c r="M51" i="3"/>
  <c r="O53" i="3"/>
  <c r="M39" i="3"/>
  <c r="N39" i="3"/>
  <c r="M47" i="3"/>
  <c r="O46" i="3"/>
  <c r="N48" i="3"/>
  <c r="L47" i="3"/>
  <c r="K57" i="3"/>
  <c r="O47" i="3"/>
  <c r="M46" i="3"/>
  <c r="O23" i="3"/>
  <c r="J23" i="3"/>
  <c r="AE82" i="3" s="1"/>
  <c r="AQ82" i="3" s="1"/>
  <c r="J16" i="3"/>
  <c r="AS15" i="3" s="1"/>
  <c r="BL19" i="3" s="1"/>
  <c r="K59" i="3"/>
  <c r="L48" i="3"/>
  <c r="J46" i="3"/>
  <c r="AS45" i="3" s="1"/>
  <c r="BL63" i="3" s="1"/>
  <c r="O17" i="3"/>
  <c r="N46" i="3"/>
  <c r="N47" i="3"/>
  <c r="M48" i="3"/>
  <c r="O48" i="3"/>
  <c r="J47" i="3"/>
  <c r="AE86" i="3" s="1"/>
  <c r="AQ86" i="3" s="1"/>
  <c r="M41" i="3"/>
  <c r="N23" i="3"/>
  <c r="N54" i="3"/>
  <c r="J17" i="3"/>
  <c r="AE81" i="3" s="1"/>
  <c r="AQ81" i="3" s="1"/>
  <c r="AJ88" i="3"/>
  <c r="O41" i="3"/>
  <c r="J54" i="3"/>
  <c r="J48" i="3"/>
  <c r="J41" i="3"/>
  <c r="AE85" i="3" s="1"/>
  <c r="AQ85" i="3" s="1"/>
  <c r="J18" i="3"/>
  <c r="L15" i="3"/>
  <c r="K58" i="3"/>
  <c r="L42" i="3"/>
  <c r="M42" i="3"/>
  <c r="J53" i="3"/>
  <c r="AE87" i="3" s="1"/>
  <c r="AQ87" i="3" s="1"/>
  <c r="L53" i="3"/>
  <c r="AT88" i="3"/>
  <c r="N15" i="3"/>
  <c r="L52" i="3"/>
  <c r="M23" i="3"/>
  <c r="N17" i="3"/>
  <c r="AN88" i="3"/>
  <c r="M17" i="3"/>
  <c r="P17" i="3" s="1"/>
  <c r="AL88" i="3"/>
  <c r="N42" i="3"/>
  <c r="P60" i="3"/>
  <c r="K60" i="3"/>
  <c r="M15" i="3"/>
  <c r="O15" i="3"/>
  <c r="J15" i="3"/>
  <c r="AS14" i="3" s="1"/>
  <c r="BL66" i="3" s="1"/>
  <c r="P76" i="3"/>
  <c r="K76" i="3"/>
  <c r="P34" i="3"/>
  <c r="AF84" i="3"/>
  <c r="AG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S87" i="3" l="1"/>
  <c r="T87" i="3" s="1" a="1"/>
  <c r="T87" i="3" s="1"/>
  <c r="BS29" i="3"/>
  <c r="S88" i="3"/>
  <c r="T88" i="3" s="1" a="1"/>
  <c r="T88" i="3" s="1"/>
  <c r="BS20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AN83" i="3"/>
  <c r="AT83" i="3"/>
  <c r="AT84" i="3"/>
  <c r="AN84" i="3"/>
  <c r="AL84" i="3"/>
  <c r="AJ84" i="3"/>
  <c r="AI84" i="3"/>
  <c r="AH84" i="3"/>
  <c r="P72" i="3"/>
  <c r="AL90" i="3"/>
  <c r="AJ90" i="3"/>
  <c r="AI90" i="3"/>
  <c r="AH90" i="3"/>
  <c r="K34" i="3"/>
  <c r="AG90" i="3"/>
  <c r="AF90" i="3"/>
  <c r="K72" i="3"/>
  <c r="AN90" i="3"/>
  <c r="P36" i="3"/>
  <c r="K33" i="3"/>
  <c r="P65" i="3"/>
  <c r="AT90" i="3"/>
  <c r="K22" i="3"/>
  <c r="P69" i="3"/>
  <c r="K27" i="3"/>
  <c r="K69" i="3"/>
  <c r="P27" i="3"/>
  <c r="K30" i="3"/>
  <c r="P70" i="3"/>
  <c r="P35" i="3"/>
  <c r="K35" i="3"/>
  <c r="P30" i="3"/>
  <c r="K36" i="3"/>
  <c r="AI83" i="3"/>
  <c r="K70" i="3"/>
  <c r="P46" i="3"/>
  <c r="AF83" i="3"/>
  <c r="P75" i="3"/>
  <c r="P71" i="3"/>
  <c r="P63" i="3"/>
  <c r="K75" i="3"/>
  <c r="K71" i="3"/>
  <c r="P28" i="3"/>
  <c r="AL83" i="3"/>
  <c r="P64" i="3"/>
  <c r="AJ83" i="3"/>
  <c r="AH83" i="3"/>
  <c r="AG83" i="3"/>
  <c r="K29" i="3"/>
  <c r="K64" i="3"/>
  <c r="AI82" i="3"/>
  <c r="P53" i="3"/>
  <c r="P29" i="3"/>
  <c r="AG91" i="3"/>
  <c r="P77" i="3"/>
  <c r="K28" i="3"/>
  <c r="AH82" i="3"/>
  <c r="P21" i="3"/>
  <c r="P78" i="3"/>
  <c r="P39" i="3"/>
  <c r="K18" i="3"/>
  <c r="P66" i="3"/>
  <c r="P24" i="3"/>
  <c r="AT89" i="3"/>
  <c r="K77" i="3"/>
  <c r="P18" i="3"/>
  <c r="AN89" i="3"/>
  <c r="AJ89" i="3"/>
  <c r="K78" i="3"/>
  <c r="K40" i="3"/>
  <c r="K45" i="3"/>
  <c r="P40" i="3"/>
  <c r="AT91" i="3"/>
  <c r="AN91" i="3"/>
  <c r="K21" i="3"/>
  <c r="AF91" i="3"/>
  <c r="P45" i="3"/>
  <c r="AL91" i="3"/>
  <c r="AJ91" i="3"/>
  <c r="AI91" i="3"/>
  <c r="AH91" i="3"/>
  <c r="K63" i="3"/>
  <c r="K16" i="3"/>
  <c r="P54" i="3"/>
  <c r="AT85" i="3"/>
  <c r="AI89" i="3"/>
  <c r="AN85" i="3"/>
  <c r="AF89" i="3"/>
  <c r="AL85" i="3"/>
  <c r="P16" i="3"/>
  <c r="AL89" i="3"/>
  <c r="AF86" i="3"/>
  <c r="K23" i="3"/>
  <c r="K66" i="3"/>
  <c r="K24" i="3"/>
  <c r="K46" i="3"/>
  <c r="AL86" i="3"/>
  <c r="AG86" i="3"/>
  <c r="K39" i="3"/>
  <c r="AI81" i="3"/>
  <c r="AF82" i="3"/>
  <c r="AH89" i="3"/>
  <c r="P41" i="3"/>
  <c r="AL81" i="3"/>
  <c r="AJ81" i="3"/>
  <c r="P23" i="3"/>
  <c r="AF81" i="3"/>
  <c r="AG89" i="3"/>
  <c r="K54" i="3"/>
  <c r="AJ85" i="3"/>
  <c r="P51" i="3"/>
  <c r="P15" i="3"/>
  <c r="AI85" i="3"/>
  <c r="AJ86" i="3"/>
  <c r="AT81" i="3"/>
  <c r="AN81" i="3"/>
  <c r="K41" i="3"/>
  <c r="AI86" i="3"/>
  <c r="P48" i="3"/>
  <c r="AH86" i="3"/>
  <c r="K53" i="3"/>
  <c r="AT87" i="3"/>
  <c r="K17" i="3"/>
  <c r="AJ82" i="3"/>
  <c r="AH81" i="3"/>
  <c r="AT82" i="3"/>
  <c r="AJ87" i="3"/>
  <c r="P42" i="3"/>
  <c r="AL87" i="3"/>
  <c r="K15" i="3"/>
  <c r="AG81" i="3"/>
  <c r="AN82" i="3"/>
  <c r="AI87" i="3"/>
  <c r="K65" i="3"/>
  <c r="AN87" i="3"/>
  <c r="AL82" i="3"/>
  <c r="K48" i="3"/>
  <c r="K47" i="3"/>
  <c r="K51" i="3"/>
  <c r="AH85" i="3"/>
  <c r="AH87" i="3"/>
  <c r="AG85" i="3"/>
  <c r="AT86" i="3"/>
  <c r="P47" i="3"/>
  <c r="AG87" i="3"/>
  <c r="P52" i="3"/>
  <c r="AG82" i="3"/>
  <c r="AF85" i="3"/>
  <c r="AN86" i="3"/>
  <c r="AF87" i="3"/>
  <c r="K42" i="3"/>
  <c r="K52" i="3"/>
  <c r="S98" i="3" l="1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AJ92" i="3"/>
  <c r="AS92" i="3"/>
  <c r="AF92" i="3"/>
  <c r="AI92" i="3"/>
  <c r="AL92" i="3"/>
  <c r="AM88" i="3" s="1"/>
  <c r="AN92" i="3"/>
  <c r="AH92" i="3"/>
  <c r="AG92" i="3"/>
  <c r="S103" i="3" l="1"/>
  <c r="T103" i="3" s="1" a="1"/>
  <c r="T103" i="3" s="1"/>
  <c r="CG24" i="3"/>
  <c r="CN48" i="3" s="1"/>
  <c r="AM85" i="3"/>
  <c r="AM86" i="3"/>
  <c r="AM87" i="3"/>
  <c r="AM81" i="3"/>
  <c r="AM80" i="3"/>
  <c r="AM89" i="3"/>
  <c r="AM91" i="3"/>
  <c r="AM83" i="3"/>
  <c r="AM90" i="3"/>
  <c r="AM84" i="3"/>
  <c r="AM82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4" i="3"/>
  <c r="AP86" i="3"/>
  <c r="AP89" i="3"/>
  <c r="AP90" i="3"/>
  <c r="AP88" i="3"/>
  <c r="AP82" i="3"/>
  <c r="S102" i="3" l="1"/>
  <c r="T102" i="3" s="1" a="1"/>
  <c r="T102" i="3" s="1"/>
  <c r="CG23" i="3"/>
  <c r="AP80" i="3"/>
  <c r="AP85" i="3"/>
  <c r="AP91" i="3"/>
  <c r="AP83" i="3"/>
  <c r="AP81" i="3"/>
  <c r="AD82" i="3" s="1"/>
  <c r="AS82" i="3" s="1"/>
  <c r="AD84" i="3"/>
  <c r="AS84" i="3" s="1"/>
  <c r="CN37" i="3" l="1"/>
  <c r="CK68" i="3" s="1"/>
  <c r="S111" i="3"/>
  <c r="T111" i="3" s="1"/>
  <c r="AD83" i="3"/>
  <c r="AS83" i="3" s="1"/>
  <c r="AD86" i="3"/>
  <c r="AS86" i="3" s="1"/>
  <c r="AD89" i="3"/>
  <c r="AS89" i="3" s="1"/>
  <c r="AD85" i="3"/>
  <c r="AS85" i="3" s="1"/>
  <c r="AD81" i="3"/>
  <c r="AS81" i="3" s="1"/>
  <c r="AD80" i="3"/>
  <c r="AS80" i="3" s="1"/>
  <c r="AD87" i="3"/>
  <c r="AS87" i="3" s="1"/>
  <c r="AD91" i="3"/>
  <c r="AS91" i="3" s="1"/>
  <c r="AD88" i="3"/>
  <c r="AS88" i="3" s="1"/>
  <c r="AD90" i="3"/>
  <c r="AS90" i="3" s="1"/>
  <c r="N81" i="3" l="1"/>
  <c r="O87" i="3"/>
  <c r="M81" i="3"/>
  <c r="L87" i="3"/>
  <c r="M86" i="3"/>
  <c r="M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90" i="3"/>
  <c r="L81" i="3"/>
  <c r="L90" i="3"/>
  <c r="M88" i="3"/>
  <c r="O91" i="3"/>
  <c r="L86" i="3"/>
  <c r="J86" i="3"/>
  <c r="O85" i="3"/>
  <c r="J81" i="3"/>
  <c r="J85" i="3"/>
  <c r="L85" i="3"/>
  <c r="N91" i="3"/>
  <c r="N85" i="3"/>
  <c r="J89" i="3"/>
  <c r="O84" i="3"/>
  <c r="L89" i="3"/>
  <c r="N82" i="3"/>
  <c r="J82" i="3"/>
  <c r="L82" i="3"/>
  <c r="M91" i="3"/>
  <c r="O82" i="3"/>
  <c r="J91" i="3"/>
  <c r="O81" i="3"/>
  <c r="O86" i="3"/>
  <c r="L88" i="3"/>
  <c r="M84" i="3"/>
  <c r="N89" i="3"/>
  <c r="O89" i="3"/>
  <c r="J87" i="3"/>
  <c r="L92" i="3"/>
  <c r="M92" i="3"/>
  <c r="M89" i="3"/>
  <c r="N86" i="3"/>
  <c r="M90" i="3"/>
  <c r="N87" i="3"/>
  <c r="J88" i="3"/>
  <c r="M87" i="3"/>
  <c r="N83" i="3"/>
  <c r="N84" i="3"/>
  <c r="M83" i="3"/>
  <c r="O88" i="3"/>
  <c r="O90" i="3"/>
  <c r="L91" i="3"/>
  <c r="L83" i="3"/>
  <c r="O83" i="3"/>
  <c r="J84" i="3"/>
  <c r="N88" i="3"/>
  <c r="J83" i="3"/>
  <c r="N92" i="3"/>
  <c r="O92" i="3"/>
  <c r="N90" i="3"/>
  <c r="L84" i="3"/>
  <c r="M85" i="3"/>
  <c r="J92" i="3"/>
  <c r="K81" i="3" l="1"/>
  <c r="P86" i="3"/>
  <c r="P81" i="3"/>
  <c r="P82" i="3"/>
  <c r="K86" i="3"/>
  <c r="P88" i="3"/>
  <c r="P90" i="3"/>
  <c r="P84" i="3"/>
  <c r="K90" i="3"/>
  <c r="P91" i="3"/>
  <c r="K87" i="3"/>
  <c r="K88" i="3"/>
  <c r="P85" i="3"/>
  <c r="P92" i="3"/>
  <c r="P87" i="3"/>
  <c r="K89" i="3"/>
  <c r="P89" i="3"/>
  <c r="K82" i="3"/>
  <c r="K84" i="3"/>
  <c r="K91" i="3"/>
  <c r="K83" i="3"/>
  <c r="K92" i="3"/>
  <c r="K85" i="3"/>
  <c r="J3" i="4"/>
  <c r="BL71" i="3" s="1"/>
  <c r="P83" i="3"/>
  <c r="H3" i="4"/>
  <c r="BL39" i="3" s="1"/>
  <c r="D3" i="4"/>
  <c r="BL51" i="3" s="1"/>
  <c r="B3" i="4"/>
  <c r="G3" i="4"/>
  <c r="BL11" i="3" s="1"/>
  <c r="I3" i="4"/>
  <c r="BL15" i="3" s="1"/>
  <c r="K3" i="4"/>
  <c r="BL55" i="3" s="1"/>
  <c r="E3" i="4"/>
  <c r="BL67" i="3" s="1"/>
  <c r="BS53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<sst xmlns="http://schemas.openxmlformats.org/spreadsheetml/2006/main" count="9786" uniqueCount="3698">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</sst>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P24" zoomScaleNormal="100" workbookViewId="0">
      <selection activeCell="G21" sqref="G21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1.5952443392889595E-9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49805928.873193771</v>
      </c>
      <c r="AQ10" s="126">
        <f>VLOOKUP(AE10,db_fifarank,2,FALSE)</f>
        <v>1588.66</v>
      </c>
      <c r="AR10" s="125">
        <f>AP10/AP12</f>
        <v>0.55339914293772319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6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49805929.873150133</v>
      </c>
      <c r="AQ11" s="126">
        <f>VLOOKUP(AE11,db_fifarank,2,FALSE)</f>
        <v>1501.38</v>
      </c>
      <c r="AR11" s="125">
        <f>AP11/AP12</f>
        <v>0.55339915404834805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8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60000007.381730624</v>
      </c>
      <c r="AQ14" s="126">
        <f>VLOOKUP(AE14,db_fifarank,2,FALSE)</f>
        <v>1556.48</v>
      </c>
      <c r="AR14" s="125">
        <f>AP14/AP18</f>
        <v>0.66666666702193855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5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30000004.595931016</v>
      </c>
      <c r="AQ15" s="126">
        <f>VLOOKUP(AE15,db_fifarank,2,FALSE)</f>
        <v>1385.84</v>
      </c>
      <c r="AR15" s="125">
        <f>AP15/AP18</f>
        <v>0.33333334356725364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8.0831101209629716E-12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90000010.024634227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-6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90000011.024634227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90000010.26476948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60000008.167544596</v>
      </c>
      <c r="AQ21" s="126">
        <f>VLOOKUP(AE21,db_fifarank,2,FALSE)</f>
        <v>1755.87</v>
      </c>
      <c r="AR21" s="125">
        <f>AP21/AP24</f>
        <v>0.66666667397442436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7.176165768468298E-12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30000006.070193619</v>
      </c>
      <c r="AQ23" s="126">
        <f>VLOOKUP(AE23,db_fifarank,2,FALSE)</f>
        <v>1498.35</v>
      </c>
      <c r="AR23" s="125">
        <f>AP23/AP24</f>
        <v>0.33333335905855743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-9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60000006.429407999</v>
      </c>
      <c r="AQ26" s="126">
        <f>VLOOKUP(AE26,db_fifarank,2,FALSE)</f>
        <v>1673.13</v>
      </c>
      <c r="AR26" s="125">
        <f>AP26/AP30</f>
        <v>0.66666666084993442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5</v>
      </c>
      <c r="AL27" s="123">
        <f>AI27-AJ27</f>
        <v>-1</v>
      </c>
      <c r="AM27" s="123">
        <f>AL27-AL30</f>
        <v>2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30000003.429323178</v>
      </c>
      <c r="AQ27" s="126">
        <f>VLOOKUP(AE27,db_fifarank,2,FALSE)</f>
        <v>1503.5</v>
      </c>
      <c r="AR27" s="125">
        <f>AP27/AP30</f>
        <v>0.33333333280962446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0.42936176357142852</v>
      </c>
      <c r="AQ28" s="126">
        <f>VLOOKUP(AE28,db_fifarank,2,FALSE)</f>
        <v>1580.67</v>
      </c>
      <c r="AR28" s="125">
        <f>AP28/AP30</f>
        <v>4.77068570906864E-9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6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90000009.42937094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3 - 6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-3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90000010.42937094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90000010.20919852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7.1924991041983299E-12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30000004.37576649</v>
      </c>
      <c r="AQ34" s="126">
        <f>VLOOKUP(AE34,db_fifarank,2,FALSE)</f>
        <v>1532.98</v>
      </c>
      <c r="AR34" s="125">
        <f>AP34/AP36</f>
        <v>0.33333334043741003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8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60000005.834130727</v>
      </c>
      <c r="AQ35" s="126">
        <f>VLOOKUP(AE35,db_fifarank,2,FALSE)</f>
        <v>1594.78</v>
      </c>
      <c r="AR35" s="125">
        <f>AP35/AP36</f>
        <v>0.6666666484592435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90000009.746910676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60000006.270671487</v>
      </c>
      <c r="AQ39" s="126">
        <f>VLOOKUP(AE39,db_fifarank,2,FALSE)</f>
        <v>1660.43</v>
      </c>
      <c r="AR39" s="125">
        <f>AP39/AP42</f>
        <v>0.66666665673404968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30000003.905519288</v>
      </c>
      <c r="AQ40" s="126">
        <f>VLOOKUP(AE40,db_fifarank,2,FALSE)</f>
        <v>1514.77</v>
      </c>
      <c r="AR40" s="125">
        <f>AP40/AP42</f>
        <v>0.33333333692461881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0.28645581071428572</v>
      </c>
      <c r="AQ41" s="126">
        <f>VLOOKUP(AE41,db_fifarank,2,FALSE)</f>
        <v>1483.05</v>
      </c>
      <c r="AR41" s="125">
        <f>AP41/AP42</f>
        <v>3.182841961206305E-9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90000010.746910676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0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90000010.024676874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60000005.572210193</v>
      </c>
      <c r="AQ45" s="126">
        <f>VLOOKUP(AE45,db_fifarank,2,FALSE)</f>
        <v>1563.24</v>
      </c>
      <c r="AR45" s="125">
        <f>AP45/AP48</f>
        <v>0.66666664691584254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30000002.929379079</v>
      </c>
      <c r="AQ46" s="126">
        <f>VLOOKUP(AE46,db_fifarank,2,FALSE)</f>
        <v>1615.3</v>
      </c>
      <c r="AR46" s="125">
        <f>AP46/AP48</f>
        <v>0.33333332504985419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1.5944212253240448E-9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90000011.024676874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90000010.209271535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7.5896101658444323E-12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4</v>
      </c>
      <c r="AL52" s="123">
        <f>AI52-AJ52</f>
        <v>-2</v>
      </c>
      <c r="AM52" s="123">
        <f>AL52-AL54</f>
        <v>6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30000004.250710715</v>
      </c>
      <c r="AQ52" s="126">
        <f>VLOOKUP(AE52,db_fifarank,2,FALSE)</f>
        <v>1421.43</v>
      </c>
      <c r="AR52" s="125">
        <f>AP52/AP54</f>
        <v>0.33333333904763118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60000008.750836536</v>
      </c>
      <c r="AQ53" s="126">
        <f>VLOOKUP(AE53,db_fifarank,2,FALSE)</f>
        <v>1673.07</v>
      </c>
      <c r="AR53" s="125">
        <f>AP53/AP54</f>
        <v>0.66666668086654102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-8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90000011.209271535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8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30000006.215130206</v>
      </c>
      <c r="AQ57" s="126">
        <f>VLOOKUP(AE57,db_fifarank,2,FALSE)</f>
        <v>1688.99</v>
      </c>
      <c r="AR57" s="125">
        <f>AP57/AP60</f>
        <v>0.33333336105087685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11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60000008.60791833</v>
      </c>
      <c r="AQ59" s="126">
        <f>VLOOKUP(AE59,db_fifarank,2,FALSE)</f>
        <v>1550.94</v>
      </c>
      <c r="AR59" s="125">
        <f>AP59/AP60</f>
        <v>0.66666667963129145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90000010.223159641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5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30000003.667448793</v>
      </c>
      <c r="AQ63" s="126">
        <f>VLOOKUP(AE63,db_fifarank,2,FALSE)</f>
        <v>1564.26</v>
      </c>
      <c r="AR63" s="125">
        <f>AP63/AP66</f>
        <v>0.33333333251550651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6 - 4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4</v>
      </c>
      <c r="AL64" s="123">
        <f>AI64-AJ64</f>
        <v>2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60000006.667463392</v>
      </c>
      <c r="AQ64" s="126">
        <f>VLOOKUP(AE64,db_fifarank,2,FALSE)</f>
        <v>1593.45</v>
      </c>
      <c r="AR64" s="125">
        <f>AP64/AP66</f>
        <v>0.66666665761507848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8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0.1118068361111111</v>
      </c>
      <c r="AQ65" s="126">
        <f>VLOOKUP(AE65,db_fifarank,2,FALSE)</f>
        <v>1391.45</v>
      </c>
      <c r="AR65" s="125">
        <f>AP65/AP66</f>
        <v>1.2422980240955784E-9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1 - 8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9</v>
      </c>
      <c r="AL66" s="123">
        <f>MIN(AL62:AL65)</f>
        <v>-7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90000011.223159641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Ivory Coast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1</v>
      </c>
      <c r="AL68" s="123">
        <f>AI68-AJ68</f>
        <v>10</v>
      </c>
      <c r="AM68" s="123">
        <f>AL68-AL72</f>
        <v>18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90000010.391232789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11 - 1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8</v>
      </c>
      <c r="AL69" s="123">
        <f>AI69-AJ69</f>
        <v>-6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30000001.220037423</v>
      </c>
      <c r="AQ69" s="126">
        <f>VLOOKUP(AE69,db_fifarank,2,FALSE)</f>
        <v>1478.35</v>
      </c>
      <c r="AR69" s="125">
        <f>AP69/AP72</f>
        <v>0.33333330469955724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9</v>
      </c>
      <c r="AL70" s="123">
        <f>AI70-AJ70</f>
        <v>-8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8.4066003333333333E-2</v>
      </c>
      <c r="AQ70" s="126">
        <f>VLOOKUP(AE70,db_fifarank,2,FALSE)</f>
        <v>1465.34</v>
      </c>
      <c r="AR70" s="125">
        <f>AP70/AP72</f>
        <v>9.3406658547959358E-10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2 - 8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12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60000006.899969354</v>
      </c>
      <c r="AQ71" s="126">
        <f>VLOOKUP(AE71,db_fifarank,2,FALSE)</f>
        <v>1693.09</v>
      </c>
      <c r="AR71" s="125">
        <f>AP71/AP72</f>
        <v>0.66666665895349164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1 - 9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12</v>
      </c>
      <c r="AL72" s="123">
        <f>MIN(AL68:AL71)</f>
        <v>-8</v>
      </c>
      <c r="AM72" s="123">
        <f>MAX(AM68:AM71)+1</f>
        <v>19</v>
      </c>
      <c r="AN72" s="123">
        <f>MAX(AN68:AN71)+1</f>
        <v>10</v>
      </c>
      <c r="AO72" s="123">
        <f>MAX(AO68:AO71)+1</f>
        <v>10</v>
      </c>
      <c r="AP72" s="123">
        <f>MAX(AP68:AP71)+1</f>
        <v>90000011.391232789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90000010.106682211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9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60000007.548935458</v>
      </c>
      <c r="AQ75" s="126">
        <f>VLOOKUP(AE75,db_fifarank,2,FALSE)</f>
        <v>1717.07</v>
      </c>
      <c r="AR75" s="125">
        <f>AP75/AP78</f>
        <v>0.66666666827200705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7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30000005.88528854</v>
      </c>
      <c r="AQ76" s="126">
        <f>VLOOKUP(AE76,db_fifarank,2,FALSE)</f>
        <v>1346.31</v>
      </c>
      <c r="AR76" s="125">
        <f>AP76/AP78</f>
        <v>0.33333335758956517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8.5591100548520515E-12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90000011.106682211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6</v>
      </c>
      <c r="AN80" s="123">
        <f>VLOOKUP($AE80,$AE$8:$AQ$78,10,FALSE)</f>
        <v>4</v>
      </c>
      <c r="AP80" s="123">
        <f>AN80/AN92*10000+AM80/AM92*1000+AI80/AI92*100+IF(AQ80=0,ROW(),AQ80)/2000000</f>
        <v>8937.1436514728575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Korea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6774.2864072057146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6937.1436063178571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6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3</v>
      </c>
      <c r="AP83" s="123">
        <f>AN83/AN92*10000+AM83/AM92*1000+AI83/AI92*100+IF(AQ83=0,ROW(),AQ83)/2000000</f>
        <v>6794.2864660357145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6774.2864807757151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6794.2864716707145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Ⓓ Paraguay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6631.4293790785714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4</v>
      </c>
      <c r="AK87" s="123" t="s">
        <v>3188</v>
      </c>
      <c r="AL87" s="123">
        <f t="shared" si="43"/>
        <v>-2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6611.429282143572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3</v>
      </c>
      <c r="AP88" s="123">
        <f>AN88/AN92*10000+AM88/AM92*1000+AI88/AI92*100+IF(AQ88=0,ROW(),AQ88)/2000000</f>
        <v>6937.1437016378568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4</v>
      </c>
      <c r="AN89" s="123">
        <f t="shared" si="45"/>
        <v>3</v>
      </c>
      <c r="AP89" s="123">
        <f>AN89/AN92*10000+AM89/AM92*1000+AI89/AI92*100+IF(AQ89=0,ROW(),AQ89)/2000000</f>
        <v>6631.4293535585712</v>
      </c>
      <c r="AQ89" s="126">
        <f t="shared" si="37"/>
        <v>1564.26</v>
      </c>
      <c r="AR89" s="125" t="str">
        <f t="shared" si="50"/>
        <v>ABCDEFI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8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6040.0007391749996</v>
      </c>
      <c r="AQ90" s="126">
        <f t="shared" si="37"/>
        <v>1478.35</v>
      </c>
      <c r="AR90" s="125" t="str">
        <f t="shared" si="50"/>
        <v>ABCDEFI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3</v>
      </c>
      <c r="AP91" s="123">
        <f>AN91/AN92*10000+AM91/AM92*1000+AI91/AI92*100+IF(AQ91=0,ROW(),AQ91)/2000000</f>
        <v>6937.1435302978571</v>
      </c>
      <c r="AQ91" s="126">
        <f t="shared" si="37"/>
        <v>1346.31</v>
      </c>
      <c r="AR91" s="125" t="str">
        <f t="shared" si="50"/>
        <v>ABCDEFIL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3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9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6">
      <formula>IF(AND(AA7=0,AB7=-1),1,0)</formula>
    </cfRule>
    <cfRule type="expression" dxfId="226" priority="347">
      <formula>IF(AND(AA7=1,AB7=-1),1,0)</formula>
    </cfRule>
    <cfRule type="expression" dxfId="225" priority="348">
      <formula>IF(AND(AA7=0,AB7=1),1,0)</formula>
    </cfRule>
    <cfRule type="expression" dxfId="224" priority="349">
      <formula>IF(AND(AA7=1,AB7=1),1,0)</formula>
    </cfRule>
    <cfRule type="expression" dxfId="223" priority="350">
      <formula>IF(AND(AA7=0,AB7=0),1,0)</formula>
    </cfRule>
    <cfRule type="expression" dxfId="222" priority="351">
      <formula>IF(AND(AA7=1,AB7=0),1,0)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40">
      <formula>IF(AND(AA7=0,AB7=-1),1,0)</formula>
    </cfRule>
    <cfRule type="expression" dxfId="218" priority="341">
      <formula>IF(AND(AA7=1,AB7=-1),1,0)</formula>
    </cfRule>
    <cfRule type="expression" dxfId="217" priority="342">
      <formula>IF(AND(AA7=0,AB7=1),1,0)</formula>
    </cfRule>
    <cfRule type="expression" dxfId="216" priority="343">
      <formula>IF(AND(AA7=1,AB7=1),1,0)</formula>
    </cfRule>
    <cfRule type="expression" dxfId="215" priority="344">
      <formula>IF(AND(AA7=0,AB7=0),1,0)</formula>
    </cfRule>
    <cfRule type="expression" dxfId="214" priority="345">
      <formula>IF(AND(AA7=1,AB7=0),1,0)</formula>
    </cfRule>
    <cfRule type="expression" dxfId="213" priority="352">
      <formula>IF(AND(AA7=1,AB7=""),1,0)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M10:BO10">
    <cfRule type="expression" dxfId="192" priority="222">
      <formula>IF(OR(BM10="",BM11=""),0,IF(BM10&gt;BM11,1,0))</formula>
    </cfRule>
  </conditionalFormatting>
  <conditionalFormatting sqref="BM11:BO11">
    <cfRule type="expression" dxfId="191" priority="221">
      <formula>IF(OR(BM10="",BM11=""),0,IF(BM10&lt;BM11,1,0))</formula>
    </cfRule>
  </conditionalFormatting>
  <conditionalFormatting sqref="BL10">
    <cfRule type="expression" dxfId="190" priority="218">
      <formula>IF(BP10&lt;BP11,1,0)</formula>
    </cfRule>
    <cfRule type="expression" dxfId="189" priority="220">
      <formula>IF(BP10&gt;BP11,1,0)</formula>
    </cfRule>
  </conditionalFormatting>
  <conditionalFormatting sqref="BL11">
    <cfRule type="expression" dxfId="188" priority="217">
      <formula>IF(BP10&lt;BP11,1,0)</formula>
    </cfRule>
    <cfRule type="expression" dxfId="187" priority="219">
      <formula>IF(BP10&gt;BP11,1,0)</formula>
    </cfRule>
  </conditionalFormatting>
  <conditionalFormatting sqref="BM14:BO14">
    <cfRule type="expression" dxfId="186" priority="186">
      <formula>IF(OR(BM14="",BM15=""),0,IF(BM14&gt;BM15,1,0))</formula>
    </cfRule>
  </conditionalFormatting>
  <conditionalFormatting sqref="BM15:BO15">
    <cfRule type="expression" dxfId="185" priority="185">
      <formula>IF(OR(BM14="",BM15=""),0,IF(BM14&lt;BM15,1,0))</formula>
    </cfRule>
  </conditionalFormatting>
  <conditionalFormatting sqref="BL14">
    <cfRule type="expression" dxfId="184" priority="182">
      <formula>IF(BP14&lt;BP15,1,0)</formula>
    </cfRule>
    <cfRule type="expression" dxfId="183" priority="184">
      <formula>IF(BP14&gt;BP15,1,0)</formula>
    </cfRule>
  </conditionalFormatting>
  <conditionalFormatting sqref="BL15">
    <cfRule type="expression" dxfId="182" priority="181">
      <formula>IF(BP14&lt;BP15,1,0)</formula>
    </cfRule>
    <cfRule type="expression" dxfId="181" priority="183">
      <formula>IF(BP14&gt;BP15,1,0)</formula>
    </cfRule>
  </conditionalFormatting>
  <conditionalFormatting sqref="BM18:BO18">
    <cfRule type="expression" dxfId="180" priority="180">
      <formula>IF(OR(BM18="",BM19=""),0,IF(BM18&gt;BM19,1,0))</formula>
    </cfRule>
  </conditionalFormatting>
  <conditionalFormatting sqref="BM19:BO19">
    <cfRule type="expression" dxfId="179" priority="179">
      <formula>IF(OR(BM18="",BM19=""),0,IF(BM18&lt;BM19,1,0))</formula>
    </cfRule>
  </conditionalFormatting>
  <conditionalFormatting sqref="BL18">
    <cfRule type="expression" dxfId="178" priority="176">
      <formula>IF(BP18&lt;BP19,1,0)</formula>
    </cfRule>
    <cfRule type="expression" dxfId="177" priority="178">
      <formula>IF(BP18&gt;BP19,1,0)</formula>
    </cfRule>
  </conditionalFormatting>
  <conditionalFormatting sqref="BL19">
    <cfRule type="expression" dxfId="176" priority="175">
      <formula>IF(BP18&lt;BP19,1,0)</formula>
    </cfRule>
    <cfRule type="expression" dxfId="175" priority="177">
      <formula>IF(BP18&gt;BP19,1,0)</formula>
    </cfRule>
  </conditionalFormatting>
  <conditionalFormatting sqref="BM22:BO22">
    <cfRule type="expression" dxfId="174" priority="174">
      <formula>IF(OR(BM22="",BM23=""),0,IF(BM22&gt;BM23,1,0))</formula>
    </cfRule>
  </conditionalFormatting>
  <conditionalFormatting sqref="BM23:BO23">
    <cfRule type="expression" dxfId="173" priority="173">
      <formula>IF(OR(BM22="",BM23=""),0,IF(BM22&lt;BM23,1,0))</formula>
    </cfRule>
  </conditionalFormatting>
  <conditionalFormatting sqref="BL22">
    <cfRule type="expression" dxfId="172" priority="170">
      <formula>IF(BP22&lt;BP23,1,0)</formula>
    </cfRule>
    <cfRule type="expression" dxfId="171" priority="172">
      <formula>IF(BP22&gt;BP23,1,0)</formula>
    </cfRule>
  </conditionalFormatting>
  <conditionalFormatting sqref="BL23">
    <cfRule type="expression" dxfId="170" priority="169">
      <formula>IF(BP22&lt;BP23,1,0)</formula>
    </cfRule>
    <cfRule type="expression" dxfId="169" priority="171">
      <formula>IF(BP22&gt;BP23,1,0)</formula>
    </cfRule>
  </conditionalFormatting>
  <conditionalFormatting sqref="BM26:BO26">
    <cfRule type="expression" dxfId="168" priority="168">
      <formula>IF(OR(BM26="",BM27=""),0,IF(BM26&gt;BM27,1,0))</formula>
    </cfRule>
  </conditionalFormatting>
  <conditionalFormatting sqref="BM27:BO27">
    <cfRule type="expression" dxfId="167" priority="167">
      <formula>IF(OR(BM26="",BM27=""),0,IF(BM26&lt;BM27,1,0))</formula>
    </cfRule>
  </conditionalFormatting>
  <conditionalFormatting sqref="BL26">
    <cfRule type="expression" dxfId="166" priority="164">
      <formula>IF(BP26&lt;BP27,1,0)</formula>
    </cfRule>
    <cfRule type="expression" dxfId="165" priority="166">
      <formula>IF(BP26&gt;BP27,1,0)</formula>
    </cfRule>
  </conditionalFormatting>
  <conditionalFormatting sqref="BL27">
    <cfRule type="expression" dxfId="164" priority="163">
      <formula>IF(BP26&lt;BP27,1,0)</formula>
    </cfRule>
    <cfRule type="expression" dxfId="163" priority="165">
      <formula>IF(BP26&gt;BP27,1,0)</formula>
    </cfRule>
  </conditionalFormatting>
  <conditionalFormatting sqref="BM30:BO30">
    <cfRule type="expression" dxfId="162" priority="162">
      <formula>IF(OR(BM30="",BM31=""),0,IF(BM30&gt;BM31,1,0))</formula>
    </cfRule>
  </conditionalFormatting>
  <conditionalFormatting sqref="BM31:BO31">
    <cfRule type="expression" dxfId="161" priority="161">
      <formula>IF(OR(BM30="",BM31=""),0,IF(BM30&lt;BM31,1,0))</formula>
    </cfRule>
  </conditionalFormatting>
  <conditionalFormatting sqref="BL30">
    <cfRule type="expression" dxfId="160" priority="158">
      <formula>IF(BP30&lt;BP31,1,0)</formula>
    </cfRule>
    <cfRule type="expression" dxfId="159" priority="160">
      <formula>IF(BP30&gt;BP31,1,0)</formula>
    </cfRule>
  </conditionalFormatting>
  <conditionalFormatting sqref="BL31">
    <cfRule type="expression" dxfId="158" priority="157">
      <formula>IF(BP30&lt;BP31,1,0)</formula>
    </cfRule>
    <cfRule type="expression" dxfId="157" priority="159">
      <formula>IF(BP30&gt;BP31,1,0)</formula>
    </cfRule>
  </conditionalFormatting>
  <conditionalFormatting sqref="BM34:BO34">
    <cfRule type="expression" dxfId="156" priority="156">
      <formula>IF(OR(BM34="",BM35=""),0,IF(BM34&gt;BM35,1,0))</formula>
    </cfRule>
  </conditionalFormatting>
  <conditionalFormatting sqref="BM35:BO35">
    <cfRule type="expression" dxfId="155" priority="155">
      <formula>IF(OR(BM34="",BM35=""),0,IF(BM34&lt;BM35,1,0))</formula>
    </cfRule>
  </conditionalFormatting>
  <conditionalFormatting sqref="BL34">
    <cfRule type="expression" dxfId="154" priority="152">
      <formula>IF(BP34&lt;BP35,1,0)</formula>
    </cfRule>
    <cfRule type="expression" dxfId="153" priority="154">
      <formula>IF(BP34&gt;BP35,1,0)</formula>
    </cfRule>
  </conditionalFormatting>
  <conditionalFormatting sqref="BL35">
    <cfRule type="expression" dxfId="152" priority="151">
      <formula>IF(BP34&lt;BP35,1,0)</formula>
    </cfRule>
    <cfRule type="expression" dxfId="151" priority="153">
      <formula>IF(BP34&gt;BP35,1,0)</formula>
    </cfRule>
  </conditionalFormatting>
  <conditionalFormatting sqref="BM38:BO38">
    <cfRule type="expression" dxfId="150" priority="150">
      <formula>IF(OR(BM38="",BM39=""),0,IF(BM38&gt;BM39,1,0))</formula>
    </cfRule>
  </conditionalFormatting>
  <conditionalFormatting sqref="BM39:BO39">
    <cfRule type="expression" dxfId="149" priority="149">
      <formula>IF(OR(BM38="",BM39=""),0,IF(BM38&lt;BM39,1,0))</formula>
    </cfRule>
  </conditionalFormatting>
  <conditionalFormatting sqref="BL38">
    <cfRule type="expression" dxfId="148" priority="146">
      <formula>IF(BP38&lt;BP39,1,0)</formula>
    </cfRule>
    <cfRule type="expression" dxfId="147" priority="148">
      <formula>IF(BP38&gt;BP39,1,0)</formula>
    </cfRule>
  </conditionalFormatting>
  <conditionalFormatting sqref="BL39">
    <cfRule type="expression" dxfId="146" priority="145">
      <formula>IF(BP38&lt;BP39,1,0)</formula>
    </cfRule>
    <cfRule type="expression" dxfId="145" priority="147">
      <formula>IF(BP38&gt;BP39,1,0)</formula>
    </cfRule>
  </conditionalFormatting>
  <conditionalFormatting sqref="BM42:BO42">
    <cfRule type="expression" dxfId="144" priority="144">
      <formula>IF(OR(BM42="",BM43=""),0,IF(BM42&gt;BM43,1,0))</formula>
    </cfRule>
  </conditionalFormatting>
  <conditionalFormatting sqref="BM43:BO43">
    <cfRule type="expression" dxfId="143" priority="143">
      <formula>IF(OR(BM42="",BM43=""),0,IF(BM42&lt;BM43,1,0))</formula>
    </cfRule>
  </conditionalFormatting>
  <conditionalFormatting sqref="BL42">
    <cfRule type="expression" dxfId="142" priority="140">
      <formula>IF(BP42&lt;BP43,1,0)</formula>
    </cfRule>
    <cfRule type="expression" dxfId="141" priority="142">
      <formula>IF(BP42&gt;BP43,1,0)</formula>
    </cfRule>
  </conditionalFormatting>
  <conditionalFormatting sqref="BL43">
    <cfRule type="expression" dxfId="140" priority="139">
      <formula>IF(BP42&lt;BP43,1,0)</formula>
    </cfRule>
    <cfRule type="expression" dxfId="139" priority="141">
      <formula>IF(BP42&gt;BP43,1,0)</formula>
    </cfRule>
  </conditionalFormatting>
  <conditionalFormatting sqref="BM46:BO46">
    <cfRule type="expression" dxfId="138" priority="138">
      <formula>IF(OR(BM46="",BM47=""),0,IF(BM46&gt;BM47,1,0))</formula>
    </cfRule>
  </conditionalFormatting>
  <conditionalFormatting sqref="BM47:BO47">
    <cfRule type="expression" dxfId="137" priority="137">
      <formula>IF(OR(BM46="",BM47=""),0,IF(BM46&lt;BM47,1,0))</formula>
    </cfRule>
  </conditionalFormatting>
  <conditionalFormatting sqref="BL46">
    <cfRule type="expression" dxfId="136" priority="134">
      <formula>IF(BP46&lt;BP47,1,0)</formula>
    </cfRule>
    <cfRule type="expression" dxfId="135" priority="136">
      <formula>IF(BP46&gt;BP47,1,0)</formula>
    </cfRule>
  </conditionalFormatting>
  <conditionalFormatting sqref="BL47">
    <cfRule type="expression" dxfId="134" priority="133">
      <formula>IF(BP46&lt;BP47,1,0)</formula>
    </cfRule>
    <cfRule type="expression" dxfId="133" priority="135">
      <formula>IF(BP46&gt;BP47,1,0)</formula>
    </cfRule>
  </conditionalFormatting>
  <conditionalFormatting sqref="BM50:BO50">
    <cfRule type="expression" dxfId="132" priority="132">
      <formula>IF(OR(BM50="",BM51=""),0,IF(BM50&gt;BM51,1,0))</formula>
    </cfRule>
  </conditionalFormatting>
  <conditionalFormatting sqref="BM51:BO51">
    <cfRule type="expression" dxfId="131" priority="131">
      <formula>IF(OR(BM50="",BM51=""),0,IF(BM50&lt;BM51,1,0))</formula>
    </cfRule>
  </conditionalFormatting>
  <conditionalFormatting sqref="BL50">
    <cfRule type="expression" dxfId="130" priority="128">
      <formula>IF(BP50&lt;BP51,1,0)</formula>
    </cfRule>
    <cfRule type="expression" dxfId="129" priority="130">
      <formula>IF(BP50&gt;BP51,1,0)</formula>
    </cfRule>
  </conditionalFormatting>
  <conditionalFormatting sqref="BL51">
    <cfRule type="expression" dxfId="128" priority="127">
      <formula>IF(BP50&lt;BP51,1,0)</formula>
    </cfRule>
    <cfRule type="expression" dxfId="127" priority="129">
      <formula>IF(BP50&gt;BP51,1,0)</formula>
    </cfRule>
  </conditionalFormatting>
  <conditionalFormatting sqref="BM54:BO54">
    <cfRule type="expression" dxfId="126" priority="126">
      <formula>IF(OR(BM54="",BM55=""),0,IF(BM54&gt;BM55,1,0))</formula>
    </cfRule>
  </conditionalFormatting>
  <conditionalFormatting sqref="BM55:BO55">
    <cfRule type="expression" dxfId="125" priority="125">
      <formula>IF(OR(BM54="",BM55=""),0,IF(BM54&lt;BM55,1,0))</formula>
    </cfRule>
  </conditionalFormatting>
  <conditionalFormatting sqref="BL54">
    <cfRule type="expression" dxfId="124" priority="122">
      <formula>IF(BP54&lt;BP55,1,0)</formula>
    </cfRule>
    <cfRule type="expression" dxfId="123" priority="124">
      <formula>IF(BP54&gt;BP55,1,0)</formula>
    </cfRule>
  </conditionalFormatting>
  <conditionalFormatting sqref="BL55">
    <cfRule type="expression" dxfId="122" priority="121">
      <formula>IF(BP54&lt;BP55,1,0)</formula>
    </cfRule>
    <cfRule type="expression" dxfId="121" priority="123">
      <formula>IF(BP54&gt;BP55,1,0)</formula>
    </cfRule>
  </conditionalFormatting>
  <conditionalFormatting sqref="BM58:BO58">
    <cfRule type="expression" dxfId="120" priority="120">
      <formula>IF(OR(BM58="",BM59=""),0,IF(BM58&gt;BM59,1,0))</formula>
    </cfRule>
  </conditionalFormatting>
  <conditionalFormatting sqref="BM59:BO59">
    <cfRule type="expression" dxfId="119" priority="119">
      <formula>IF(OR(BM58="",BM59=""),0,IF(BM58&lt;BM59,1,0))</formula>
    </cfRule>
  </conditionalFormatting>
  <conditionalFormatting sqref="BL58">
    <cfRule type="expression" dxfId="118" priority="116">
      <formula>IF(BP58&lt;BP59,1,0)</formula>
    </cfRule>
    <cfRule type="expression" dxfId="117" priority="118">
      <formula>IF(BP58&gt;BP59,1,0)</formula>
    </cfRule>
  </conditionalFormatting>
  <conditionalFormatting sqref="BL59">
    <cfRule type="expression" dxfId="116" priority="115">
      <formula>IF(BP58&lt;BP59,1,0)</formula>
    </cfRule>
    <cfRule type="expression" dxfId="115" priority="117">
      <formula>IF(BP58&gt;BP59,1,0)</formula>
    </cfRule>
  </conditionalFormatting>
  <conditionalFormatting sqref="BM62:BO62">
    <cfRule type="expression" dxfId="114" priority="114">
      <formula>IF(OR(BM62="",BM63=""),0,IF(BM62&gt;BM63,1,0))</formula>
    </cfRule>
  </conditionalFormatting>
  <conditionalFormatting sqref="BM63:BO63">
    <cfRule type="expression" dxfId="113" priority="113">
      <formula>IF(OR(BM62="",BM63=""),0,IF(BM62&lt;BM63,1,0))</formula>
    </cfRule>
  </conditionalFormatting>
  <conditionalFormatting sqref="BL62">
    <cfRule type="expression" dxfId="112" priority="110">
      <formula>IF(BP62&lt;BP63,1,0)</formula>
    </cfRule>
    <cfRule type="expression" dxfId="111" priority="112">
      <formula>IF(BP62&gt;BP63,1,0)</formula>
    </cfRule>
  </conditionalFormatting>
  <conditionalFormatting sqref="BL63">
    <cfRule type="expression" dxfId="110" priority="109">
      <formula>IF(BP62&lt;BP63,1,0)</formula>
    </cfRule>
    <cfRule type="expression" dxfId="109" priority="111">
      <formula>IF(BP62&gt;BP63,1,0)</formula>
    </cfRule>
  </conditionalFormatting>
  <conditionalFormatting sqref="BM66:BO66">
    <cfRule type="expression" dxfId="108" priority="108">
      <formula>IF(OR(BM66="",BM67=""),0,IF(BM66&gt;BM67,1,0))</formula>
    </cfRule>
  </conditionalFormatting>
  <conditionalFormatting sqref="BM67:BO67">
    <cfRule type="expression" dxfId="107" priority="107">
      <formula>IF(OR(BM66="",BM67=""),0,IF(BM66&lt;BM67,1,0))</formula>
    </cfRule>
  </conditionalFormatting>
  <conditionalFormatting sqref="BL66">
    <cfRule type="expression" dxfId="106" priority="104">
      <formula>IF(BP66&lt;BP67,1,0)</formula>
    </cfRule>
    <cfRule type="expression" dxfId="105" priority="106">
      <formula>IF(BP66&gt;BP67,1,0)</formula>
    </cfRule>
  </conditionalFormatting>
  <conditionalFormatting sqref="BL67">
    <cfRule type="expression" dxfId="104" priority="103">
      <formula>IF(BP66&lt;BP67,1,0)</formula>
    </cfRule>
    <cfRule type="expression" dxfId="103" priority="105">
      <formula>IF(BP66&gt;BP67,1,0)</formula>
    </cfRule>
  </conditionalFormatting>
  <conditionalFormatting sqref="BM70:BO70">
    <cfRule type="expression" dxfId="102" priority="102">
      <formula>IF(OR(BM70="",BM71=""),0,IF(BM70&gt;BM71,1,0))</formula>
    </cfRule>
  </conditionalFormatting>
  <conditionalFormatting sqref="BM71:BO71">
    <cfRule type="expression" dxfId="101" priority="101">
      <formula>IF(OR(BM70="",BM71=""),0,IF(BM70&lt;BM71,1,0))</formula>
    </cfRule>
  </conditionalFormatting>
  <conditionalFormatting sqref="BL70">
    <cfRule type="expression" dxfId="100" priority="98">
      <formula>IF(BP70&lt;BP71,1,0)</formula>
    </cfRule>
    <cfRule type="expression" dxfId="99" priority="100">
      <formula>IF(BP70&gt;BP71,1,0)</formula>
    </cfRule>
  </conditionalFormatting>
  <conditionalFormatting sqref="BL71">
    <cfRule type="expression" dxfId="98" priority="97">
      <formula>IF(BP70&lt;BP71,1,0)</formula>
    </cfRule>
    <cfRule type="expression" dxfId="97" priority="99">
      <formula>IF(BP70&gt;BP71,1,0)</formula>
    </cfRule>
  </conditionalFormatting>
  <conditionalFormatting sqref="BT68:BV68">
    <cfRule type="expression" dxfId="96" priority="96">
      <formula>IF(OR(BT68="",BT69=""),0,IF(BT68&gt;BT69,1,0))</formula>
    </cfRule>
  </conditionalFormatting>
  <conditionalFormatting sqref="BT69:BV69">
    <cfRule type="expression" dxfId="95" priority="95">
      <formula>IF(OR(BT68="",BT69=""),0,IF(BT68&lt;BT69,1,0))</formula>
    </cfRule>
  </conditionalFormatting>
  <conditionalFormatting sqref="BS68">
    <cfRule type="expression" dxfId="94" priority="92">
      <formula>IF(BW68&lt;BW69,1,0)</formula>
    </cfRule>
    <cfRule type="expression" dxfId="93" priority="94">
      <formula>IF(BW68&gt;BW69,1,0)</formula>
    </cfRule>
  </conditionalFormatting>
  <conditionalFormatting sqref="BS69">
    <cfRule type="expression" dxfId="92" priority="91">
      <formula>IF(BW68&lt;BW69,1,0)</formula>
    </cfRule>
    <cfRule type="expression" dxfId="91" priority="93">
      <formula>IF(BW68&gt;BW69,1,0)</formula>
    </cfRule>
  </conditionalFormatting>
  <conditionalFormatting sqref="BT60:BV60">
    <cfRule type="expression" dxfId="90" priority="90">
      <formula>IF(OR(BT60="",BT61=""),0,IF(BT60&gt;BT61,1,0))</formula>
    </cfRule>
  </conditionalFormatting>
  <conditionalFormatting sqref="BT61:BV61">
    <cfRule type="expression" dxfId="89" priority="89">
      <formula>IF(OR(BT60="",BT61=""),0,IF(BT60&lt;BT61,1,0))</formula>
    </cfRule>
  </conditionalFormatting>
  <conditionalFormatting sqref="BS60">
    <cfRule type="expression" dxfId="88" priority="86">
      <formula>IF(BW60&lt;BW61,1,0)</formula>
    </cfRule>
    <cfRule type="expression" dxfId="87" priority="88">
      <formula>IF(BW60&gt;BW61,1,0)</formula>
    </cfRule>
  </conditionalFormatting>
  <conditionalFormatting sqref="BS61">
    <cfRule type="expression" dxfId="86" priority="85">
      <formula>IF(BW60&lt;BW61,1,0)</formula>
    </cfRule>
    <cfRule type="expression" dxfId="85" priority="87">
      <formula>IF(BW60&gt;BW61,1,0)</formula>
    </cfRule>
  </conditionalFormatting>
  <conditionalFormatting sqref="BT52:BV52">
    <cfRule type="expression" dxfId="84" priority="84">
      <formula>IF(OR(BT52="",BT53=""),0,IF(BT52&gt;BT53,1,0))</formula>
    </cfRule>
  </conditionalFormatting>
  <conditionalFormatting sqref="BT53:BV53">
    <cfRule type="expression" dxfId="83" priority="83">
      <formula>IF(OR(BT52="",BT53=""),0,IF(BT52&lt;BT53,1,0))</formula>
    </cfRule>
  </conditionalFormatting>
  <conditionalFormatting sqref="BS52">
    <cfRule type="expression" dxfId="82" priority="80">
      <formula>IF(BW52&lt;BW53,1,0)</formula>
    </cfRule>
    <cfRule type="expression" dxfId="81" priority="82">
      <formula>IF(BW52&gt;BW53,1,0)</formula>
    </cfRule>
  </conditionalFormatting>
  <conditionalFormatting sqref="BS53">
    <cfRule type="expression" dxfId="80" priority="79">
      <formula>IF(BW52&lt;BW53,1,0)</formula>
    </cfRule>
    <cfRule type="expression" dxfId="79" priority="81">
      <formula>IF(BW52&gt;BW53,1,0)</formula>
    </cfRule>
  </conditionalFormatting>
  <conditionalFormatting sqref="BT44:BV44">
    <cfRule type="expression" dxfId="78" priority="78">
      <formula>IF(OR(BT44="",BT45=""),0,IF(BT44&gt;BT45,1,0))</formula>
    </cfRule>
  </conditionalFormatting>
  <conditionalFormatting sqref="BT45:BV45">
    <cfRule type="expression" dxfId="77" priority="77">
      <formula>IF(OR(BT44="",BT45=""),0,IF(BT44&lt;BT45,1,0))</formula>
    </cfRule>
  </conditionalFormatting>
  <conditionalFormatting sqref="BS44">
    <cfRule type="expression" dxfId="76" priority="74">
      <formula>IF(BW44&lt;BW45,1,0)</formula>
    </cfRule>
    <cfRule type="expression" dxfId="75" priority="76">
      <formula>IF(BW44&gt;BW45,1,0)</formula>
    </cfRule>
  </conditionalFormatting>
  <conditionalFormatting sqref="BS45">
    <cfRule type="expression" dxfId="74" priority="73">
      <formula>IF(BW44&lt;BW45,1,0)</formula>
    </cfRule>
    <cfRule type="expression" dxfId="73" priority="75">
      <formula>IF(BW44&gt;BW45,1,0)</formula>
    </cfRule>
  </conditionalFormatting>
  <conditionalFormatting sqref="BT36:BV36">
    <cfRule type="expression" dxfId="72" priority="72">
      <formula>IF(OR(BT36="",BT37=""),0,IF(BT36&gt;BT37,1,0))</formula>
    </cfRule>
  </conditionalFormatting>
  <conditionalFormatting sqref="BT37:BV37">
    <cfRule type="expression" dxfId="71" priority="71">
      <formula>IF(OR(BT36="",BT37=""),0,IF(BT36&lt;BT37,1,0))</formula>
    </cfRule>
  </conditionalFormatting>
  <conditionalFormatting sqref="BS36">
    <cfRule type="expression" dxfId="70" priority="68">
      <formula>IF(BW36&lt;BW37,1,0)</formula>
    </cfRule>
    <cfRule type="expression" dxfId="69" priority="70">
      <formula>IF(BW36&gt;BW37,1,0)</formula>
    </cfRule>
  </conditionalFormatting>
  <conditionalFormatting sqref="BS37">
    <cfRule type="expression" dxfId="68" priority="67">
      <formula>IF(BW36&lt;BW37,1,0)</formula>
    </cfRule>
    <cfRule type="expression" dxfId="67" priority="69">
      <formula>IF(BW36&gt;BW37,1,0)</formula>
    </cfRule>
  </conditionalFormatting>
  <conditionalFormatting sqref="BT28:BV28">
    <cfRule type="expression" dxfId="66" priority="66">
      <formula>IF(OR(BT28="",BT29=""),0,IF(BT28&gt;BT29,1,0))</formula>
    </cfRule>
  </conditionalFormatting>
  <conditionalFormatting sqref="BT29:BV29">
    <cfRule type="expression" dxfId="65" priority="65">
      <formula>IF(OR(BT28="",BT29=""),0,IF(BT28&lt;BT29,1,0))</formula>
    </cfRule>
  </conditionalFormatting>
  <conditionalFormatting sqref="BS28">
    <cfRule type="expression" dxfId="64" priority="62">
      <formula>IF(BW28&lt;BW29,1,0)</formula>
    </cfRule>
    <cfRule type="expression" dxfId="63" priority="64">
      <formula>IF(BW28&gt;BW29,1,0)</formula>
    </cfRule>
  </conditionalFormatting>
  <conditionalFormatting sqref="BS29">
    <cfRule type="expression" dxfId="62" priority="61">
      <formula>IF(BW28&lt;BW29,1,0)</formula>
    </cfRule>
    <cfRule type="expression" dxfId="61" priority="63">
      <formula>IF(BW28&gt;BW29,1,0)</formula>
    </cfRule>
  </conditionalFormatting>
  <conditionalFormatting sqref="BT20:BV20">
    <cfRule type="expression" dxfId="60" priority="60">
      <formula>IF(OR(BT20="",BT21=""),0,IF(BT20&gt;BT21,1,0))</formula>
    </cfRule>
  </conditionalFormatting>
  <conditionalFormatting sqref="BT21:BV21">
    <cfRule type="expression" dxfId="59" priority="59">
      <formula>IF(OR(BT20="",BT21=""),0,IF(BT20&lt;BT21,1,0))</formula>
    </cfRule>
  </conditionalFormatting>
  <conditionalFormatting sqref="BS20">
    <cfRule type="expression" dxfId="58" priority="56">
      <formula>IF(BW20&lt;BW21,1,0)</formula>
    </cfRule>
    <cfRule type="expression" dxfId="57" priority="58">
      <formula>IF(BW20&gt;BW21,1,0)</formula>
    </cfRule>
  </conditionalFormatting>
  <conditionalFormatting sqref="BS21">
    <cfRule type="expression" dxfId="56" priority="55">
      <formula>IF(BW20&lt;BW21,1,0)</formula>
    </cfRule>
    <cfRule type="expression" dxfId="55" priority="57">
      <formula>IF(BW20&gt;BW21,1,0)</formula>
    </cfRule>
  </conditionalFormatting>
  <conditionalFormatting sqref="BT12:BV12">
    <cfRule type="expression" dxfId="54" priority="54">
      <formula>IF(OR(BT12="",BT13=""),0,IF(BT12&gt;BT13,1,0))</formula>
    </cfRule>
  </conditionalFormatting>
  <conditionalFormatting sqref="BT13:BV13">
    <cfRule type="expression" dxfId="53" priority="53">
      <formula>IF(OR(BT12="",BT13=""),0,IF(BT12&lt;BT13,1,0))</formula>
    </cfRule>
  </conditionalFormatting>
  <conditionalFormatting sqref="BS12">
    <cfRule type="expression" dxfId="52" priority="50">
      <formula>IF(BW12&lt;BW13,1,0)</formula>
    </cfRule>
    <cfRule type="expression" dxfId="51" priority="52">
      <formula>IF(BW12&gt;BW13,1,0)</formula>
    </cfRule>
  </conditionalFormatting>
  <conditionalFormatting sqref="BS13">
    <cfRule type="expression" dxfId="50" priority="49">
      <formula>IF(BW12&lt;BW13,1,0)</formula>
    </cfRule>
    <cfRule type="expression" dxfId="49" priority="51">
      <formula>IF(BW12&gt;BW13,1,0)</formula>
    </cfRule>
  </conditionalFormatting>
  <conditionalFormatting sqref="CA16:CC16">
    <cfRule type="expression" dxfId="48" priority="48">
      <formula>IF(OR(CA16="",CA17=""),0,IF(CA16&gt;CA17,1,0))</formula>
    </cfRule>
  </conditionalFormatting>
  <conditionalFormatting sqref="CA17:CC17">
    <cfRule type="expression" dxfId="47" priority="47">
      <formula>IF(OR(CA16="",CA17=""),0,IF(CA16&lt;CA17,1,0))</formula>
    </cfRule>
  </conditionalFormatting>
  <conditionalFormatting sqref="BZ16">
    <cfRule type="expression" dxfId="46" priority="44">
      <formula>IF(CD16&lt;CD17,1,0)</formula>
    </cfRule>
    <cfRule type="expression" dxfId="45" priority="46">
      <formula>IF(CD16&gt;CD17,1,0)</formula>
    </cfRule>
  </conditionalFormatting>
  <conditionalFormatting sqref="BZ17">
    <cfRule type="expression" dxfId="44" priority="43">
      <formula>IF(CD16&lt;CD17,1,0)</formula>
    </cfRule>
    <cfRule type="expression" dxfId="43" priority="45">
      <formula>IF(CD16&gt;CD17,1,0)</formula>
    </cfRule>
  </conditionalFormatting>
  <conditionalFormatting sqref="CA32:CC32">
    <cfRule type="expression" dxfId="42" priority="42">
      <formula>IF(OR(CA32="",CA33=""),0,IF(CA32&gt;CA33,1,0))</formula>
    </cfRule>
  </conditionalFormatting>
  <conditionalFormatting sqref="CA33:CC33">
    <cfRule type="expression" dxfId="41" priority="41">
      <formula>IF(OR(CA32="",CA33=""),0,IF(CA32&lt;CA33,1,0))</formula>
    </cfRule>
  </conditionalFormatting>
  <conditionalFormatting sqref="BZ32">
    <cfRule type="expression" dxfId="40" priority="38">
      <formula>IF(CD32&lt;CD33,1,0)</formula>
    </cfRule>
    <cfRule type="expression" dxfId="39" priority="40">
      <formula>IF(CD32&gt;CD33,1,0)</formula>
    </cfRule>
  </conditionalFormatting>
  <conditionalFormatting sqref="BZ33">
    <cfRule type="expression" dxfId="38" priority="37">
      <formula>IF(CD32&lt;CD33,1,0)</formula>
    </cfRule>
    <cfRule type="expression" dxfId="37" priority="39">
      <formula>IF(CD32&gt;CD33,1,0)</formula>
    </cfRule>
  </conditionalFormatting>
  <conditionalFormatting sqref="CA48:CC48">
    <cfRule type="expression" dxfId="36" priority="36">
      <formula>IF(OR(CA48="",CA49=""),0,IF(CA48&gt;CA49,1,0))</formula>
    </cfRule>
  </conditionalFormatting>
  <conditionalFormatting sqref="CA49:CC49">
    <cfRule type="expression" dxfId="35" priority="35">
      <formula>IF(OR(CA48="",CA49=""),0,IF(CA48&lt;CA49,1,0))</formula>
    </cfRule>
  </conditionalFormatting>
  <conditionalFormatting sqref="BZ48">
    <cfRule type="expression" dxfId="34" priority="32">
      <formula>IF(CD48&lt;CD49,1,0)</formula>
    </cfRule>
    <cfRule type="expression" dxfId="33" priority="34">
      <formula>IF(CD48&gt;CD49,1,0)</formula>
    </cfRule>
  </conditionalFormatting>
  <conditionalFormatting sqref="BZ49">
    <cfRule type="expression" dxfId="32" priority="31">
      <formula>IF(CD48&lt;CD49,1,0)</formula>
    </cfRule>
    <cfRule type="expression" dxfId="31" priority="33">
      <formula>IF(CD48&gt;CD49,1,0)</formula>
    </cfRule>
  </conditionalFormatting>
  <conditionalFormatting sqref="CA64:CC64">
    <cfRule type="expression" dxfId="30" priority="30">
      <formula>IF(OR(CA64="",CA65=""),0,IF(CA64&gt;CA65,1,0))</formula>
    </cfRule>
  </conditionalFormatting>
  <conditionalFormatting sqref="CA65:CC65">
    <cfRule type="expression" dxfId="29" priority="29">
      <formula>IF(OR(CA64="",CA65=""),0,IF(CA64&lt;CA65,1,0))</formula>
    </cfRule>
  </conditionalFormatting>
  <conditionalFormatting sqref="BZ64">
    <cfRule type="expression" dxfId="28" priority="26">
      <formula>IF(CD64&lt;CD65,1,0)</formula>
    </cfRule>
    <cfRule type="expression" dxfId="27" priority="28">
      <formula>IF(CD64&gt;CD65,1,0)</formula>
    </cfRule>
  </conditionalFormatting>
  <conditionalFormatting sqref="BZ65">
    <cfRule type="expression" dxfId="26" priority="25">
      <formula>IF(CD64&lt;CD65,1,0)</formula>
    </cfRule>
    <cfRule type="expression" dxfId="25" priority="27">
      <formula>IF(CD64&gt;CD65,1,0)</formula>
    </cfRule>
  </conditionalFormatting>
  <conditionalFormatting sqref="CH55:CJ55">
    <cfRule type="expression" dxfId="24" priority="24">
      <formula>IF(OR(CH55="",CH56=""),0,IF(CH55&gt;CH56,1,0))</formula>
    </cfRule>
  </conditionalFormatting>
  <conditionalFormatting sqref="CH56:CJ56">
    <cfRule type="expression" dxfId="23" priority="23">
      <formula>IF(OR(CH55="",CH56=""),0,IF(CH55&lt;CH56,1,0))</formula>
    </cfRule>
  </conditionalFormatting>
  <conditionalFormatting sqref="CG55">
    <cfRule type="expression" dxfId="22" priority="20">
      <formula>IF(CK55&lt;CK56,1,0)</formula>
    </cfRule>
    <cfRule type="expression" dxfId="21" priority="22">
      <formula>IF(CK55&gt;CK56,1,0)</formula>
    </cfRule>
  </conditionalFormatting>
  <conditionalFormatting sqref="CG56">
    <cfRule type="expression" dxfId="20" priority="19">
      <formula>IF(CK55&lt;CK56,1,0)</formula>
    </cfRule>
    <cfRule type="expression" dxfId="19" priority="21">
      <formula>IF(CK55&gt;CK56,1,0)</formula>
    </cfRule>
  </conditionalFormatting>
  <conditionalFormatting sqref="CH23:CJ23">
    <cfRule type="expression" dxfId="18" priority="18">
      <formula>IF(OR(CH23="",CH24=""),0,IF(CH23&gt;CH24,1,0))</formula>
    </cfRule>
  </conditionalFormatting>
  <conditionalFormatting sqref="CH24:CJ24">
    <cfRule type="expression" dxfId="17" priority="17">
      <formula>IF(OR(CH23="",CH24=""),0,IF(CH23&lt;CH24,1,0))</formula>
    </cfRule>
  </conditionalFormatting>
  <conditionalFormatting sqref="CG23">
    <cfRule type="expression" dxfId="16" priority="14">
      <formula>IF(CK23&lt;CK24,1,0)</formula>
    </cfRule>
    <cfRule type="expression" dxfId="15" priority="16">
      <formula>IF(CK23&gt;CK24,1,0)</formula>
    </cfRule>
  </conditionalFormatting>
  <conditionalFormatting sqref="CG24">
    <cfRule type="expression" dxfId="14" priority="13">
      <formula>IF(CK23&lt;CK24,1,0)</formula>
    </cfRule>
    <cfRule type="expression" dxfId="13" priority="15">
      <formula>IF(CK23&gt;CK24,1,0)</formula>
    </cfRule>
  </conditionalFormatting>
  <conditionalFormatting sqref="CO37:CQ37">
    <cfRule type="expression" dxfId="12" priority="12">
      <formula>IF(OR(CO37="",CO38=""),0,IF(CO37&gt;CO38,1,0))</formula>
    </cfRule>
  </conditionalFormatting>
  <conditionalFormatting sqref="CO38:CQ38">
    <cfRule type="expression" dxfId="11" priority="11">
      <formula>IF(OR(CO37="",CO38=""),0,IF(CO37&lt;CO38,1,0))</formula>
    </cfRule>
  </conditionalFormatting>
  <conditionalFormatting sqref="CN37">
    <cfRule type="expression" dxfId="10" priority="8">
      <formula>IF(CR37&lt;CR38,1,0)</formula>
    </cfRule>
    <cfRule type="expression" dxfId="9" priority="10">
      <formula>IF(CR37&gt;CR38,1,0)</formula>
    </cfRule>
  </conditionalFormatting>
  <conditionalFormatting sqref="CN38">
    <cfRule type="expression" dxfId="8" priority="7">
      <formula>IF(CR37&lt;CR38,1,0)</formula>
    </cfRule>
    <cfRule type="expression" dxfId="7" priority="9">
      <formula>IF(CR37&gt;CR38,1,0)</formula>
    </cfRule>
  </conditionalFormatting>
  <conditionalFormatting sqref="CO48:CQ48">
    <cfRule type="expression" dxfId="6" priority="6">
      <formula>IF(OR(CO48="",CO49=""),0,IF(CO48&gt;CO49,1,0))</formula>
    </cfRule>
  </conditionalFormatting>
  <conditionalFormatting sqref="CO49:CQ49">
    <cfRule type="expression" dxfId="5" priority="5">
      <formula>IF(OR(CO48="",CO49=""),0,IF(CO48&lt;CO49,1,0))</formula>
    </cfRule>
  </conditionalFormatting>
  <conditionalFormatting sqref="CN48">
    <cfRule type="expression" dxfId="4" priority="2">
      <formula>IF(CR48&lt;CR49,1,0)</formula>
    </cfRule>
    <cfRule type="expression" dxfId="3" priority="4">
      <formula>IF(CR48&gt;CR49,1,0)</formula>
    </cfRule>
  </conditionalFormatting>
  <conditionalFormatting sqref="CN49">
    <cfRule type="expression" dxfId="2" priority="1">
      <formula>IF(CR48&lt;CR49,1,0)</formula>
    </cfRule>
    <cfRule type="expression" dxfId="1" priority="3">
      <formula>IF(CR48&gt;CR49,1,0)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484</v>
      </c>
      <c r="C3" s="121" t="str">
        <f>'2026 World Cup'!AR91</f>
        <v>ABCDEFIL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Microsoft Office User</cp:lastModifiedBy>
  <cp:revision/>
  <dcterms:created xsi:type="dcterms:W3CDTF">2017-12-27T19:32:51Z</dcterms:created>
  <dcterms:modified xsi:type="dcterms:W3CDTF">2026-06-09T21:10:29Z</dcterms:modified>
  <cp:category>Sports</cp:category>
  <cp:contentStatus/>
</cp:coreProperties>
</file>
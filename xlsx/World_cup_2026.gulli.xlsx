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lindag_uio_no/Documents/"/>
    </mc:Choice>
  </mc:AlternateContent>
  <xr:revisionPtr revIDLastSave="0" documentId="8_{48BACE22-8AF3-4777-932C-979DE35620B2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S16" i="3"/>
  <c r="T16" i="3" s="1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75" i="3"/>
  <c r="T49" i="3"/>
  <c r="S47" i="3"/>
  <c r="S67" i="3"/>
  <c r="S72" i="3"/>
  <c r="S70" i="3"/>
  <c r="S42" i="3"/>
  <c r="S64" i="3"/>
  <c r="T63" i="3"/>
  <c r="S40" i="3"/>
  <c r="S62" i="3"/>
  <c r="T61" i="3"/>
  <c r="T39" i="3"/>
  <c r="S38" i="3"/>
  <c r="S65" i="3"/>
  <c r="T66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61" i="3" l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S96" i="3" s="1"/>
  <c r="T96" i="3" s="1" a="1"/>
  <c r="T96" i="3" s="1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CN48" i="3" s="1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Z49" i="3" s="1"/>
  <c r="CG55" i="3" s="1"/>
  <c r="CN38" i="3" s="1"/>
  <c r="CK68" i="3" s="1"/>
  <c r="BS69" i="3"/>
  <c r="BZ65" i="3" s="1"/>
  <c r="CG56" i="3" s="1"/>
  <c r="CN49" i="3" s="1"/>
  <c r="BL71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<sst xmlns="http://schemas.openxmlformats.org/spreadsheetml/2006/main" count="9786" uniqueCount="3698">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</sst>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5.95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B41" sqref="CB41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5.9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3</v>
      </c>
      <c r="AN8" s="123">
        <f>AF8*3+AG8</f>
        <v>6</v>
      </c>
      <c r="AO8" s="123">
        <f>AN8/AN12*10+BA8</f>
        <v>7.5</v>
      </c>
      <c r="AP8" s="123">
        <f>AO8*10000000+BI8*100+AM8/AM12*10+AI8/AI12*1++IF(AQ8=0,ROW(),AQ8)/2000000</f>
        <v>75000006.800840512</v>
      </c>
      <c r="AQ8" s="126">
        <f>VLOOKUP(AE8,db_fifarank,2,FALSE)</f>
        <v>1681.03</v>
      </c>
      <c r="AR8" s="125">
        <f>AP8/AP12</f>
        <v>0.85714283885896958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3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12500000.200714864</v>
      </c>
      <c r="AQ9" s="126">
        <f>VLOOKUP(AE9,db_fifarank,2,FALSE)</f>
        <v>1429.73</v>
      </c>
      <c r="AR9" s="125">
        <f>AP9/AP12</f>
        <v>0.14285712914973167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4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87500008.800794333</v>
      </c>
      <c r="AQ10" s="126">
        <f>VLOOKUP(AE10,db_fifarank,2,FALSE)</f>
        <v>1588.66</v>
      </c>
      <c r="AR10" s="125">
        <f>AP10/AP12</f>
        <v>0.9999999885714298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1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37500002.400750689</v>
      </c>
      <c r="AQ11" s="126">
        <f>VLOOKUP(AE11,db_fifarank,2,FALSE)</f>
        <v>1501.38</v>
      </c>
      <c r="AR11" s="125">
        <f>AP11/AP12</f>
        <v>0.42857140800469101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1 - 3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1</v>
      </c>
      <c r="Y12" s="123">
        <f t="shared" si="10"/>
        <v>1</v>
      </c>
      <c r="Z12" s="123">
        <f t="shared" si="11"/>
        <v>1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87500009.800794333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>
        <v>2</v>
      </c>
      <c r="BV12" s="25">
        <v>3</v>
      </c>
      <c r="BW12" s="112">
        <f>IF(OR(BT12="",BT13="",AND(BU12="",BU13&lt;&gt;""),AND(BU13="",BU12&lt;&gt;""),AND(BV12="",BV13&lt;&gt;""),AND(BV13="",BV12&lt;&gt;"")),"",BT12*1000+BU12*10+BV12)</f>
        <v>2023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>
        <v>2</v>
      </c>
      <c r="BV13" s="27">
        <v>4</v>
      </c>
      <c r="BW13" s="113">
        <f>IF(BW12="","",BT13*1000+BU13*10+BV13)</f>
        <v>2024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2</v>
      </c>
      <c r="AL14" s="123">
        <f>AI14-AJ14</f>
        <v>0</v>
      </c>
      <c r="AM14" s="123">
        <f>AL14-AL18</f>
        <v>5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50000005.889667131</v>
      </c>
      <c r="AQ14" s="126">
        <f>VLOOKUP(AE14,db_fifarank,2,FALSE)</f>
        <v>1556.48</v>
      </c>
      <c r="AR14" s="125">
        <f>AP14/AP18</f>
        <v>0.57142856871099168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1</v>
      </c>
      <c r="AL15" s="123">
        <f>AI15-AJ15</f>
        <v>2</v>
      </c>
      <c r="AM15" s="123">
        <f>AL15-AL18</f>
        <v>7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62500008.278470695</v>
      </c>
      <c r="AQ15" s="126">
        <f>VLOOKUP(AE15,db_fifarank,2,FALSE)</f>
        <v>1385.84</v>
      </c>
      <c r="AR15" s="125">
        <f>AP15/AP18</f>
        <v>0.71428572136173007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3 - 1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8.3140561239769824E-12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2 - 2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8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87500009.723046929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Mexico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1</v>
      </c>
      <c r="V18" s="123">
        <f t="shared" si="3"/>
        <v>0</v>
      </c>
      <c r="W18" s="123">
        <f t="shared" si="4"/>
        <v>1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9</v>
      </c>
      <c r="AN18" s="123">
        <f>MAX(AN14:AN17)+1</f>
        <v>8</v>
      </c>
      <c r="AO18" s="123">
        <f>MAX(AO14:AO17)+1</f>
        <v>9.75</v>
      </c>
      <c r="AP18" s="123">
        <f>MAX(AP14:AP17)+1</f>
        <v>87500010.723046929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0</v>
      </c>
      <c r="BN18" s="63">
        <v>0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>
        <v>0</v>
      </c>
      <c r="BO19" s="27">
        <v>3</v>
      </c>
      <c r="BP19" s="113">
        <f>IF(BP18="","",BM19*1000+BN19*10+BO19)</f>
        <v>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9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90000009.858023435</v>
      </c>
      <c r="AQ20" s="126">
        <f>VLOOKUP(AE20,db_fifarank,2,FALSE)</f>
        <v>1761.16</v>
      </c>
      <c r="AR20" s="125">
        <f>AP20/AP24</f>
        <v>0.99999998888889019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2</v>
      </c>
      <c r="AL21" s="123">
        <f>AI21-AJ21</f>
        <v>2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60000007.572306506</v>
      </c>
      <c r="AQ21" s="126">
        <f>VLOOKUP(AE21,db_fifarank,2,FALSE)</f>
        <v>1755.87</v>
      </c>
      <c r="AR21" s="125">
        <f>AP21/AP24</f>
        <v>0.66666667037360194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0</v>
      </c>
      <c r="BU21" s="64"/>
      <c r="BV21" s="27"/>
      <c r="BW21" s="112">
        <f>IF(BW20="","",BT21*1000+BU21*10+BV21)</f>
        <v>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5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7.1761658009002614E-12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2</v>
      </c>
      <c r="BO22" s="25"/>
      <c r="BP22" s="116">
        <f>IF(OR(BM22="",BM23="",AND(BN22="",BN23&lt;&gt;""),AND(BN23="",BN22&lt;&gt;""),AND(BO22="",BO23&lt;&gt;""),AND(BO23="",BO22&lt;&gt;"")),"",BM22*1000+BN22*10+BO22)</f>
        <v>1020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1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2 - 3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4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30000004.286463462</v>
      </c>
      <c r="AQ23" s="126">
        <f>VLOOKUP(AE23,db_fifarank,2,FALSE)</f>
        <v>1498.35</v>
      </c>
      <c r="AR23" s="125">
        <f>AP23/AP24</f>
        <v>0.33333334074580262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1</v>
      </c>
      <c r="BO23" s="27"/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>
        <v>3</v>
      </c>
      <c r="CK23" s="112">
        <f>IF(OR(CH23="",CH24="",AND(CI23="",CI24&lt;&gt;""),AND(CI24="",CI23&lt;&gt;""),AND(CJ23="",CJ24&lt;&gt;""),AND(CJ24="",CJ23&lt;&gt;"")),"",CH23*1000+CI23*10+CJ23)</f>
        <v>2023</v>
      </c>
    </row>
    <row r="24" spans="1:9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7</v>
      </c>
      <c r="AL24" s="123">
        <f>MIN(AL20:AL23)</f>
        <v>-5</v>
      </c>
      <c r="AM24" s="123">
        <f>MAX(AM20:AM23)+1</f>
        <v>10</v>
      </c>
      <c r="AN24" s="123">
        <f>MAX(AN20:AN23)+1</f>
        <v>10</v>
      </c>
      <c r="AO24" s="123">
        <f>MAX(AO20:AO23)+1</f>
        <v>10</v>
      </c>
      <c r="AP24" s="123">
        <f>MAX(AP20:AP23)+1</f>
        <v>90000010.858023435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2</v>
      </c>
      <c r="CJ24" s="27">
        <v>4</v>
      </c>
      <c r="CK24" s="113">
        <f>IF(CK23="","",CH24*1000+CI24*10+CJ24)</f>
        <v>2024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0</v>
      </c>
      <c r="AL26" s="123">
        <f>AI26-AJ26</f>
        <v>5</v>
      </c>
      <c r="AM26" s="123">
        <f>AL26-AL30</f>
        <v>9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90000009.834169894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0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5 - 0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7.5175000000000003E-4</v>
      </c>
      <c r="AQ27" s="126">
        <f>VLOOKUP(AE27,db_fifarank,2,FALSE)</f>
        <v>1503.5</v>
      </c>
      <c r="AR27" s="125">
        <f>AP27/AP30</f>
        <v>8.3527767722733042E-12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2 - 2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2</v>
      </c>
      <c r="AL28" s="123">
        <f>AI28-AJ28</f>
        <v>0</v>
      </c>
      <c r="AM28" s="123">
        <f>AL28-AL30</f>
        <v>4</v>
      </c>
      <c r="AN28" s="123">
        <f>AF28*3+AG28</f>
        <v>4</v>
      </c>
      <c r="AO28" s="123">
        <f>AN28/AN30*10+BA28</f>
        <v>4.9805825242718447</v>
      </c>
      <c r="AP28" s="123">
        <f>AO28*10000000+BI28*100+AM28/AM30*10+AI28/AI30*1++IF(AQ28=0,ROW(),AQ28)/2000000</f>
        <v>49805927.635094538</v>
      </c>
      <c r="AQ28" s="126">
        <f>VLOOKUP(AE28,db_fifarank,2,FALSE)</f>
        <v>1580.67</v>
      </c>
      <c r="AR28" s="125">
        <f>AP28/AP30</f>
        <v>0.5533991293274928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2 - 3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3</v>
      </c>
      <c r="AL29" s="123">
        <f>AI29-AJ29</f>
        <v>-1</v>
      </c>
      <c r="AM29" s="123">
        <f>AL29-AL30</f>
        <v>3</v>
      </c>
      <c r="AN29" s="123">
        <f>AF29*3+AG29</f>
        <v>4</v>
      </c>
      <c r="AO29" s="123">
        <f>AN29/AN30*10+BA29</f>
        <v>4.9805825242718447</v>
      </c>
      <c r="AP29" s="123">
        <f>AO29*10000000+BI29*100+AM29/AM30*10+AI29/AI30*1++IF(AQ29=0,ROW(),AQ29)/2000000</f>
        <v>49805926.635103725</v>
      </c>
      <c r="AQ29" s="126">
        <f>VLOOKUP(AE29,db_fifarank,2,FALSE)</f>
        <v>1599.04</v>
      </c>
      <c r="AR29" s="125">
        <f>AP29/AP30</f>
        <v>0.55339911821648513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90000010.834169894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90000009.858008042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4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10000000.000647325</v>
      </c>
      <c r="AQ33" s="126">
        <f>VLOOKUP(AE33,db_fifarank,2,FALSE)</f>
        <v>1294.6500000000001</v>
      </c>
      <c r="AR33" s="125">
        <f>AP33/AP36</f>
        <v>0.11111109771335703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2 - 2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1</v>
      </c>
      <c r="AL34" s="123">
        <f>AI34-AJ34</f>
        <v>-1</v>
      </c>
      <c r="AM34" s="123">
        <f>AL34-AL36</f>
        <v>3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20000003.00076649</v>
      </c>
      <c r="AQ34" s="126">
        <f>VLOOKUP(AE34,db_fifarank,2,FALSE)</f>
        <v>1532.98</v>
      </c>
      <c r="AR34" s="125">
        <f>AP34/AP36</f>
        <v>0.22222222875417491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0 - 1</v>
      </c>
      <c r="P35" s="34">
        <f>L35*3+M35</f>
        <v>2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4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40000004.286511675</v>
      </c>
      <c r="AQ35" s="126">
        <f>VLOOKUP(AE35,db_fifarank,2,FALSE)</f>
        <v>1594.78</v>
      </c>
      <c r="AR35" s="125">
        <f>AP35/AP36</f>
        <v>0.44444443845255988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0 - 4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7</v>
      </c>
      <c r="AL36" s="123">
        <f>MIN(AL32:AL35)</f>
        <v>-4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90000010.858008042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>
        <v>0</v>
      </c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6</v>
      </c>
      <c r="AN38" s="123">
        <f>AF38*3+AG38</f>
        <v>9</v>
      </c>
      <c r="AO38" s="123">
        <f>AN38/AN42*10+BA38</f>
        <v>9.0065573770491802</v>
      </c>
      <c r="AP38" s="123">
        <f>AO38*10000000+BI38*100+AM38/AM42*10+AI38/AI42*1++IF(AQ38=0,ROW(),AQ38)/2000000</f>
        <v>90065583.176132634</v>
      </c>
      <c r="AQ38" s="126">
        <f>VLOOKUP(AE38,db_fifarank,2,FALSE)</f>
        <v>1757.87</v>
      </c>
      <c r="AR38" s="125">
        <f>AP38/AP42</f>
        <v>0.99999998889697983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1</v>
      </c>
      <c r="AZ38" s="126">
        <f>AT38/AT42*1000+AU38/AU42*100+AY38/AY42*10+AV38/AV42</f>
        <v>3.333333333333333</v>
      </c>
      <c r="BA38" s="126">
        <f>AZ38/AZ42</f>
        <v>6.557377049180327E-3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2</v>
      </c>
      <c r="CP38" s="64"/>
      <c r="CQ38" s="27"/>
      <c r="CR38" s="111">
        <f>IF(CR37="","",CO38*1000+CP38*10+CQ38)</f>
        <v>2000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1</v>
      </c>
      <c r="AN39" s="123">
        <f>AF39*3+AG39</f>
        <v>3</v>
      </c>
      <c r="AO39" s="123">
        <f>AN39/AN42*10+BA39</f>
        <v>3.9980327868852461</v>
      </c>
      <c r="AP39" s="123">
        <f>AO39*10000000+BI39*100+AM39/AM42*10+AI39/AI42*1++IF(AQ39=0,ROW(),AQ39)/2000000</f>
        <v>39980329.631587438</v>
      </c>
      <c r="AQ39" s="126">
        <f>VLOOKUP(AE39,db_fifarank,2,FALSE)</f>
        <v>1660.43</v>
      </c>
      <c r="AR39" s="125">
        <f>AP39/AP42</f>
        <v>0.44390240731023006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1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1</v>
      </c>
      <c r="AY39" s="126">
        <f>AX39-MIN(AX38:AX41)</f>
        <v>2</v>
      </c>
      <c r="AZ39" s="126">
        <f>AT39/AT42*1000+AU39/AU42*100+AY39/AY42*10+AV39/AV42</f>
        <v>507.33333333333337</v>
      </c>
      <c r="BA39" s="126">
        <f>AZ39/AZ42</f>
        <v>0.99803278688524588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0</v>
      </c>
      <c r="N40" s="23">
        <f>VLOOKUP(2,AD38:AN41,5,FALSE)</f>
        <v>2</v>
      </c>
      <c r="O40" s="23" t="str">
        <f>VLOOKUP(2,AD38:AN41,6,FALSE) &amp; " - " &amp; VLOOKUP(2,AD38:AN41,7,FALSE)</f>
        <v>2 - 3</v>
      </c>
      <c r="P40" s="34">
        <f>L40*3+M40</f>
        <v>3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3</v>
      </c>
      <c r="AL40" s="123">
        <f>AI40-AJ40</f>
        <v>-1</v>
      </c>
      <c r="AM40" s="123">
        <f>AL40-AL42</f>
        <v>1</v>
      </c>
      <c r="AN40" s="123">
        <f>AF40*3+AG40</f>
        <v>3</v>
      </c>
      <c r="AO40" s="123">
        <f>AN40/AN42*10+BA40</f>
        <v>3.9908196721311473</v>
      </c>
      <c r="AP40" s="123">
        <f>AO40*10000000+BI40*100+AM40/AM42*10+AI40/AI42*1++IF(AQ40=0,ROW(),AQ40)/2000000</f>
        <v>39908198.483973615</v>
      </c>
      <c r="AQ40" s="126">
        <f>VLOOKUP(AE40,db_fifarank,2,FALSE)</f>
        <v>1514.77</v>
      </c>
      <c r="AR40" s="125">
        <f>AP40/AP42</f>
        <v>0.44310153372157085</v>
      </c>
      <c r="AT40" s="126" cm="1">
        <f t="array" ref="AT40">SUMPRODUCT(($S$7:$S$78=AE40&amp;"_win")*($U$7:$U$78))+SUMPRODUCT(($T$7:$T$78=AE40&amp;"_win")*($U$7:$U$78))</f>
        <v>1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1</v>
      </c>
      <c r="AZ40" s="126">
        <f>AT40/AT42*1000+AU40/AU42*100+AY40/AY42*10+AV40/AV42</f>
        <v>503.66666666666663</v>
      </c>
      <c r="BA40" s="126">
        <f>AZ40/AZ42</f>
        <v>0.99081967213114741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2 - 3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3</v>
      </c>
      <c r="AL41" s="123">
        <f>AI41-AJ41</f>
        <v>-2</v>
      </c>
      <c r="AM41" s="123">
        <f>AL41-AL42</f>
        <v>0</v>
      </c>
      <c r="AN41" s="123">
        <f>AF41*3+AG41</f>
        <v>3</v>
      </c>
      <c r="AO41" s="123">
        <f>AN41/AN42*10+BA41</f>
        <v>3.9842622950819671</v>
      </c>
      <c r="AP41" s="123">
        <f>AO41*10000000+BI41*100+AM41/AM42*10+AI41/AI42*1++IF(AQ41=0,ROW(),AQ41)/2000000</f>
        <v>39842623.118227862</v>
      </c>
      <c r="AQ41" s="126">
        <f>VLOOKUP(AE41,db_fifarank,2,FALSE)</f>
        <v>1483.05</v>
      </c>
      <c r="AR41" s="125">
        <f>AP41/AP42</f>
        <v>0.44237344911138821</v>
      </c>
      <c r="AT41" s="126" cm="1">
        <f t="array" ref="AT41">SUMPRODUCT(($S$7:$S$78=AE41&amp;"_win")*($U$7:$U$78))+SUMPRODUCT(($T$7:$T$78=AE41&amp;"_win")*($U$7:$U$78))</f>
        <v>1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-1</v>
      </c>
      <c r="AY41" s="126">
        <f>AX41-MIN(AX38:AX41)</f>
        <v>0</v>
      </c>
      <c r="AZ41" s="126">
        <f>AT41/AT42*1000+AU41/AU42*100+AY41/AY42*10+AV41/AV42</f>
        <v>500.33333333333331</v>
      </c>
      <c r="BA41" s="126">
        <f>AZ41/AZ42</f>
        <v>0.98426229508196705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1</v>
      </c>
      <c r="M42" s="36">
        <f>VLOOKUP(4,AD38:AN41,4,FALSE)</f>
        <v>0</v>
      </c>
      <c r="N42" s="36">
        <f>VLOOKUP(4,AD38:AN41,5,FALSE)</f>
        <v>2</v>
      </c>
      <c r="O42" s="36" t="str">
        <f>VLOOKUP(4,AD38:AN41,6,FALSE) &amp; " - " &amp; VLOOKUP(4,AD38:AN41,7,FALSE)</f>
        <v>1 - 3</v>
      </c>
      <c r="P42" s="37">
        <f>L42*3+M42</f>
        <v>3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1</v>
      </c>
      <c r="V42" s="123">
        <f t="shared" si="3"/>
        <v>0</v>
      </c>
      <c r="W42" s="123">
        <f t="shared" si="4"/>
        <v>2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6</v>
      </c>
      <c r="AL42" s="123">
        <f>MIN(AL38:AL41)</f>
        <v>-2</v>
      </c>
      <c r="AM42" s="123">
        <f>MAX(AM38:AM41)+1</f>
        <v>7</v>
      </c>
      <c r="AN42" s="123">
        <f>MAX(AN38:AN41)+1</f>
        <v>10</v>
      </c>
      <c r="AO42" s="123">
        <f>MAX(AO38:AO41)+1</f>
        <v>10.00655737704918</v>
      </c>
      <c r="AP42" s="123">
        <f>MAX(AP38:AP41)+1</f>
        <v>90065584.176132634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3</v>
      </c>
      <c r="AZ42" s="126">
        <f>MAX(AZ38:AZ41)+1</f>
        <v>508.33333333333337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7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90000009.58420068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4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60000005.667448282</v>
      </c>
      <c r="AQ45" s="126">
        <f>VLOOKUP(AE45,db_fifarank,2,FALSE)</f>
        <v>1563.24</v>
      </c>
      <c r="AR45" s="125">
        <f>AP45/AP48</f>
        <v>0.66666665123682955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19804019.775317457</v>
      </c>
      <c r="AQ46" s="126">
        <f>VLOOKUP(AE46,db_fifarank,2,FALSE)</f>
        <v>1615.3</v>
      </c>
      <c r="AR46" s="125">
        <f>AP46/AP48</f>
        <v>0.22004463829245385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0 - 2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2</v>
      </c>
      <c r="AL47" s="123">
        <f>AI47-AJ47</f>
        <v>-2</v>
      </c>
      <c r="AM47" s="123">
        <f>AL47-AL48</f>
        <v>1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19804020.858483922</v>
      </c>
      <c r="AQ47" s="126">
        <f>VLOOKUP(AE47,db_fifarank,2,FALSE)</f>
        <v>1281.57</v>
      </c>
      <c r="AR47" s="125">
        <f>AP47/AP48</f>
        <v>0.22004465032763537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Norway</v>
      </c>
      <c r="BM47" s="62">
        <v>1</v>
      </c>
      <c r="BN47" s="64">
        <v>2</v>
      </c>
      <c r="BO47" s="27"/>
      <c r="BP47" s="112">
        <f>IF(BP46="","",BM47*1000+BN47*10+BO47)</f>
        <v>1020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6</v>
      </c>
      <c r="AL48" s="123">
        <f>MIN(AL44:AL47)</f>
        <v>-3</v>
      </c>
      <c r="AM48" s="123">
        <f>MAX(AM44:AM47)+1</f>
        <v>8</v>
      </c>
      <c r="AN48" s="123">
        <f>MAX(AN44:AN47)+1</f>
        <v>10</v>
      </c>
      <c r="AO48" s="123">
        <f>MAX(AO44:AO47)+1</f>
        <v>10</v>
      </c>
      <c r="AP48" s="123">
        <f>MAX(AP44:AP47)+1</f>
        <v>90000010.58420068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90000009.966847301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3</v>
      </c>
      <c r="AL51" s="123">
        <f>AI51-AJ51</f>
        <v>-3</v>
      </c>
      <c r="AM51" s="123">
        <f>AL51-AL54</f>
        <v>1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19804020.517617114</v>
      </c>
      <c r="AQ51" s="126">
        <f>VLOOKUP(AE51,db_fifarank,2,FALSE)</f>
        <v>1366.13</v>
      </c>
      <c r="AR51" s="125">
        <f>AP51/AP54</f>
        <v>0.22004464560467873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19804019.733553853</v>
      </c>
      <c r="AQ52" s="126">
        <f>VLOOKUP(AE52,db_fifarank,2,FALSE)</f>
        <v>1421.43</v>
      </c>
      <c r="AR52" s="125">
        <f>AP52/AP54</f>
        <v>0.2200446368928658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0 - 3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2</v>
      </c>
      <c r="AL53" s="123">
        <f>AI53-AJ53</f>
        <v>1</v>
      </c>
      <c r="AM53" s="123">
        <f>AL53-AL54</f>
        <v>5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60000004.921291083</v>
      </c>
      <c r="AQ53" s="126">
        <f>VLOOKUP(AE53,db_fifarank,2,FALSE)</f>
        <v>1673.07</v>
      </c>
      <c r="AR53" s="125">
        <f>AP53/AP54</f>
        <v>0.66666664011177601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1 - 5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-4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90000010.966847301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1</v>
      </c>
      <c r="AL56" s="123">
        <f>AI56-AJ56</f>
        <v>4</v>
      </c>
      <c r="AM56" s="123">
        <f>AL56-AL60</f>
        <v>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90000009.834271982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5 - 1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1</v>
      </c>
      <c r="AJ57" s="123">
        <f>SUMIF($E$7:$E$78,$AE57,$G$7:$G$78) + SUMIF($H$7:$H$78,$AE57,$F$7:$F$78)</f>
        <v>2</v>
      </c>
      <c r="AL57" s="123">
        <f>AI57-AJ57</f>
        <v>-1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30000004.167511161</v>
      </c>
      <c r="AQ57" s="126">
        <f>VLOOKUP(AE57,db_fifarank,2,FALSE)</f>
        <v>1688.99</v>
      </c>
      <c r="AR57" s="125">
        <f>AP57/AP60</f>
        <v>0.33333333951207889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5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8.0396656988452815E-12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1 - 2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7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60000007.667442136</v>
      </c>
      <c r="AQ59" s="126">
        <f>VLOOKUP(AE59,db_fifarank,2,FALSE)</f>
        <v>1550.94</v>
      </c>
      <c r="AR59" s="125">
        <f>AP59/AP60</f>
        <v>0.66666667160660109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0 - 5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6</v>
      </c>
      <c r="AL60" s="123">
        <f>MIN(AL56:AL59)</f>
        <v>-5</v>
      </c>
      <c r="AM60" s="123">
        <f>MAX(AM56:AM59)+1</f>
        <v>10</v>
      </c>
      <c r="AN60" s="123">
        <f>MAX(AN56:AN59)+1</f>
        <v>10</v>
      </c>
      <c r="AO60" s="123">
        <f>MAX(AO56:AO59)+1</f>
        <v>10</v>
      </c>
      <c r="AP60" s="123">
        <f>MAX(AP56:AP59)+1</f>
        <v>90000010.834271982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>
        <v>1</v>
      </c>
      <c r="BV60" s="25">
        <v>4</v>
      </c>
      <c r="BW60" s="112">
        <f>IF(OR(BT60="",BT61="",AND(BU60="",BU61&lt;&gt;""),AND(BU61="",BU60&lt;&gt;""),AND(BV60="",BV61&lt;&gt;""),AND(BV61="",BV60&lt;&gt;"")),"",BT60*1000+BU60*10+BV60)</f>
        <v>1014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1</v>
      </c>
      <c r="BU61" s="64">
        <v>1</v>
      </c>
      <c r="BV61" s="27">
        <v>3</v>
      </c>
      <c r="BW61" s="113">
        <f>IF(BW60="","",BT61*1000+BU61*10+BV61)</f>
        <v>1013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0</v>
      </c>
      <c r="AL62" s="123">
        <f>AI62-AJ62</f>
        <v>5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90000009.723159641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1</v>
      </c>
      <c r="BN62" s="63">
        <v>1</v>
      </c>
      <c r="BO62" s="25">
        <v>2</v>
      </c>
      <c r="BP62" s="116">
        <f>IF(OR(BM62="",BM63="",AND(BN62="",BN63&lt;&gt;""),AND(BN63="",BN62&lt;&gt;""),AND(BO62="",BO63&lt;&gt;""),AND(BO63="",BO62&lt;&gt;"")),"",BM62*1000+BN62*10+BO62)</f>
        <v>1012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1</v>
      </c>
      <c r="V63" s="123">
        <f t="shared" si="21"/>
        <v>0</v>
      </c>
      <c r="W63" s="123">
        <f t="shared" si="22"/>
        <v>1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1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20000001.445226572</v>
      </c>
      <c r="AQ63" s="126">
        <f>VLOOKUP(AE63,db_fifarank,2,FALSE)</f>
        <v>1564.26</v>
      </c>
      <c r="AR63" s="125">
        <f>AP63/AP66</f>
        <v>0.2222222118033591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>
        <v>1</v>
      </c>
      <c r="BO63" s="27">
        <v>3</v>
      </c>
      <c r="BP63" s="112">
        <f>IF(BP62="","",BM63*1000+BN63*10+BO63)</f>
        <v>1013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2</v>
      </c>
      <c r="AL64" s="123">
        <f>AI64-AJ64</f>
        <v>0</v>
      </c>
      <c r="AM64" s="123">
        <f>AL64-AL66</f>
        <v>3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40000003.667463399</v>
      </c>
      <c r="AQ64" s="126">
        <f>VLOOKUP(AE64,db_fifarank,2,FALSE)</f>
        <v>1593.45</v>
      </c>
      <c r="AR64" s="125">
        <f>AP64/AP66</f>
        <v>0.44444443224016444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0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4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10000000.167362392</v>
      </c>
      <c r="AQ65" s="126">
        <f>VLOOKUP(AE65,db_fifarank,2,FALSE)</f>
        <v>1391.45</v>
      </c>
      <c r="AR65" s="125">
        <f>AP65/AP66</f>
        <v>0.11111109973222591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6</v>
      </c>
      <c r="AL66" s="123">
        <f>MIN(AL62:AL65)</f>
        <v>-3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90000010.723159641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1</v>
      </c>
      <c r="AL68" s="123">
        <f>AI68-AJ68</f>
        <v>4</v>
      </c>
      <c r="AM68" s="123">
        <f>AL68-AL72</f>
        <v>7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90000009.584215239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>
        <v>1</v>
      </c>
      <c r="BV68" s="25">
        <v>1</v>
      </c>
      <c r="BW68" s="116">
        <f>IF(OR(BT68="",BT69="",AND(BU68="",BU69&lt;&gt;""),AND(BU69="",BU68&lt;&gt;""),AND(BV68="",BV69&lt;&gt;""),AND(BV69="",BV68&lt;&gt;"")),"",BT68*1000+BU68*10+BV68)</f>
        <v>1011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Brazil</v>
      </c>
      <c r="CL68" s="153"/>
      <c r="CM68" s="153"/>
      <c r="CN68" s="153"/>
      <c r="CO68" s="153"/>
      <c r="CP68" s="153"/>
      <c r="CQ68" s="153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5 - 1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2</v>
      </c>
      <c r="AL69" s="123">
        <f>AI69-AJ69</f>
        <v>-2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19804020.858582314</v>
      </c>
      <c r="AQ69" s="126">
        <f>VLOOKUP(AE69,db_fifarank,2,FALSE)</f>
        <v>1478.35</v>
      </c>
      <c r="AR69" s="125">
        <f>AP69/AP72</f>
        <v>0.22004465032869303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>
        <v>1</v>
      </c>
      <c r="BV69" s="27">
        <v>3</v>
      </c>
      <c r="BW69" s="112">
        <f>IF(BW68="","",BT69*1000+BU69*10+BV69)</f>
        <v>1013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3 - 2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0.22004463643973352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0 - 2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2</v>
      </c>
      <c r="AL71" s="123">
        <f>AI71-AJ71</f>
        <v>1</v>
      </c>
      <c r="AM71" s="123">
        <f>AL71-AL72</f>
        <v>4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60000005.500846542</v>
      </c>
      <c r="AQ71" s="126">
        <f>VLOOKUP(AE71,db_fifarank,2,FALSE)</f>
        <v>1693.09</v>
      </c>
      <c r="AR71" s="125">
        <f>AP71/AP72</f>
        <v>0.6666666493855915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0 - 3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6</v>
      </c>
      <c r="AL72" s="123">
        <f>MIN(AL68:AL71)</f>
        <v>-3</v>
      </c>
      <c r="AM72" s="123">
        <f>MAX(AM68:AM71)+1</f>
        <v>8</v>
      </c>
      <c r="AN72" s="123">
        <f>MAX(AN68:AN71)+1</f>
        <v>10</v>
      </c>
      <c r="AO72" s="123">
        <f>MAX(AO68:AO71)+1</f>
        <v>10</v>
      </c>
      <c r="AP72" s="123">
        <f>MAX(AP68:AP71)+1</f>
        <v>90000010.584215239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97305933.024106085</v>
      </c>
      <c r="AQ74" s="126">
        <f>VLOOKUP(AE74,db_fifarank,2,FALSE)</f>
        <v>1825.97</v>
      </c>
      <c r="AR74" s="125">
        <f>AP74/AP78</f>
        <v>0.99999998972313442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1</v>
      </c>
      <c r="AL75" s="123">
        <f>AI75-AJ75</f>
        <v>3</v>
      </c>
      <c r="AM75" s="123">
        <f>AL75-AL78</f>
        <v>7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97305931.74627386</v>
      </c>
      <c r="AQ75" s="126">
        <f>VLOOKUP(AE75,db_fifarank,2,FALSE)</f>
        <v>1717.07</v>
      </c>
      <c r="AR75" s="125">
        <f>AP75/AP78</f>
        <v>0.99999997659102446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4 - 1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4</v>
      </c>
      <c r="AL76" s="123">
        <f>AI76-AJ76</f>
        <v>-4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6.9179234211269776E-12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1</v>
      </c>
      <c r="AN77" s="123">
        <f>AF77*3+AG77</f>
        <v>3</v>
      </c>
      <c r="AO77" s="123">
        <f>AN77/AN78*10+BA77</f>
        <v>3.75</v>
      </c>
      <c r="AP77" s="123">
        <f>AO77*10000000+BI77*100+AM77/AM78*10+AI77/AI78*1++IF(AQ77=0,ROW(),AQ77)/2000000</f>
        <v>37500001.278548099</v>
      </c>
      <c r="AQ77" s="126">
        <f>VLOOKUP(AE77,db_fifarank,2,FALSE)</f>
        <v>1540.64</v>
      </c>
      <c r="AR77" s="125">
        <f>AP77/AP78</f>
        <v>0.38538247080859461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0 - 4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97305934.024106085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6566.6674173566671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8816.6674449066668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Turkey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3</v>
      </c>
      <c r="AK82" s="123" t="s">
        <v>3182</v>
      </c>
      <c r="AL82" s="123">
        <f t="shared" si="43"/>
        <v>-1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6566.6674158416672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Sweden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2</v>
      </c>
      <c r="AE83" s="124" t="str">
        <f>J29</f>
        <v>Turkey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4</v>
      </c>
      <c r="AP83" s="123">
        <f>AN83/AN92*10000+AM83/AM92*1000+AI83/AI92*100+IF(AQ83=0,ROW(),AQ83)/2000000</f>
        <v>8566.6674661866655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0</v>
      </c>
      <c r="AJ84" s="123">
        <f t="shared" si="42"/>
        <v>1</v>
      </c>
      <c r="AK84" s="123" t="s">
        <v>3185</v>
      </c>
      <c r="AL84" s="123">
        <f t="shared" si="43"/>
        <v>-1</v>
      </c>
      <c r="AM84" s="123">
        <f t="shared" si="44"/>
        <v>2</v>
      </c>
      <c r="AN84" s="123">
        <f t="shared" si="45"/>
        <v>2</v>
      </c>
      <c r="AP84" s="123">
        <f>AN84/AN92*10000+AM84/AM92*1000+AI84/AI92*100+IF(AQ84=0,ROW(),AQ84)/2000000</f>
        <v>4500.0007664900004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6566.6674240516668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1 - 2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2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1</v>
      </c>
      <c r="AP86" s="123">
        <f>AN86/AN92*10000+AM86/AM92*1000+AI86/AI92*100+IF(AQ86=0,ROW(),AQ86)/2000000</f>
        <v>2250.0006407850001</v>
      </c>
      <c r="AQ86" s="126">
        <f t="shared" si="37"/>
        <v>1281.57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Panama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3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2000.000683065</v>
      </c>
      <c r="AQ87" s="126">
        <f t="shared" si="37"/>
        <v>1366.13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Cape Verde</v>
      </c>
    </row>
    <row r="88" spans="1:46" ht="15" customHeight="1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0 - 1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1</v>
      </c>
      <c r="AJ88" s="123">
        <f t="shared" si="42"/>
        <v>2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6533.3341778283329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4316.6674487966666</v>
      </c>
      <c r="AQ89" s="126">
        <f t="shared" si="37"/>
        <v>1564.26</v>
      </c>
      <c r="AR89" s="125" t="str">
        <f t="shared" si="50"/>
        <v>ABCDEFI</v>
      </c>
      <c r="AS89" s="129" t="str">
        <f t="shared" si="46"/>
        <v/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0 - 2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10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2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2250.000739175</v>
      </c>
      <c r="AQ90" s="126">
        <f t="shared" si="37"/>
        <v>1478.35</v>
      </c>
      <c r="AR90" s="125" t="str">
        <f t="shared" si="50"/>
        <v>ABCDEFI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New Zealand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0 - 2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4</v>
      </c>
      <c r="AK91" s="123" t="s">
        <v>3192</v>
      </c>
      <c r="AL91" s="123">
        <f>VLOOKUP($AE91,$AE$8:$AQ$78,8,FALSE)</f>
        <v>-3</v>
      </c>
      <c r="AM91" s="123">
        <f t="shared" si="44"/>
        <v>0</v>
      </c>
      <c r="AN91" s="123">
        <f>VLOOKUP($AE91,$AE$8:$AQ$78,10,FALSE)</f>
        <v>3</v>
      </c>
      <c r="AP91" s="123">
        <f>AN91/AN92*10000+AM91/AM92*1000+AI91/AI92*100+IF(AQ91=0,ROW(),AQ91)/2000000</f>
        <v>6033.3341036533329</v>
      </c>
      <c r="AQ91" s="126">
        <f t="shared" si="37"/>
        <v>1540.64</v>
      </c>
      <c r="AR91" s="125" t="str">
        <f t="shared" si="50"/>
        <v>ABCDEFIL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0 - 3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3</v>
      </c>
      <c r="AJ92" s="123">
        <f>MAX(AJ80:AJ91)+1</f>
        <v>5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Mexico</v>
      </c>
      <c r="T96" s="127" t="str" cm="1">
        <f t="array" ref="T96">IF(OR(S96="",S96="draw"),INDEX(T,95,lang),S96)</f>
        <v>Mexico</v>
      </c>
    </row>
    <row r="97" spans="18:29" ht="12.75" customHeight="1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Mexico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Mexico</v>
      </c>
    </row>
    <row r="103" spans="18:29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3193</v>
      </c>
    </row>
    <row r="3" spans="2:11">
      <c r="B3" s="109">
        <f>MATCH(C3,C6:C500,0)</f>
        <v>484</v>
      </c>
      <c r="C3" s="121" t="str">
        <f>'2026 World Cup'!AR91</f>
        <v>ABCDEFIL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2026-06-11T08:51:39Z</dcterms:modified>
  <cp:category>Sports</cp:category>
  <cp:contentStatus/>
</cp:coreProperties>
</file>
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stvjh1_uio_no/Documents/Dokumenter/VM26/"/>
    </mc:Choice>
  </mc:AlternateContent>
  <xr:revisionPtr revIDLastSave="0" documentId="8_{6C7AC3BA-3F53-4562-92CF-34A004B0101E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S15" i="3"/>
  <c r="T15" i="3" s="1"/>
  <c r="S61" i="3"/>
  <c r="T61" i="3" s="1"/>
  <c r="S16" i="3"/>
  <c r="S39" i="3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S54" i="3"/>
  <c r="S77" i="3"/>
  <c r="S50" i="3"/>
  <c r="S76" i="3"/>
  <c r="T49" i="3"/>
  <c r="S47" i="3"/>
  <c r="S67" i="3"/>
  <c r="S72" i="3"/>
  <c r="S70" i="3"/>
  <c r="S42" i="3"/>
  <c r="S64" i="3"/>
  <c r="T63" i="3"/>
  <c r="T41" i="3"/>
  <c r="S40" i="3"/>
  <c r="S62" i="3"/>
  <c r="T16" i="3"/>
  <c r="T39" i="3"/>
  <c r="S38" i="3"/>
  <c r="S65" i="3"/>
  <c r="S55" i="3"/>
  <c r="S57" i="3"/>
  <c r="T60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60" i="3" l="1"/>
  <c r="BZ64" i="3" s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BS52" i="3" s="1"/>
  <c r="BZ49" i="3" s="1"/>
  <c r="CG55" i="3" s="1"/>
  <c r="CN38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69" i="3"/>
  <c r="BS68" i="3"/>
  <c r="BZ65" i="3" s="1"/>
  <c r="CG56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<sst xmlns="http://schemas.openxmlformats.org/spreadsheetml/2006/main" count="9786" uniqueCount="3698">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</sst>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60" sqref="CN60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2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9.3186991869918714</v>
      </c>
      <c r="AP8" s="123">
        <f>AO8*10000000+BI8*100+AM8/AM12*10+AI8/AI12*1++IF(AQ8=0,ROW(),AQ8)/2000000</f>
        <v>93187099.157344595</v>
      </c>
      <c r="AQ8" s="126">
        <f>VLOOKUP(AE8,db_fifarank,2,FALSE)</f>
        <v>1681.03</v>
      </c>
      <c r="AR8" s="125">
        <f>AP8/AP12</f>
        <v>0.99999998926890099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67.333333333333329</v>
      </c>
      <c r="BA8" s="126">
        <f>AZ8/AZ12</f>
        <v>0.98536585365853657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2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67.333333333333329</v>
      </c>
      <c r="BI8" s="126">
        <f>BH8/BH12</f>
        <v>0.98536585365853657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3 - 2</v>
      </c>
      <c r="P9" s="32">
        <f>L9*3+M9</f>
        <v>5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3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7.6712871072601716E-12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9.3186991869918714</v>
      </c>
      <c r="AP10" s="123">
        <f>AO10*10000000+BI10*100+AM10/AM12*10+AI10/AI12*1++IF(AQ10=0,ROW(),AQ10)/2000000</f>
        <v>93187099.157298416</v>
      </c>
      <c r="AQ10" s="126">
        <f>VLOOKUP(AE10,db_fifarank,2,FALSE)</f>
        <v>1588.66</v>
      </c>
      <c r="AR10" s="125">
        <f>AP10/AP12</f>
        <v>0.99999998926840539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67.333333333333329</v>
      </c>
      <c r="BA10" s="126">
        <f>AZ10/AZ12</f>
        <v>0.98536585365853657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2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67.333333333333329</v>
      </c>
      <c r="BI10" s="126">
        <f>BH10/BH12</f>
        <v>0.98536585365853657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3 - 2</v>
      </c>
      <c r="P11" s="34">
        <f>L11*3+M11</f>
        <v>5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9.3186991869918714</v>
      </c>
      <c r="AP11" s="123">
        <f>AO11*10000000+BI11*100+AM11/AM12*10+AI11/AI12*1++IF(AQ11=0,ROW(),AQ11)/2000000</f>
        <v>93187099.15725477</v>
      </c>
      <c r="AQ11" s="126">
        <f>VLOOKUP(AE11,db_fifarank,2,FALSE)</f>
        <v>1501.38</v>
      </c>
      <c r="AR11" s="125">
        <f>AP11/AP12</f>
        <v>0.99999998926793709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2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67.333333333333329</v>
      </c>
      <c r="BI11" s="126">
        <f>BH11/BH12</f>
        <v>0.98536585365853657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0 - 3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4</v>
      </c>
      <c r="AL12" s="123">
        <f>MIN(AL8:AL11)</f>
        <v>-3</v>
      </c>
      <c r="AM12" s="123">
        <f>MAX(AM8:AM11)+1</f>
        <v>5</v>
      </c>
      <c r="AN12" s="123">
        <f>MAX(AN8:AN11)+1</f>
        <v>6</v>
      </c>
      <c r="AO12" s="123">
        <f>MAX(AO8:AO11)+1</f>
        <v>10.318699186991871</v>
      </c>
      <c r="AP12" s="123">
        <f>MAX(AP8:AP11)+1</f>
        <v>93187100.157344595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3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68.333333333333329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4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62500006.315063961</v>
      </c>
      <c r="AQ14" s="126">
        <f>VLOOKUP(AE14,db_fifarank,2,FALSE)</f>
        <v>1556.48</v>
      </c>
      <c r="AR14" s="125">
        <f>AP14/AP18</f>
        <v>0.71428570178642004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2</v>
      </c>
      <c r="AN15" s="123">
        <f>AF15*3+AG15</f>
        <v>2</v>
      </c>
      <c r="AO15" s="123">
        <f>AN15/AN18*10+BA15</f>
        <v>2.5</v>
      </c>
      <c r="AP15" s="123">
        <f>AO15*10000000+BI15*100+AM15/AM18*10+AI15/AI18*1++IF(AQ15=0,ROW(),AQ15)/2000000</f>
        <v>25000003.257835776</v>
      </c>
      <c r="AQ15" s="126">
        <f>VLOOKUP(AE15,db_fifarank,2,FALSE)</f>
        <v>1385.84</v>
      </c>
      <c r="AR15" s="125">
        <f>AP15/AP18</f>
        <v>0.28571428907811208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Egypt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12500000.20072748</v>
      </c>
      <c r="AQ16" s="126">
        <f>VLOOKUP(AE16,db_fifarank,2,FALSE)</f>
        <v>1454.96</v>
      </c>
      <c r="AR16" s="125">
        <f>AP16/AP18</f>
        <v>0.14285712821688187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87500009.372253269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5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87500010.372253269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4</v>
      </c>
      <c r="AJ20" s="123">
        <f>SUMIF($E$7:$E$78,$AE20,$G$7:$G$78) + SUMIF($H$7:$H$78,$AE20,$F$7:$F$78)</f>
        <v>1</v>
      </c>
      <c r="AL20" s="123">
        <f>AI20-AJ20</f>
        <v>3</v>
      </c>
      <c r="AM20" s="123">
        <f>AL20-AL24</f>
        <v>7</v>
      </c>
      <c r="AN20" s="123">
        <f>AF20*3+AG20</f>
        <v>7</v>
      </c>
      <c r="AO20" s="123">
        <f>AN20/AN24*10+BA20</f>
        <v>9.7401960784313726</v>
      </c>
      <c r="AP20" s="123">
        <f>AO20*10000000+BI20*100+AM20/AM24*10+AI20/AI24*1++IF(AQ20=0,ROW(),AQ20)/2000000</f>
        <v>97402069.354802147</v>
      </c>
      <c r="AQ20" s="126">
        <f>VLOOKUP(AE20,db_fifarank,2,FALSE)</f>
        <v>1761.16</v>
      </c>
      <c r="AR20" s="125">
        <f>AP20/AP24</f>
        <v>0.99999998973327775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101</v>
      </c>
      <c r="BA20" s="126">
        <f>AZ20/AZ24</f>
        <v>0.99019607843137258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101</v>
      </c>
      <c r="BI20" s="126">
        <f>BH20/BH24</f>
        <v>0.99019607843137258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4 - 1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1</v>
      </c>
      <c r="AL21" s="123">
        <f>AI21-AJ21</f>
        <v>3</v>
      </c>
      <c r="AM21" s="123">
        <f>AL21-AL24</f>
        <v>7</v>
      </c>
      <c r="AN21" s="123">
        <f>AF21*3+AG21</f>
        <v>7</v>
      </c>
      <c r="AO21" s="123">
        <f>AN21/AN24*10+BA21</f>
        <v>9.7401960784313726</v>
      </c>
      <c r="AP21" s="123">
        <f>AO21*10000000+BI21*100+AM21/AM24*10+AI21/AI24*1++IF(AQ21=0,ROW(),AQ21)/2000000</f>
        <v>97402069.354799494</v>
      </c>
      <c r="AQ21" s="126">
        <f>VLOOKUP(AE21,db_fifarank,2,FALSE)</f>
        <v>1755.87</v>
      </c>
      <c r="AR21" s="125">
        <f>AP21/AP24</f>
        <v>0.99999998973325055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101</v>
      </c>
      <c r="BA21" s="126">
        <f>AZ21/AZ24</f>
        <v>0.99019607843137258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101</v>
      </c>
      <c r="BI21" s="126">
        <f>BH21/BH24</f>
        <v>0.99019607843137258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4 - 1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2.2401960784313726</v>
      </c>
      <c r="AP22" s="123">
        <f>AO22*10000000+BI22*100+AM22/AM24*10+AI22/AI24*1++IF(AQ22=0,ROW(),AQ22)/2000000</f>
        <v>22402060.004567422</v>
      </c>
      <c r="AQ22" s="126">
        <f>VLOOKUP(AE22,db_fifarank,2,FALSE)</f>
        <v>1291.71</v>
      </c>
      <c r="AR22" s="125">
        <f>AP22/AP24</f>
        <v>0.22999572722596598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101</v>
      </c>
      <c r="BA22" s="126">
        <f>AZ22/AZ24</f>
        <v>0.99019607843137258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101</v>
      </c>
      <c r="BI22" s="126">
        <f>BH22/BH24</f>
        <v>0.99019607843137258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1 - 3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3</v>
      </c>
      <c r="AL23" s="123">
        <f>AI23-AJ23</f>
        <v>-2</v>
      </c>
      <c r="AM23" s="123">
        <f>AL23-AL24</f>
        <v>2</v>
      </c>
      <c r="AN23" s="123">
        <f>AF23*3+AG23</f>
        <v>1</v>
      </c>
      <c r="AO23" s="123">
        <f>AN23/AN24*10+BA23</f>
        <v>2.2401960784313726</v>
      </c>
      <c r="AP23" s="123">
        <f>AO23*10000000+BI23*100+AM23/AM24*10+AI23/AI24*1++IF(AQ23=0,ROW(),AQ23)/2000000</f>
        <v>22402062.504670743</v>
      </c>
      <c r="AQ23" s="126">
        <f>VLOOKUP(AE23,db_fifarank,2,FALSE)</f>
        <v>1498.35</v>
      </c>
      <c r="AR23" s="125">
        <f>AP23/AP24</f>
        <v>0.22999575289383231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101</v>
      </c>
      <c r="BA23" s="126">
        <f>AZ23/AZ24</f>
        <v>0.99019607843137258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101</v>
      </c>
      <c r="BI23" s="126">
        <f>BH23/BH24</f>
        <v>0.99019607843137258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1 - 5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5</v>
      </c>
      <c r="AL24" s="123">
        <f>MIN(AL20:AL23)</f>
        <v>-4</v>
      </c>
      <c r="AM24" s="123">
        <f>MAX(AM20:AM23)+1</f>
        <v>8</v>
      </c>
      <c r="AN24" s="123">
        <f>MAX(AN20:AN23)+1</f>
        <v>8</v>
      </c>
      <c r="AO24" s="123">
        <f>MAX(AO20:AO23)+1</f>
        <v>10.740196078431373</v>
      </c>
      <c r="AP24" s="123">
        <f>MAX(AP20:AP23)+1</f>
        <v>97402070.354802147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102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102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6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87500009.172265127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50000006.115037464</v>
      </c>
      <c r="AQ27" s="126">
        <f>VLOOKUP(AE27,db_fifarank,2,FALSE)</f>
        <v>1503.5</v>
      </c>
      <c r="AR27" s="125">
        <f>AP27/AP30</f>
        <v>0.57142857488359422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4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9.0323989499433514E-12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6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62500009.372228093</v>
      </c>
      <c r="AQ29" s="126">
        <f>VLOOKUP(AE29,db_fifarank,2,FALSE)</f>
        <v>1599.04</v>
      </c>
      <c r="AR29" s="125">
        <f>AP29/AP30</f>
        <v>0.7142857383579907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87500010.172265127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4</v>
      </c>
      <c r="AJ32" s="123">
        <f>SUMIF($E$7:$E$78,$AE32,$G$7:$G$78) + SUMIF($H$7:$H$78,$AE32,$F$7:$F$78)</f>
        <v>2</v>
      </c>
      <c r="AL32" s="123">
        <f>AI32-AJ32</f>
        <v>2</v>
      </c>
      <c r="AM32" s="123">
        <f>AL32-AL36</f>
        <v>8</v>
      </c>
      <c r="AN32" s="123">
        <f>AF32*3+AG32</f>
        <v>5</v>
      </c>
      <c r="AO32" s="123">
        <f>AN32/AN36*10+BA32</f>
        <v>9.3186991869918714</v>
      </c>
      <c r="AP32" s="123">
        <f>AO32*10000000+BI32*100+AM32/AM36*10+AI32/AI36*1++IF(AQ32=0,ROW(),AQ32)/2000000</f>
        <v>93187100.096258163</v>
      </c>
      <c r="AQ32" s="126">
        <f>VLOOKUP(AE32,db_fifarank,2,FALSE)</f>
        <v>1730.37</v>
      </c>
      <c r="AR32" s="125">
        <f>AP32/AP36</f>
        <v>0.9999999892689011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2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67.333333333333329</v>
      </c>
      <c r="BA32" s="126">
        <f>AZ32/AZ36</f>
        <v>0.98536585365853657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2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67.333333333333329</v>
      </c>
      <c r="BI32" s="126">
        <f>BH32/BH36</f>
        <v>0.98536585365853657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4 - 2</v>
      </c>
      <c r="P33" s="32">
        <f>L33*3+M33</f>
        <v>5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6.9465086088614543E-12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4 - 2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8</v>
      </c>
      <c r="AN34" s="123">
        <f>AF34*3+AG34</f>
        <v>5</v>
      </c>
      <c r="AO34" s="123">
        <f>AN34/AN36*10+BA34</f>
        <v>9.3186991869918714</v>
      </c>
      <c r="AP34" s="123">
        <f>AO34*10000000+BI34*100+AM34/AM36*10+AI34/AI36*1++IF(AQ34=0,ROW(),AQ34)/2000000</f>
        <v>93187100.096159458</v>
      </c>
      <c r="AQ34" s="126">
        <f>VLOOKUP(AE34,db_fifarank,2,FALSE)</f>
        <v>1532.98</v>
      </c>
      <c r="AR34" s="125">
        <f>AP34/AP36</f>
        <v>0.99999998926784184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67.333333333333329</v>
      </c>
      <c r="BA34" s="126">
        <f>AZ34/AZ36</f>
        <v>0.98536585365853657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2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67.333333333333329</v>
      </c>
      <c r="BI34" s="126">
        <f>BH34/BH36</f>
        <v>0.98536585365853657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2</v>
      </c>
      <c r="N35" s="23">
        <f>VLOOKUP(3,AD32:AN35,5,FALSE)</f>
        <v>0</v>
      </c>
      <c r="O35" s="23" t="str">
        <f>VLOOKUP(3,AD32:AN35,6,FALSE) &amp; " - " &amp; VLOOKUP(3,AD32:AN35,7,FALSE)</f>
        <v>4 - 2</v>
      </c>
      <c r="P35" s="34">
        <f>L35*3+M35</f>
        <v>5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8</v>
      </c>
      <c r="AN35" s="123">
        <f>AF35*3+AG35</f>
        <v>5</v>
      </c>
      <c r="AO35" s="123">
        <f>AN35/AN36*10+BA35</f>
        <v>9.3186991869918714</v>
      </c>
      <c r="AP35" s="123">
        <f>AO35*10000000+BI35*100+AM35/AM36*10+AI35/AI36*1++IF(AQ35=0,ROW(),AQ35)/2000000</f>
        <v>93187100.096190363</v>
      </c>
      <c r="AQ35" s="126">
        <f>VLOOKUP(AE35,db_fifarank,2,FALSE)</f>
        <v>1594.78</v>
      </c>
      <c r="AR35" s="125">
        <f>AP35/AP36</f>
        <v>0.99999998926817346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67.333333333333329</v>
      </c>
      <c r="BA35" s="126">
        <f>AZ35/AZ36</f>
        <v>0.98536585365853657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2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67.333333333333329</v>
      </c>
      <c r="BI35" s="126">
        <f>BH35/BH36</f>
        <v>0.98536585365853657</v>
      </c>
      <c r="BK35" s="142"/>
      <c r="BL35" s="26" t="str">
        <f>IF(group_round_completed,VLOOKUP('3rd places'!F3,AK80:AS91,9,FALSE),"3rd Group B/E/F/I/J")</f>
        <v>Senegal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4</v>
      </c>
      <c r="AI36" s="123">
        <f>MAX(AI32:AI35)+1</f>
        <v>5</v>
      </c>
      <c r="AL36" s="123">
        <f>MIN(AL32:AL35)</f>
        <v>-6</v>
      </c>
      <c r="AM36" s="123">
        <f>MAX(AM32:AM35)+1</f>
        <v>9</v>
      </c>
      <c r="AN36" s="123">
        <f>MAX(AN32:AN35)+1</f>
        <v>6</v>
      </c>
      <c r="AO36" s="123">
        <f>MAX(AO32:AO35)+1</f>
        <v>10.318699186991871</v>
      </c>
      <c r="AP36" s="123">
        <f>MAX(AP32:AP35)+1</f>
        <v>93187101.096258163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68.333333333333329</v>
      </c>
      <c r="BB36" s="126">
        <f>MAX(BB32:BB35)-MIN(BB32:BB35)+1</f>
        <v>1</v>
      </c>
      <c r="BC36" s="126">
        <f>MAX(BC32:BC35)-MIN(BC32:BC35)+1</f>
        <v>3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68.333333333333329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Germany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8</v>
      </c>
      <c r="AN38" s="123">
        <f>AF38*3+AG38</f>
        <v>7</v>
      </c>
      <c r="AO38" s="123">
        <f>AN38/AN42*10+BA38</f>
        <v>9.7401960784313726</v>
      </c>
      <c r="AP38" s="123">
        <f>AO38*10000000+BI38*100+AM38/AM42*10+AI38/AI42*1++IF(AQ38=0,ROW(),AQ38)/2000000</f>
        <v>97402069.527022719</v>
      </c>
      <c r="AQ38" s="126">
        <f>VLOOKUP(AE38,db_fifarank,2,FALSE)</f>
        <v>1757.87</v>
      </c>
      <c r="AR38" s="125">
        <f>AP38/AP42</f>
        <v>0.99999998973327775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101</v>
      </c>
      <c r="BA38" s="126">
        <f>AZ38/AZ42</f>
        <v>0.99019607843137258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101</v>
      </c>
      <c r="BI38" s="126">
        <f>BH38/BH42</f>
        <v>0.99019607843137258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Ivory Coast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1</v>
      </c>
      <c r="Y39" s="123">
        <f t="shared" si="10"/>
        <v>1</v>
      </c>
      <c r="Z39" s="123">
        <f t="shared" si="11"/>
        <v>1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1</v>
      </c>
      <c r="AL39" s="123">
        <f>AI39-AJ39</f>
        <v>4</v>
      </c>
      <c r="AM39" s="123">
        <f>AL39-AL42</f>
        <v>8</v>
      </c>
      <c r="AN39" s="123">
        <f>AF39*3+AG39</f>
        <v>7</v>
      </c>
      <c r="AO39" s="123">
        <f>AN39/AN42*10+BA39</f>
        <v>9.7401960784313726</v>
      </c>
      <c r="AP39" s="123">
        <f>AO39*10000000+BI39*100+AM39/AM42*10+AI39/AI42*1++IF(AQ39=0,ROW(),AQ39)/2000000</f>
        <v>97402069.526974007</v>
      </c>
      <c r="AQ39" s="126">
        <f>VLOOKUP(AE39,db_fifarank,2,FALSE)</f>
        <v>1660.43</v>
      </c>
      <c r="AR39" s="125">
        <f>AP39/AP42</f>
        <v>0.99999998973277771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101</v>
      </c>
      <c r="BA39" s="126">
        <f>AZ39/AZ42</f>
        <v>0.99019607843137258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101</v>
      </c>
      <c r="BI39" s="126">
        <f>BH39/BH42</f>
        <v>0.99019607843137258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5 - 1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5</v>
      </c>
      <c r="AL40" s="123">
        <f>AI40-AJ40</f>
        <v>-4</v>
      </c>
      <c r="AM40" s="123">
        <f>AL40-AL42</f>
        <v>0</v>
      </c>
      <c r="AN40" s="123">
        <f>AF40*3+AG40</f>
        <v>1</v>
      </c>
      <c r="AO40" s="123">
        <f>AN40/AN42*10+BA40</f>
        <v>2.2401960784313726</v>
      </c>
      <c r="AP40" s="123">
        <f>AO40*10000000+BI40*100+AM40/AM42*10+AI40/AI42*1++IF(AQ40=0,ROW(),AQ40)/2000000</f>
        <v>22402059.971345622</v>
      </c>
      <c r="AQ40" s="126">
        <f>VLOOKUP(AE40,db_fifarank,2,FALSE)</f>
        <v>1514.77</v>
      </c>
      <c r="AR40" s="125">
        <f>AP40/AP42</f>
        <v>0.22999572647822217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101</v>
      </c>
      <c r="BA40" s="126">
        <f>AZ40/AZ42</f>
        <v>0.99019607843137258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101</v>
      </c>
      <c r="BI40" s="126">
        <f>BH40/BH42</f>
        <v>0.99019607843137258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1 - 5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2.2401960784313726</v>
      </c>
      <c r="AP41" s="123">
        <f>AO41*10000000+BI41*100+AM41/AM42*10+AI41/AI42*1++IF(AQ41=0,ROW(),AQ41)/2000000</f>
        <v>22402059.971329764</v>
      </c>
      <c r="AQ41" s="126">
        <f>VLOOKUP(AE41,db_fifarank,2,FALSE)</f>
        <v>1483.05</v>
      </c>
      <c r="AR41" s="125">
        <f>AP41/AP42</f>
        <v>0.22999572647805935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101</v>
      </c>
      <c r="BA41" s="126">
        <f>AZ41/AZ42</f>
        <v>0.99019607843137258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101</v>
      </c>
      <c r="BI41" s="126">
        <f>BH41/BH42</f>
        <v>0.99019607843137258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10.740196078431373</v>
      </c>
      <c r="AP42" s="123">
        <f>MAX(AP38:AP41)+1</f>
        <v>97402070.527022719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102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102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0</v>
      </c>
      <c r="AL44" s="123">
        <f>AI44-AJ44</f>
        <v>4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90000009.689756244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2</v>
      </c>
      <c r="AL45" s="123">
        <f>AI45-AJ45</f>
        <v>0</v>
      </c>
      <c r="AM45" s="123">
        <f>AL45-AL48</f>
        <v>4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49805928.146196932</v>
      </c>
      <c r="AQ45" s="126">
        <f>VLOOKUP(AE45,db_fifarank,2,FALSE)</f>
        <v>1563.24</v>
      </c>
      <c r="AR45" s="125">
        <f>AP45/AP48</f>
        <v>0.5533991358943896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4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49805928.146222964</v>
      </c>
      <c r="AQ46" s="126">
        <f>VLOOKUP(AE46,db_fifarank,2,FALSE)</f>
        <v>1615.3</v>
      </c>
      <c r="AR46" s="125">
        <f>AP46/AP48</f>
        <v>0.55339913589467882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2 - 2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7.1198324876747348E-12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0 - 4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5</v>
      </c>
      <c r="AL48" s="123">
        <f>MIN(AL44:AL47)</f>
        <v>-4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90000010.689756244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Ivory Coast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Uruguay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90000009.948990151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5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7.5896101877936989E-12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30000001.961749673</v>
      </c>
      <c r="AQ52" s="126">
        <f>VLOOKUP(AE52,db_fifarank,2,FALSE)</f>
        <v>1421.43</v>
      </c>
      <c r="AR52" s="125">
        <f>AP52/AP54</f>
        <v>0.33333331457873883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Ivory Coast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60000007.987849526</v>
      </c>
      <c r="AQ53" s="126">
        <f>VLOOKUP(AE53,db_fifarank,2,FALSE)</f>
        <v>1673.07</v>
      </c>
      <c r="AR53" s="125">
        <f>AP53/AP54</f>
        <v>0.66666667431691862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7</v>
      </c>
      <c r="AL54" s="123">
        <f>MIN(AL50:AL53)</f>
        <v>-5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90000010.948990151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Ivory Coast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0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90000010.024748176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Uruguay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6 - 0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3</v>
      </c>
      <c r="AL57" s="123">
        <f>AI57-AJ57</f>
        <v>-1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30000003.619892113</v>
      </c>
      <c r="AQ57" s="126">
        <f>VLOOKUP(AE57,db_fifarank,2,FALSE)</f>
        <v>1688.99</v>
      </c>
      <c r="AR57" s="125">
        <f>AP57/AP60</f>
        <v>0.33333333272195625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2 - 2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5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8.0396656818301165E-12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1</v>
      </c>
      <c r="BO58" s="25">
        <v>3</v>
      </c>
      <c r="BP58" s="112">
        <f>IF(OR(BM58="",BM59="",AND(BN58="",BN59&lt;&gt;""),AND(BN59="",BN58&lt;&gt;""),AND(BO58="",BO59&lt;&gt;""),AND(BO59="",BO58&lt;&gt;"")),"",BM58*1000+BN58*10+BO58)</f>
        <v>1013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2 - 3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2</v>
      </c>
      <c r="AL59" s="123">
        <f>AI59-AJ59</f>
        <v>0</v>
      </c>
      <c r="AM59" s="123">
        <f>AL59-AL60</f>
        <v>5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60000004.453156419</v>
      </c>
      <c r="AQ59" s="126">
        <f>VLOOKUP(AE59,db_fifarank,2,FALSE)</f>
        <v>1550.94</v>
      </c>
      <c r="AR59" s="125">
        <f>AP59/AP60</f>
        <v>0.66666663448138508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>
        <v>1</v>
      </c>
      <c r="BO59" s="27">
        <v>4</v>
      </c>
      <c r="BP59" s="113">
        <f>IF(BP58="","",BM59*1000+BN59*10+BO59)</f>
        <v>1014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0 - 5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90000011.024748176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Uruguay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1</v>
      </c>
      <c r="AL62" s="123">
        <f>AI62-AJ62</f>
        <v>3</v>
      </c>
      <c r="AM62" s="123">
        <f>AL62-AL66</f>
        <v>8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87500009.68982631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4 - 1</v>
      </c>
      <c r="P63" s="32">
        <f>L63*3+M63</f>
        <v>7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2</v>
      </c>
      <c r="AH63" s="123">
        <f>COUNTIF($S$7:$T$78,"=" &amp; AE63 &amp; "_lose")</f>
        <v>0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2</v>
      </c>
      <c r="AL63" s="123">
        <f>AI63-AJ63</f>
        <v>1</v>
      </c>
      <c r="AM63" s="123">
        <f>AL63-AL66</f>
        <v>6</v>
      </c>
      <c r="AN63" s="123">
        <f>AF63*3+AG63</f>
        <v>5</v>
      </c>
      <c r="AO63" s="123">
        <f>AN63/AN66*10+BA63</f>
        <v>6.25</v>
      </c>
      <c r="AP63" s="123">
        <f>AO63*10000000+BI63*100+AM63/AM66*10+AI63/AI66*1++IF(AQ63=0,ROW(),AQ63)/2000000</f>
        <v>62500007.267448798</v>
      </c>
      <c r="AQ63" s="126">
        <f>VLOOKUP(AE63,db_fifarank,2,FALSE)</f>
        <v>1564.26</v>
      </c>
      <c r="AR63" s="125">
        <f>AP63/AP66</f>
        <v>0.71428571007838426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3 - 2</v>
      </c>
      <c r="P64" s="34">
        <f>L64*3+M64</f>
        <v>5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5</v>
      </c>
      <c r="AP64" s="123">
        <f>AO64*10000000+BI64*100+AM64/AM66*10+AI64/AI66*1++IF(AQ64=0,ROW(),AQ64)/2000000</f>
        <v>50000007.267463394</v>
      </c>
      <c r="AQ64" s="126">
        <f>VLOOKUP(AE64,db_fifarank,2,FALSE)</f>
        <v>1593.45</v>
      </c>
      <c r="AR64" s="125">
        <f>AP64/AP66</f>
        <v>0.57142858467418367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Uruguay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3 - 2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7.9511418857562769E-12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Switzerland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5</v>
      </c>
      <c r="AL66" s="123">
        <f>MIN(AL62:AL65)</f>
        <v>-5</v>
      </c>
      <c r="AM66" s="123">
        <f>MAX(AM62:AM65)+1</f>
        <v>9</v>
      </c>
      <c r="AN66" s="123">
        <f>MAX(AN62:AN65)+1</f>
        <v>8</v>
      </c>
      <c r="AO66" s="123">
        <f>MAX(AO62:AO65)+1</f>
        <v>9.75</v>
      </c>
      <c r="AP66" s="123">
        <f>MAX(AP62:AP65)+1</f>
        <v>87500010.68982631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0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90000010.024691433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>
        <v>1</v>
      </c>
      <c r="BV68" s="25">
        <v>4</v>
      </c>
      <c r="BW68" s="116">
        <f>IF(OR(BT68="",BT69="",AND(BU68="",BU69&lt;&gt;""),AND(BU69="",BU68&lt;&gt;""),AND(BV68="",BV69&lt;&gt;""),AND(BV69="",BV68&lt;&gt;"")),"",BT68*1000+BU68*10+BV68)</f>
        <v>1014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Germany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30000001.810262986</v>
      </c>
      <c r="AQ69" s="126">
        <f>VLOOKUP(AE69,db_fifarank,2,FALSE)</f>
        <v>1478.35</v>
      </c>
      <c r="AR69" s="125">
        <f>AP69/AP72</f>
        <v>0.33333331261517857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>
        <v>1</v>
      </c>
      <c r="BV69" s="27">
        <v>3</v>
      </c>
      <c r="BW69" s="112">
        <f>IF(BW68="","",BT69*1000+BU69*10+BV69)</f>
        <v>1013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8.1407767805605316E-12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60000006.405608453</v>
      </c>
      <c r="AQ71" s="126">
        <f>VLOOKUP(AE71,db_fifarank,2,FALSE)</f>
        <v>1693.09</v>
      </c>
      <c r="AR71" s="125">
        <f>AP71/AP72</f>
        <v>0.66666665617571419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90000011.024691433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9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97305933.13521719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9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97305932.968496084</v>
      </c>
      <c r="AQ75" s="126">
        <f>VLOOKUP(AE75,db_fifarank,2,FALSE)</f>
        <v>1717.07</v>
      </c>
      <c r="AR75" s="125">
        <f>AP75/AP78</f>
        <v>0.99999998800976408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6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37500006.500673153</v>
      </c>
      <c r="AQ76" s="126">
        <f>VLOOKUP(AE76,db_fifarank,2,FALSE)</f>
        <v>1346.31</v>
      </c>
      <c r="AR76" s="125">
        <f>AP76/AP78</f>
        <v>0.38538252403561341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3 - 3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7.9164750520719172E-12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10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97305934.13521719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2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5</v>
      </c>
      <c r="AP80" s="123">
        <f>AN80/AN92*10000+AM80/AM92*1000+AI80/AI92*100+IF(AQ80=0,ROW(),AQ80)/2000000</f>
        <v>9107.6197983090478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4 - 2</v>
      </c>
      <c r="P81" s="98">
        <f>L81*3+M81</f>
        <v>5</v>
      </c>
      <c r="AD81" s="123">
        <f t="shared" ref="AD81:AD91" si="38">COUNTIF($AP$80:$AP$91,CONCATENATE("&gt;=",AP81))</f>
        <v>10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3801.9054548247614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2</v>
      </c>
      <c r="N82" s="100">
        <f>VLOOKUP(2,$AD$80:$AN$91,5,FALSE)</f>
        <v>0</v>
      </c>
      <c r="O82" s="100" t="str">
        <f>VLOOKUP(2,$AD$80:$AN$91,6,FALSE) &amp; " - " &amp; VLOOKUP(2,$AD$80:$AN$91,7,FALSE)</f>
        <v>3 - 2</v>
      </c>
      <c r="P82" s="101">
        <f t="shared" ref="P82:P92" si="48">L82*3+M82</f>
        <v>5</v>
      </c>
      <c r="AD82" s="123">
        <f t="shared" si="38"/>
        <v>11</v>
      </c>
      <c r="AE82" s="124" t="str">
        <f>J23</f>
        <v>Scotland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1</v>
      </c>
      <c r="AJ82" s="123">
        <f t="shared" si="42"/>
        <v>3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1</v>
      </c>
      <c r="AP82" s="123">
        <f>AN82/AN92*10000+AM82/AM92*1000+AI82/AI92*100+IF(AQ82=0,ROW(),AQ82)/2000000</f>
        <v>1972.3817015559523</v>
      </c>
      <c r="AQ82" s="126">
        <f t="shared" si="37"/>
        <v>1498.35</v>
      </c>
      <c r="AR82" s="125" t="str">
        <f t="shared" ref="AR82:AR91" si="50">AR81&amp;IF(AD82&lt;=8,RIGHT(AK82,1),"")</f>
        <v>A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Austria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3 - 2</v>
      </c>
      <c r="P83" s="101">
        <f t="shared" si="48"/>
        <v>4</v>
      </c>
      <c r="AD83" s="123">
        <f t="shared" si="38"/>
        <v>5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7278.0959898452375</v>
      </c>
      <c r="AQ83" s="126">
        <f t="shared" si="37"/>
        <v>1503.5</v>
      </c>
      <c r="AR83" s="125" t="str">
        <f t="shared" si="50"/>
        <v>AD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2</v>
      </c>
      <c r="AH84" s="123">
        <f t="shared" si="40"/>
        <v>0</v>
      </c>
      <c r="AI84" s="123">
        <f t="shared" si="41"/>
        <v>4</v>
      </c>
      <c r="AJ84" s="123">
        <f t="shared" si="42"/>
        <v>2</v>
      </c>
      <c r="AK84" s="123" t="s">
        <v>3185</v>
      </c>
      <c r="AL84" s="123">
        <f t="shared" si="43"/>
        <v>2</v>
      </c>
      <c r="AM84" s="123">
        <f t="shared" si="44"/>
        <v>6</v>
      </c>
      <c r="AN84" s="123">
        <f t="shared" si="45"/>
        <v>5</v>
      </c>
      <c r="AP84" s="123">
        <f>AN84/AN92*10000+AM84/AM92*1000+AI84/AI92*100+IF(AQ84=0,ROW(),AQ84)/2000000</f>
        <v>9270.4769569661912</v>
      </c>
      <c r="AQ84" s="126">
        <f t="shared" si="37"/>
        <v>1532.98</v>
      </c>
      <c r="AR84" s="125" t="str">
        <f t="shared" si="50"/>
        <v>ADE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2 - 2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12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1</v>
      </c>
      <c r="AJ85" s="123">
        <f t="shared" si="42"/>
        <v>5</v>
      </c>
      <c r="AK85" s="123" t="s">
        <v>3186</v>
      </c>
      <c r="AL85" s="123">
        <f t="shared" si="43"/>
        <v>-4</v>
      </c>
      <c r="AM85" s="123">
        <f t="shared" si="44"/>
        <v>0</v>
      </c>
      <c r="AN85" s="123">
        <f t="shared" si="45"/>
        <v>1</v>
      </c>
      <c r="AP85" s="123">
        <f>AN85/AN92*10000+AM85/AM92*1000+AI85/AI92*100+IF(AQ85=0,ROW(),AQ85)/2000000</f>
        <v>1686.6674240516666</v>
      </c>
      <c r="AQ85" s="126">
        <f t="shared" si="37"/>
        <v>1514.77</v>
      </c>
      <c r="AR85" s="125" t="str">
        <f t="shared" si="50"/>
        <v>ADE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7278.0960197152381</v>
      </c>
      <c r="AQ86" s="126">
        <f t="shared" si="37"/>
        <v>1563.24</v>
      </c>
      <c r="AR86" s="125" t="str">
        <f t="shared" si="50"/>
        <v>ADEG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2 - 3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5162.8578535721435</v>
      </c>
      <c r="AQ87" s="126">
        <f t="shared" si="37"/>
        <v>1421.43</v>
      </c>
      <c r="AR87" s="125" t="str">
        <f t="shared" si="50"/>
        <v>ADEG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3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5468.5722730664284</v>
      </c>
      <c r="AQ88" s="126">
        <f t="shared" si="37"/>
        <v>1688.99</v>
      </c>
      <c r="AR88" s="125" t="str">
        <f t="shared" si="50"/>
        <v>ADEGI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2</v>
      </c>
      <c r="AK89" s="123" t="s">
        <v>3190</v>
      </c>
      <c r="AL89" s="123">
        <f t="shared" si="43"/>
        <v>1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7440.9531776773811</v>
      </c>
      <c r="AQ89" s="126">
        <f t="shared" si="37"/>
        <v>1593.45</v>
      </c>
      <c r="AR89" s="125" t="str">
        <f t="shared" si="50"/>
        <v>ADEGIJ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Bosnia and Herzegovina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5162.8578820321427</v>
      </c>
      <c r="AQ90" s="126">
        <f t="shared" si="37"/>
        <v>1478.35</v>
      </c>
      <c r="AR90" s="125" t="str">
        <f t="shared" si="50"/>
        <v>ADEGIJK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Scotland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1 - 3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5631.4292445835717</v>
      </c>
      <c r="AQ91" s="126">
        <f t="shared" si="37"/>
        <v>1346.31</v>
      </c>
      <c r="AR91" s="125" t="str">
        <f t="shared" si="50"/>
        <v>ADEGIJKL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Ⓕ Sweden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Germany</v>
      </c>
      <c r="T111" s="127" t="str">
        <f>S111</f>
        <v>Germany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182</v>
      </c>
      <c r="C3" s="121" t="str">
        <f>'2026 World Cup'!AR91</f>
        <v>ADEGIJKL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3I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Jon Hovi</cp:lastModifiedBy>
  <cp:revision/>
  <dcterms:created xsi:type="dcterms:W3CDTF">2017-12-27T19:32:51Z</dcterms:created>
  <dcterms:modified xsi:type="dcterms:W3CDTF">2026-06-08T12:01:16Z</dcterms:modified>
  <cp:category>Sports</cp:category>
  <cp:contentStatus/>
</cp:coreProperties>
</file>
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dagfinha_uio_no/Documents/"/>
    </mc:Choice>
  </mc:AlternateContent>
  <xr:revisionPtr revIDLastSave="78" documentId="8_{0BD71E8F-9B26-4818-B476-F313F5587705}" xr6:coauthVersionLast="47" xr6:coauthVersionMax="47" xr10:uidLastSave="{3D7D4FCC-9243-4335-A611-F77B97669663}"/>
  <bookViews>
    <workbookView xWindow="38280" yWindow="-120" windowWidth="38640" windowHeight="211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/>
  <c r="J80" i="3"/>
  <c r="CR38" i="3"/>
  <c r="CK6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/>
  <c r="G15" i="2"/>
  <c r="BW19" i="3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R59" i="3" a="1"/>
  <c r="BR59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K53" i="3" a="1"/>
  <c r="BK53" i="3"/>
  <c r="BP49" i="3"/>
  <c r="BK49" i="3" a="1"/>
  <c r="BK49" i="3"/>
  <c r="BK45" i="3" a="1"/>
  <c r="BK45" i="3"/>
  <c r="BK41" i="3" a="1"/>
  <c r="BK41" i="3"/>
  <c r="BP37" i="3"/>
  <c r="BK37" i="3" a="1"/>
  <c r="BK37" i="3"/>
  <c r="BP33" i="3"/>
  <c r="BK33" i="3" a="1"/>
  <c r="BK33" i="3"/>
  <c r="BK29" i="3" a="1"/>
  <c r="BK29" i="3"/>
  <c r="BP25" i="3"/>
  <c r="BK25" i="3" a="1"/>
  <c r="BK25" i="3"/>
  <c r="BP21" i="3"/>
  <c r="BK21" i="3" a="1"/>
  <c r="BK21" i="3"/>
  <c r="BK17" i="3" a="1"/>
  <c r="BK17" i="3"/>
  <c r="BP13" i="3"/>
  <c r="BK13" i="3" a="1"/>
  <c r="BK13" i="3"/>
  <c r="BP9" i="3"/>
  <c r="BK9" i="3" a="1"/>
  <c r="BK9" i="3"/>
  <c r="I15" i="2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/>
  <c r="S27" i="3"/>
  <c r="T27" i="3"/>
  <c r="S74" i="3"/>
  <c r="S28" i="3"/>
  <c r="T28" i="3"/>
  <c r="S51" i="3"/>
  <c r="S30" i="3"/>
  <c r="T30" i="3"/>
  <c r="S78" i="3"/>
  <c r="S26" i="3"/>
  <c r="T26" i="3"/>
  <c r="S75" i="3"/>
  <c r="S25" i="3"/>
  <c r="T25" i="3"/>
  <c r="S49" i="3"/>
  <c r="S68" i="3"/>
  <c r="S23" i="3"/>
  <c r="T23" i="3"/>
  <c r="S48" i="3"/>
  <c r="S43" i="3"/>
  <c r="S19" i="3"/>
  <c r="T19" i="3"/>
  <c r="S20" i="3"/>
  <c r="T20" i="3"/>
  <c r="S44" i="3"/>
  <c r="S46" i="3"/>
  <c r="S21" i="3"/>
  <c r="T21" i="3"/>
  <c r="S45" i="3"/>
  <c r="S18" i="3"/>
  <c r="T18" i="3"/>
  <c r="S63" i="3"/>
  <c r="S17" i="3"/>
  <c r="T17" i="3"/>
  <c r="S41" i="3"/>
  <c r="S15" i="3"/>
  <c r="T15" i="3"/>
  <c r="S61" i="3"/>
  <c r="S16" i="3"/>
  <c r="S39" i="3"/>
  <c r="S66" i="3"/>
  <c r="S10" i="3"/>
  <c r="T10" i="3"/>
  <c r="S37" i="3"/>
  <c r="T37" i="3"/>
  <c r="S11" i="3"/>
  <c r="T11" i="3"/>
  <c r="S56" i="3"/>
  <c r="S13" i="3"/>
  <c r="T13" i="3"/>
  <c r="S32" i="3"/>
  <c r="T32" i="3"/>
  <c r="S14" i="3"/>
  <c r="T14" i="3"/>
  <c r="S8" i="3"/>
  <c r="T8" i="3"/>
  <c r="S9" i="3"/>
  <c r="T9" i="3"/>
  <c r="S33" i="3"/>
  <c r="T33" i="3"/>
  <c r="S60" i="3"/>
  <c r="S34" i="3"/>
  <c r="S29" i="3"/>
  <c r="T29" i="3"/>
  <c r="S53" i="3"/>
  <c r="S35" i="3"/>
  <c r="T35" i="3"/>
  <c r="S7" i="3"/>
  <c r="T7" i="3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T49" i="3"/>
  <c r="S47" i="3"/>
  <c r="S67" i="3"/>
  <c r="T68" i="3"/>
  <c r="T48" i="3"/>
  <c r="T43" i="3"/>
  <c r="S72" i="3"/>
  <c r="T44" i="3"/>
  <c r="T46" i="3"/>
  <c r="S70" i="3"/>
  <c r="T45" i="3"/>
  <c r="S42" i="3"/>
  <c r="S64" i="3"/>
  <c r="T63" i="3"/>
  <c r="T41" i="3"/>
  <c r="S40" i="3"/>
  <c r="S62" i="3"/>
  <c r="T61" i="3"/>
  <c r="T16" i="3"/>
  <c r="T39" i="3"/>
  <c r="S38" i="3"/>
  <c r="S65" i="3"/>
  <c r="T66" i="3"/>
  <c r="S55" i="3"/>
  <c r="T56" i="3"/>
  <c r="S57" i="3"/>
  <c r="T60" i="3"/>
  <c r="T34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/>
  <c r="AF77" i="3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/>
  <c r="AL18" i="3"/>
  <c r="AM14" i="3"/>
  <c r="AL24" i="3"/>
  <c r="AM20" i="3"/>
  <c r="AL30" i="3"/>
  <c r="AM26" i="3"/>
  <c r="AL36" i="3"/>
  <c r="AM32" i="3"/>
  <c r="AL42" i="3"/>
  <c r="AM38" i="3"/>
  <c r="AL48" i="3"/>
  <c r="AM44" i="3"/>
  <c r="AL54" i="3"/>
  <c r="AM50" i="3"/>
  <c r="AL60" i="3"/>
  <c r="AM56" i="3"/>
  <c r="AL66" i="3"/>
  <c r="AM62" i="3"/>
  <c r="AL72" i="3"/>
  <c r="AM68" i="3"/>
  <c r="AL78" i="3"/>
  <c r="AM74" i="3"/>
  <c r="BS28" i="3"/>
  <c r="AM70" i="3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/>
  <c r="CN38" i="3"/>
  <c r="CN49" i="3"/>
  <c r="BS37" i="3"/>
  <c r="BS36" i="3"/>
  <c r="V34" i="3"/>
  <c r="W34" i="3"/>
  <c r="V7" i="3"/>
  <c r="W7" i="3"/>
  <c r="AT77" i="3" a="1"/>
  <c r="AT77" i="3"/>
  <c r="AU77" i="3" a="1"/>
  <c r="AU77" i="3"/>
  <c r="AT76" i="3" a="1"/>
  <c r="AT76" i="3"/>
  <c r="AU76" i="3" a="1"/>
  <c r="AU76" i="3"/>
  <c r="AT75" i="3" a="1"/>
  <c r="AT75" i="3"/>
  <c r="AU75" i="3" a="1"/>
  <c r="AU75" i="3"/>
  <c r="AT74" i="3" a="1"/>
  <c r="AT74" i="3"/>
  <c r="AU74" i="3" a="1"/>
  <c r="AU74" i="3"/>
  <c r="AT71" i="3" a="1"/>
  <c r="AT71" i="3"/>
  <c r="AU71" i="3" a="1"/>
  <c r="AU71" i="3"/>
  <c r="AT70" i="3" a="1"/>
  <c r="AT70" i="3"/>
  <c r="AU70" i="3" a="1"/>
  <c r="AU70" i="3"/>
  <c r="AT69" i="3" a="1"/>
  <c r="AT69" i="3"/>
  <c r="AU69" i="3" a="1"/>
  <c r="AU69" i="3"/>
  <c r="AT68" i="3" a="1"/>
  <c r="AT68" i="3"/>
  <c r="AU68" i="3" a="1"/>
  <c r="AU68" i="3"/>
  <c r="AT65" i="3" a="1"/>
  <c r="AT65" i="3"/>
  <c r="AU65" i="3" a="1"/>
  <c r="AU65" i="3"/>
  <c r="AT64" i="3" a="1"/>
  <c r="AT64" i="3"/>
  <c r="AU64" i="3" a="1"/>
  <c r="AU64" i="3"/>
  <c r="AT63" i="3" a="1"/>
  <c r="AT63" i="3"/>
  <c r="AU63" i="3" a="1"/>
  <c r="AU63" i="3"/>
  <c r="AT62" i="3" a="1"/>
  <c r="AT62" i="3"/>
  <c r="AU62" i="3" a="1"/>
  <c r="AU62" i="3"/>
  <c r="AT59" i="3" a="1"/>
  <c r="AT59" i="3"/>
  <c r="AU59" i="3" a="1"/>
  <c r="AU59" i="3"/>
  <c r="AT58" i="3" a="1"/>
  <c r="AT58" i="3"/>
  <c r="AU58" i="3" a="1"/>
  <c r="AU58" i="3"/>
  <c r="AT57" i="3" a="1"/>
  <c r="AT57" i="3"/>
  <c r="AU57" i="3" a="1"/>
  <c r="AU57" i="3"/>
  <c r="AT56" i="3" a="1"/>
  <c r="AT56" i="3"/>
  <c r="AU56" i="3" a="1"/>
  <c r="AU56" i="3"/>
  <c r="AT53" i="3" a="1"/>
  <c r="AT53" i="3"/>
  <c r="AU53" i="3" a="1"/>
  <c r="AU53" i="3"/>
  <c r="AT52" i="3" a="1"/>
  <c r="AT52" i="3"/>
  <c r="AU52" i="3" a="1"/>
  <c r="AU52" i="3"/>
  <c r="AT51" i="3" a="1"/>
  <c r="AT51" i="3"/>
  <c r="AU51" i="3" a="1"/>
  <c r="AU51" i="3"/>
  <c r="AT50" i="3" a="1"/>
  <c r="AT50" i="3"/>
  <c r="AU50" i="3" a="1"/>
  <c r="AU50" i="3"/>
  <c r="AT47" i="3" a="1"/>
  <c r="AT47" i="3"/>
  <c r="AU47" i="3" a="1"/>
  <c r="AU47" i="3"/>
  <c r="AT46" i="3" a="1"/>
  <c r="AT46" i="3"/>
  <c r="AU46" i="3" a="1"/>
  <c r="AU46" i="3"/>
  <c r="AT45" i="3" a="1"/>
  <c r="AT45" i="3"/>
  <c r="AU45" i="3" a="1"/>
  <c r="AU45" i="3"/>
  <c r="AT44" i="3" a="1"/>
  <c r="AT44" i="3"/>
  <c r="AU44" i="3" a="1"/>
  <c r="AU44" i="3"/>
  <c r="AT41" i="3" a="1"/>
  <c r="AT41" i="3"/>
  <c r="AU41" i="3" a="1"/>
  <c r="AU41" i="3"/>
  <c r="AT40" i="3" a="1"/>
  <c r="AT40" i="3"/>
  <c r="AU40" i="3" a="1"/>
  <c r="AU40" i="3"/>
  <c r="AT39" i="3" a="1"/>
  <c r="AT39" i="3"/>
  <c r="AU39" i="3" a="1"/>
  <c r="AU39" i="3"/>
  <c r="AT38" i="3" a="1"/>
  <c r="AT38" i="3"/>
  <c r="AU38" i="3" a="1"/>
  <c r="AU38" i="3"/>
  <c r="AT35" i="3" a="1"/>
  <c r="AT35" i="3"/>
  <c r="AU35" i="3" a="1"/>
  <c r="AU35" i="3"/>
  <c r="AT34" i="3" a="1"/>
  <c r="AT34" i="3"/>
  <c r="AU34" i="3" a="1"/>
  <c r="AU34" i="3"/>
  <c r="AT33" i="3" a="1"/>
  <c r="AT33" i="3"/>
  <c r="AU33" i="3" a="1"/>
  <c r="AU33" i="3"/>
  <c r="AT32" i="3" a="1"/>
  <c r="AT32" i="3"/>
  <c r="AU32" i="3" a="1"/>
  <c r="AU32" i="3"/>
  <c r="AT29" i="3" a="1"/>
  <c r="AT29" i="3"/>
  <c r="AU29" i="3" a="1"/>
  <c r="AU29" i="3"/>
  <c r="AT28" i="3" a="1"/>
  <c r="AT28" i="3"/>
  <c r="AU28" i="3" a="1"/>
  <c r="AU28" i="3"/>
  <c r="AT27" i="3" a="1"/>
  <c r="AT27" i="3"/>
  <c r="AU27" i="3" a="1"/>
  <c r="AU27" i="3"/>
  <c r="AT26" i="3" a="1"/>
  <c r="AT26" i="3"/>
  <c r="AU26" i="3" a="1"/>
  <c r="AU26" i="3"/>
  <c r="AT23" i="3" a="1"/>
  <c r="AT23" i="3"/>
  <c r="AU23" i="3" a="1"/>
  <c r="AU23" i="3"/>
  <c r="AT22" i="3" a="1"/>
  <c r="AT22" i="3"/>
  <c r="AU22" i="3" a="1"/>
  <c r="AU22" i="3"/>
  <c r="AT21" i="3" a="1"/>
  <c r="AT21" i="3"/>
  <c r="AU21" i="3" a="1"/>
  <c r="AU21" i="3"/>
  <c r="AT20" i="3" a="1"/>
  <c r="AT20" i="3"/>
  <c r="AU20" i="3" a="1"/>
  <c r="AU20" i="3"/>
  <c r="AT17" i="3" a="1"/>
  <c r="AT17" i="3"/>
  <c r="AU17" i="3" a="1"/>
  <c r="AU17" i="3"/>
  <c r="AT16" i="3" a="1"/>
  <c r="AT16" i="3"/>
  <c r="AU16" i="3" a="1"/>
  <c r="AU16" i="3"/>
  <c r="AT15" i="3" a="1"/>
  <c r="AT15" i="3"/>
  <c r="AU15" i="3" a="1"/>
  <c r="AU15" i="3"/>
  <c r="AT14" i="3" a="1"/>
  <c r="AT14" i="3"/>
  <c r="AU14" i="3" a="1"/>
  <c r="AU14" i="3"/>
  <c r="AT11" i="3" a="1"/>
  <c r="AT11" i="3"/>
  <c r="AU11" i="3" a="1"/>
  <c r="AU11" i="3"/>
  <c r="AT10" i="3" a="1"/>
  <c r="AT10" i="3"/>
  <c r="AU10" i="3" a="1"/>
  <c r="AU10" i="3"/>
  <c r="AT9" i="3" a="1"/>
  <c r="AT9" i="3"/>
  <c r="AU9" i="3" a="1"/>
  <c r="AU9" i="3"/>
  <c r="AT8" i="3" a="1"/>
  <c r="AT8" i="3"/>
  <c r="AU8" i="3" a="1"/>
  <c r="AU8" i="3"/>
  <c r="AV8" i="3" a="1"/>
  <c r="AV8" i="3"/>
  <c r="AW8" i="3" a="1"/>
  <c r="AW8" i="3"/>
  <c r="AV9" i="3" a="1"/>
  <c r="AV9" i="3"/>
  <c r="AW9" i="3" a="1"/>
  <c r="AW9" i="3"/>
  <c r="AV10" i="3" a="1"/>
  <c r="AV10" i="3"/>
  <c r="AW10" i="3" a="1"/>
  <c r="AW10" i="3"/>
  <c r="AV11" i="3" a="1"/>
  <c r="AV11" i="3"/>
  <c r="AW11" i="3" a="1"/>
  <c r="AW11" i="3"/>
  <c r="AV14" i="3" a="1"/>
  <c r="AV14" i="3"/>
  <c r="AW14" i="3" a="1"/>
  <c r="AW14" i="3"/>
  <c r="AV15" i="3" a="1"/>
  <c r="AV15" i="3"/>
  <c r="AW15" i="3" a="1"/>
  <c r="AW15" i="3"/>
  <c r="AV16" i="3" a="1"/>
  <c r="AV16" i="3"/>
  <c r="AW16" i="3" a="1"/>
  <c r="AW16" i="3"/>
  <c r="AV17" i="3" a="1"/>
  <c r="AV17" i="3"/>
  <c r="AW17" i="3" a="1"/>
  <c r="AW17" i="3"/>
  <c r="AV20" i="3" a="1"/>
  <c r="AV20" i="3"/>
  <c r="AW20" i="3" a="1"/>
  <c r="AW20" i="3"/>
  <c r="AV21" i="3" a="1"/>
  <c r="AV21" i="3"/>
  <c r="AW21" i="3" a="1"/>
  <c r="AW21" i="3"/>
  <c r="AV22" i="3" a="1"/>
  <c r="AV22" i="3"/>
  <c r="AW22" i="3" a="1"/>
  <c r="AW22" i="3"/>
  <c r="AV23" i="3" a="1"/>
  <c r="AV23" i="3"/>
  <c r="AW23" i="3" a="1"/>
  <c r="AW23" i="3"/>
  <c r="AV26" i="3" a="1"/>
  <c r="AV26" i="3"/>
  <c r="AW26" i="3" a="1"/>
  <c r="AW26" i="3"/>
  <c r="AV27" i="3" a="1"/>
  <c r="AV27" i="3"/>
  <c r="AW27" i="3" a="1"/>
  <c r="AW27" i="3"/>
  <c r="AV28" i="3" a="1"/>
  <c r="AV28" i="3"/>
  <c r="AW28" i="3" a="1"/>
  <c r="AW28" i="3"/>
  <c r="AV29" i="3" a="1"/>
  <c r="AV29" i="3"/>
  <c r="AW29" i="3" a="1"/>
  <c r="AW29" i="3"/>
  <c r="AV32" i="3" a="1"/>
  <c r="AV32" i="3"/>
  <c r="AW32" i="3" a="1"/>
  <c r="AW32" i="3"/>
  <c r="AV33" i="3" a="1"/>
  <c r="AV33" i="3"/>
  <c r="AW33" i="3" a="1"/>
  <c r="AW33" i="3"/>
  <c r="AV34" i="3" a="1"/>
  <c r="AV34" i="3"/>
  <c r="AW34" i="3" a="1"/>
  <c r="AW34" i="3"/>
  <c r="AV35" i="3" a="1"/>
  <c r="AV35" i="3"/>
  <c r="AW35" i="3" a="1"/>
  <c r="AW35" i="3"/>
  <c r="AV38" i="3" a="1"/>
  <c r="AV38" i="3"/>
  <c r="AW38" i="3" a="1"/>
  <c r="AW38" i="3"/>
  <c r="AV39" i="3" a="1"/>
  <c r="AV39" i="3"/>
  <c r="AW39" i="3" a="1"/>
  <c r="AW39" i="3"/>
  <c r="AV40" i="3" a="1"/>
  <c r="AV40" i="3"/>
  <c r="AW40" i="3" a="1"/>
  <c r="AW40" i="3"/>
  <c r="AV41" i="3" a="1"/>
  <c r="AV41" i="3"/>
  <c r="AW41" i="3" a="1"/>
  <c r="AW41" i="3"/>
  <c r="AV44" i="3" a="1"/>
  <c r="AV44" i="3"/>
  <c r="AW44" i="3" a="1"/>
  <c r="AW44" i="3"/>
  <c r="AV45" i="3" a="1"/>
  <c r="AV45" i="3"/>
  <c r="AW45" i="3" a="1"/>
  <c r="AW45" i="3"/>
  <c r="AV46" i="3" a="1"/>
  <c r="AV46" i="3"/>
  <c r="AW46" i="3" a="1"/>
  <c r="AW46" i="3"/>
  <c r="AV47" i="3" a="1"/>
  <c r="AV47" i="3"/>
  <c r="AW47" i="3" a="1"/>
  <c r="AW47" i="3"/>
  <c r="AV50" i="3" a="1"/>
  <c r="AV50" i="3"/>
  <c r="AW50" i="3" a="1"/>
  <c r="AW50" i="3"/>
  <c r="AV51" i="3" a="1"/>
  <c r="AV51" i="3"/>
  <c r="AW51" i="3" a="1"/>
  <c r="AW51" i="3"/>
  <c r="AV52" i="3" a="1"/>
  <c r="AV52" i="3"/>
  <c r="AW52" i="3" a="1"/>
  <c r="AW52" i="3"/>
  <c r="AV53" i="3" a="1"/>
  <c r="AV53" i="3"/>
  <c r="AW53" i="3" a="1"/>
  <c r="AW53" i="3"/>
  <c r="AV56" i="3" a="1"/>
  <c r="AV56" i="3"/>
  <c r="AW56" i="3" a="1"/>
  <c r="AW56" i="3"/>
  <c r="AV57" i="3" a="1"/>
  <c r="AV57" i="3"/>
  <c r="AW57" i="3" a="1"/>
  <c r="AW57" i="3"/>
  <c r="AV58" i="3" a="1"/>
  <c r="AV58" i="3"/>
  <c r="AW58" i="3" a="1"/>
  <c r="AW58" i="3"/>
  <c r="AV59" i="3" a="1"/>
  <c r="AV59" i="3"/>
  <c r="AW59" i="3" a="1"/>
  <c r="AW59" i="3"/>
  <c r="AV62" i="3" a="1"/>
  <c r="AV62" i="3"/>
  <c r="AW62" i="3" a="1"/>
  <c r="AW62" i="3"/>
  <c r="AV63" i="3" a="1"/>
  <c r="AV63" i="3"/>
  <c r="AW63" i="3" a="1"/>
  <c r="AW63" i="3"/>
  <c r="AV64" i="3" a="1"/>
  <c r="AV64" i="3"/>
  <c r="AW64" i="3" a="1"/>
  <c r="AW64" i="3"/>
  <c r="AV65" i="3" a="1"/>
  <c r="AV65" i="3"/>
  <c r="AW65" i="3" a="1"/>
  <c r="AW65" i="3"/>
  <c r="AV68" i="3" a="1"/>
  <c r="AV68" i="3"/>
  <c r="AW68" i="3" a="1"/>
  <c r="AW68" i="3"/>
  <c r="AV69" i="3" a="1"/>
  <c r="AV69" i="3"/>
  <c r="AW69" i="3" a="1"/>
  <c r="AW69" i="3"/>
  <c r="AV70" i="3" a="1"/>
  <c r="AV70" i="3"/>
  <c r="AW70" i="3" a="1"/>
  <c r="AW70" i="3"/>
  <c r="AV71" i="3" a="1"/>
  <c r="AV71" i="3"/>
  <c r="AW71" i="3" a="1"/>
  <c r="AW71" i="3"/>
  <c r="AV74" i="3" a="1"/>
  <c r="AV74" i="3"/>
  <c r="AW74" i="3" a="1"/>
  <c r="AW74" i="3"/>
  <c r="AV75" i="3" a="1"/>
  <c r="AV75" i="3"/>
  <c r="AW75" i="3" a="1"/>
  <c r="AW75" i="3"/>
  <c r="AV76" i="3" a="1"/>
  <c r="AV76" i="3"/>
  <c r="AW76" i="3" a="1"/>
  <c r="AW76" i="3"/>
  <c r="AV77" i="3" a="1"/>
  <c r="AV77" i="3"/>
  <c r="AW77" i="3" a="1"/>
  <c r="AW7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/>
  <c r="AY14" i="3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/>
  <c r="AY72" i="3"/>
  <c r="AY66" i="3"/>
  <c r="AY60" i="3"/>
  <c r="AY54" i="3"/>
  <c r="AY48" i="3"/>
  <c r="AY42" i="3"/>
  <c r="AY36" i="3"/>
  <c r="AY30" i="3"/>
  <c r="AY24" i="3"/>
  <c r="AY18" i="3"/>
  <c r="AY12" i="3"/>
  <c r="AZ8" i="3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/>
  <c r="BA74" i="3"/>
  <c r="AO74" i="3"/>
  <c r="AZ72" i="3"/>
  <c r="BA68" i="3"/>
  <c r="AO68" i="3"/>
  <c r="AZ66" i="3"/>
  <c r="BA62" i="3"/>
  <c r="AO62" i="3"/>
  <c r="AZ60" i="3"/>
  <c r="BA56" i="3"/>
  <c r="AO56" i="3"/>
  <c r="AZ54" i="3"/>
  <c r="BA50" i="3"/>
  <c r="AO50" i="3"/>
  <c r="AZ48" i="3"/>
  <c r="BA44" i="3"/>
  <c r="AO44" i="3"/>
  <c r="AZ42" i="3"/>
  <c r="BA38" i="3"/>
  <c r="AO38" i="3"/>
  <c r="AZ36" i="3"/>
  <c r="BA32" i="3"/>
  <c r="AO32" i="3"/>
  <c r="AZ30" i="3"/>
  <c r="BA26" i="3"/>
  <c r="AO26" i="3"/>
  <c r="AZ24" i="3"/>
  <c r="BA20" i="3"/>
  <c r="AO20" i="3"/>
  <c r="AZ18" i="3"/>
  <c r="BA14" i="3"/>
  <c r="AO14" i="3"/>
  <c r="AZ12" i="3"/>
  <c r="BA8" i="3"/>
  <c r="AO8" i="3"/>
  <c r="BA9" i="3"/>
  <c r="AO9" i="3"/>
  <c r="BA10" i="3"/>
  <c r="AO10" i="3"/>
  <c r="BA11" i="3"/>
  <c r="AO11" i="3"/>
  <c r="BA15" i="3"/>
  <c r="AO15" i="3"/>
  <c r="BA16" i="3"/>
  <c r="AO16" i="3"/>
  <c r="BA17" i="3"/>
  <c r="AO17" i="3"/>
  <c r="BA21" i="3"/>
  <c r="AO21" i="3"/>
  <c r="BA22" i="3"/>
  <c r="AO22" i="3"/>
  <c r="BA23" i="3"/>
  <c r="AO23" i="3"/>
  <c r="BA27" i="3"/>
  <c r="AO27" i="3"/>
  <c r="BA28" i="3"/>
  <c r="AO28" i="3"/>
  <c r="BA29" i="3"/>
  <c r="AO29" i="3"/>
  <c r="BA33" i="3"/>
  <c r="AO33" i="3"/>
  <c r="BA34" i="3"/>
  <c r="AO34" i="3"/>
  <c r="BA35" i="3"/>
  <c r="AO35" i="3"/>
  <c r="BA39" i="3"/>
  <c r="AO39" i="3"/>
  <c r="BA40" i="3"/>
  <c r="AO40" i="3"/>
  <c r="BA41" i="3"/>
  <c r="AO41" i="3"/>
  <c r="BA45" i="3"/>
  <c r="AO45" i="3"/>
  <c r="BA46" i="3"/>
  <c r="AO46" i="3"/>
  <c r="BA47" i="3"/>
  <c r="AO47" i="3"/>
  <c r="BA51" i="3"/>
  <c r="AO51" i="3"/>
  <c r="BA52" i="3"/>
  <c r="AO52" i="3"/>
  <c r="BA53" i="3"/>
  <c r="AO53" i="3"/>
  <c r="BA57" i="3"/>
  <c r="AO57" i="3"/>
  <c r="BA58" i="3"/>
  <c r="AO58" i="3"/>
  <c r="BA59" i="3"/>
  <c r="AO59" i="3"/>
  <c r="BA63" i="3"/>
  <c r="AO63" i="3"/>
  <c r="BA64" i="3"/>
  <c r="AO64" i="3"/>
  <c r="BA65" i="3"/>
  <c r="AO65" i="3"/>
  <c r="BA69" i="3"/>
  <c r="AO69" i="3"/>
  <c r="BA70" i="3"/>
  <c r="AO70" i="3"/>
  <c r="BA71" i="3"/>
  <c r="AO71" i="3"/>
  <c r="BA75" i="3"/>
  <c r="AO75" i="3"/>
  <c r="BA76" i="3"/>
  <c r="AO76" i="3"/>
  <c r="BA77" i="3"/>
  <c r="AO77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a="1"/>
  <c r="BE77" i="3"/>
  <c r="BD77" i="3" a="1"/>
  <c r="BD77" i="3"/>
  <c r="BE76" i="3" a="1"/>
  <c r="BE76" i="3"/>
  <c r="BD76" i="3" a="1"/>
  <c r="BD76" i="3"/>
  <c r="BE75" i="3" a="1"/>
  <c r="BE75" i="3"/>
  <c r="BD75" i="3" a="1"/>
  <c r="BD75" i="3"/>
  <c r="BE74" i="3" a="1"/>
  <c r="BE74" i="3"/>
  <c r="BD74" i="3" a="1"/>
  <c r="BD74" i="3"/>
  <c r="BE71" i="3" a="1"/>
  <c r="BE71" i="3"/>
  <c r="BD71" i="3" a="1"/>
  <c r="BD71" i="3"/>
  <c r="BE70" i="3" a="1"/>
  <c r="BE70" i="3"/>
  <c r="BD70" i="3" a="1"/>
  <c r="BD70" i="3"/>
  <c r="BE69" i="3" a="1"/>
  <c r="BE69" i="3"/>
  <c r="BD69" i="3" a="1"/>
  <c r="BD69" i="3"/>
  <c r="BE68" i="3" a="1"/>
  <c r="BE68" i="3"/>
  <c r="BD68" i="3" a="1"/>
  <c r="BD68" i="3"/>
  <c r="BE65" i="3" a="1"/>
  <c r="BE65" i="3"/>
  <c r="BD65" i="3" a="1"/>
  <c r="BD65" i="3"/>
  <c r="BE64" i="3" a="1"/>
  <c r="BE64" i="3"/>
  <c r="BD64" i="3" a="1"/>
  <c r="BD64" i="3"/>
  <c r="BE63" i="3" a="1"/>
  <c r="BE63" i="3"/>
  <c r="BD63" i="3" a="1"/>
  <c r="BD63" i="3"/>
  <c r="BE62" i="3" a="1"/>
  <c r="BE62" i="3"/>
  <c r="BD62" i="3" a="1"/>
  <c r="BD62" i="3"/>
  <c r="BE59" i="3" a="1"/>
  <c r="BE59" i="3"/>
  <c r="BD59" i="3" a="1"/>
  <c r="BD59" i="3"/>
  <c r="BE58" i="3" a="1"/>
  <c r="BE58" i="3"/>
  <c r="BD58" i="3" a="1"/>
  <c r="BD58" i="3"/>
  <c r="BE57" i="3" a="1"/>
  <c r="BE57" i="3"/>
  <c r="BD57" i="3" a="1"/>
  <c r="BD57" i="3"/>
  <c r="BE56" i="3" a="1"/>
  <c r="BE56" i="3"/>
  <c r="BD56" i="3" a="1"/>
  <c r="BD56" i="3"/>
  <c r="BE53" i="3" a="1"/>
  <c r="BE53" i="3"/>
  <c r="BD53" i="3" a="1"/>
  <c r="BD53" i="3"/>
  <c r="BE52" i="3" a="1"/>
  <c r="BE52" i="3"/>
  <c r="BD52" i="3" a="1"/>
  <c r="BD52" i="3"/>
  <c r="BE51" i="3" a="1"/>
  <c r="BE51" i="3"/>
  <c r="BD51" i="3" a="1"/>
  <c r="BD51" i="3"/>
  <c r="BE50" i="3" a="1"/>
  <c r="BE50" i="3"/>
  <c r="BD50" i="3" a="1"/>
  <c r="BD50" i="3"/>
  <c r="BE47" i="3" a="1"/>
  <c r="BE47" i="3"/>
  <c r="BD47" i="3" a="1"/>
  <c r="BD47" i="3"/>
  <c r="BE46" i="3" a="1"/>
  <c r="BE46" i="3"/>
  <c r="BD46" i="3" a="1"/>
  <c r="BD46" i="3"/>
  <c r="BE45" i="3" a="1"/>
  <c r="BE45" i="3"/>
  <c r="BD45" i="3" a="1"/>
  <c r="BD45" i="3"/>
  <c r="BE44" i="3" a="1"/>
  <c r="BE44" i="3"/>
  <c r="BD44" i="3" a="1"/>
  <c r="BD44" i="3"/>
  <c r="BE41" i="3" a="1"/>
  <c r="BE41" i="3"/>
  <c r="BD41" i="3" a="1"/>
  <c r="BD41" i="3"/>
  <c r="BE40" i="3" a="1"/>
  <c r="BE40" i="3"/>
  <c r="BD40" i="3" a="1"/>
  <c r="BD40" i="3"/>
  <c r="BE39" i="3" a="1"/>
  <c r="BE39" i="3"/>
  <c r="BD39" i="3" a="1"/>
  <c r="BD39" i="3"/>
  <c r="BE38" i="3" a="1"/>
  <c r="BE38" i="3"/>
  <c r="BD38" i="3" a="1"/>
  <c r="BD38" i="3"/>
  <c r="BE35" i="3" a="1"/>
  <c r="BE35" i="3"/>
  <c r="BD35" i="3" a="1"/>
  <c r="BD35" i="3"/>
  <c r="BE34" i="3" a="1"/>
  <c r="BE34" i="3"/>
  <c r="BD34" i="3" a="1"/>
  <c r="BD34" i="3"/>
  <c r="BE33" i="3" a="1"/>
  <c r="BE33" i="3"/>
  <c r="BD33" i="3" a="1"/>
  <c r="BD33" i="3"/>
  <c r="BE32" i="3" a="1"/>
  <c r="BE32" i="3"/>
  <c r="BD32" i="3" a="1"/>
  <c r="BD32" i="3"/>
  <c r="BE29" i="3" a="1"/>
  <c r="BE29" i="3"/>
  <c r="BD29" i="3" a="1"/>
  <c r="BD29" i="3"/>
  <c r="BE28" i="3" a="1"/>
  <c r="BE28" i="3"/>
  <c r="BD28" i="3" a="1"/>
  <c r="BD28" i="3"/>
  <c r="BE27" i="3" a="1"/>
  <c r="BE27" i="3"/>
  <c r="BD27" i="3" a="1"/>
  <c r="BD27" i="3"/>
  <c r="BE26" i="3" a="1"/>
  <c r="BE26" i="3"/>
  <c r="BD26" i="3" a="1"/>
  <c r="BD26" i="3"/>
  <c r="BE23" i="3" a="1"/>
  <c r="BE23" i="3"/>
  <c r="BD23" i="3" a="1"/>
  <c r="BD23" i="3"/>
  <c r="BE22" i="3" a="1"/>
  <c r="BE22" i="3"/>
  <c r="BD22" i="3" a="1"/>
  <c r="BD22" i="3"/>
  <c r="BE21" i="3" a="1"/>
  <c r="BE21" i="3"/>
  <c r="BD21" i="3" a="1"/>
  <c r="BD21" i="3"/>
  <c r="BE20" i="3" a="1"/>
  <c r="BE20" i="3"/>
  <c r="BD20" i="3" a="1"/>
  <c r="BD20" i="3"/>
  <c r="BE17" i="3" a="1"/>
  <c r="BE17" i="3"/>
  <c r="BD17" i="3" a="1"/>
  <c r="BD17" i="3"/>
  <c r="BE16" i="3" a="1"/>
  <c r="BE16" i="3"/>
  <c r="BD16" i="3" a="1"/>
  <c r="BD16" i="3"/>
  <c r="BE15" i="3" a="1"/>
  <c r="BE15" i="3"/>
  <c r="BD15" i="3" a="1"/>
  <c r="BD15" i="3"/>
  <c r="BE14" i="3" a="1"/>
  <c r="BE14" i="3"/>
  <c r="BD14" i="3" a="1"/>
  <c r="BD14" i="3"/>
  <c r="BE11" i="3" a="1"/>
  <c r="BE11" i="3"/>
  <c r="BD11" i="3" a="1"/>
  <c r="BD11" i="3"/>
  <c r="BE10" i="3" a="1"/>
  <c r="BE10" i="3"/>
  <c r="BD10" i="3" a="1"/>
  <c r="BD10" i="3"/>
  <c r="BE9" i="3" a="1"/>
  <c r="BE9" i="3"/>
  <c r="BD9" i="3" a="1"/>
  <c r="BD9" i="3"/>
  <c r="BE8" i="3" a="1"/>
  <c r="BE8" i="3"/>
  <c r="BD8" i="3" a="1"/>
  <c r="BD8" i="3"/>
  <c r="BC77" i="3" a="1"/>
  <c r="BC77" i="3"/>
  <c r="BB77" i="3" a="1"/>
  <c r="BB77" i="3"/>
  <c r="BC76" i="3" a="1"/>
  <c r="BC76" i="3"/>
  <c r="BB76" i="3" a="1"/>
  <c r="BB76" i="3"/>
  <c r="BC75" i="3" a="1"/>
  <c r="BC75" i="3"/>
  <c r="BB75" i="3" a="1"/>
  <c r="BB75" i="3"/>
  <c r="BC74" i="3" a="1"/>
  <c r="BC74" i="3"/>
  <c r="BB74" i="3" a="1"/>
  <c r="BB74" i="3"/>
  <c r="BC71" i="3" a="1"/>
  <c r="BC71" i="3"/>
  <c r="BB71" i="3" a="1"/>
  <c r="BB71" i="3"/>
  <c r="BC70" i="3" a="1"/>
  <c r="BC70" i="3"/>
  <c r="BB70" i="3" a="1"/>
  <c r="BB70" i="3"/>
  <c r="BC69" i="3" a="1"/>
  <c r="BC69" i="3"/>
  <c r="BB69" i="3" a="1"/>
  <c r="BB69" i="3"/>
  <c r="BC68" i="3" a="1"/>
  <c r="BC68" i="3"/>
  <c r="BB68" i="3" a="1"/>
  <c r="BB68" i="3"/>
  <c r="BC65" i="3" a="1"/>
  <c r="BC65" i="3"/>
  <c r="BB65" i="3" a="1"/>
  <c r="BB65" i="3"/>
  <c r="BC64" i="3" a="1"/>
  <c r="BC64" i="3"/>
  <c r="BB64" i="3" a="1"/>
  <c r="BB64" i="3"/>
  <c r="BC63" i="3" a="1"/>
  <c r="BC63" i="3"/>
  <c r="BB63" i="3" a="1"/>
  <c r="BB63" i="3"/>
  <c r="BC62" i="3" a="1"/>
  <c r="BC62" i="3"/>
  <c r="BB62" i="3" a="1"/>
  <c r="BB62" i="3"/>
  <c r="BC59" i="3" a="1"/>
  <c r="BC59" i="3"/>
  <c r="BB59" i="3" a="1"/>
  <c r="BB59" i="3"/>
  <c r="BC58" i="3" a="1"/>
  <c r="BC58" i="3"/>
  <c r="BB58" i="3" a="1"/>
  <c r="BB58" i="3"/>
  <c r="BC57" i="3" a="1"/>
  <c r="BC57" i="3"/>
  <c r="BB57" i="3" a="1"/>
  <c r="BB57" i="3"/>
  <c r="BC56" i="3" a="1"/>
  <c r="BC56" i="3"/>
  <c r="BB56" i="3" a="1"/>
  <c r="BB56" i="3"/>
  <c r="BC53" i="3" a="1"/>
  <c r="BC53" i="3"/>
  <c r="BB53" i="3" a="1"/>
  <c r="BB53" i="3"/>
  <c r="BC52" i="3" a="1"/>
  <c r="BC52" i="3"/>
  <c r="BB52" i="3" a="1"/>
  <c r="BB52" i="3"/>
  <c r="BC51" i="3" a="1"/>
  <c r="BC51" i="3"/>
  <c r="BB51" i="3" a="1"/>
  <c r="BB51" i="3"/>
  <c r="BC50" i="3" a="1"/>
  <c r="BC50" i="3"/>
  <c r="BB50" i="3" a="1"/>
  <c r="BB50" i="3"/>
  <c r="BC47" i="3" a="1"/>
  <c r="BC47" i="3"/>
  <c r="BB47" i="3" a="1"/>
  <c r="BB47" i="3"/>
  <c r="BC46" i="3" a="1"/>
  <c r="BC46" i="3"/>
  <c r="BB46" i="3" a="1"/>
  <c r="BB46" i="3"/>
  <c r="BC45" i="3" a="1"/>
  <c r="BC45" i="3"/>
  <c r="BB45" i="3" a="1"/>
  <c r="BB45" i="3"/>
  <c r="BC44" i="3" a="1"/>
  <c r="BC44" i="3"/>
  <c r="BB44" i="3" a="1"/>
  <c r="BB44" i="3"/>
  <c r="BC41" i="3" a="1"/>
  <c r="BC41" i="3"/>
  <c r="BB41" i="3" a="1"/>
  <c r="BB41" i="3"/>
  <c r="BC40" i="3" a="1"/>
  <c r="BC40" i="3"/>
  <c r="BB40" i="3" a="1"/>
  <c r="BB40" i="3"/>
  <c r="BC39" i="3" a="1"/>
  <c r="BC39" i="3"/>
  <c r="BB39" i="3" a="1"/>
  <c r="BB39" i="3"/>
  <c r="BC38" i="3" a="1"/>
  <c r="BC38" i="3"/>
  <c r="BB38" i="3" a="1"/>
  <c r="BB38" i="3"/>
  <c r="BC35" i="3" a="1"/>
  <c r="BC35" i="3"/>
  <c r="BB35" i="3" a="1"/>
  <c r="BB35" i="3"/>
  <c r="BC34" i="3" a="1"/>
  <c r="BC34" i="3"/>
  <c r="BB34" i="3" a="1"/>
  <c r="BB34" i="3"/>
  <c r="BC33" i="3" a="1"/>
  <c r="BC33" i="3"/>
  <c r="BB33" i="3" a="1"/>
  <c r="BB33" i="3"/>
  <c r="BC32" i="3" a="1"/>
  <c r="BC32" i="3"/>
  <c r="BB32" i="3" a="1"/>
  <c r="BB32" i="3"/>
  <c r="BC29" i="3" a="1"/>
  <c r="BC29" i="3"/>
  <c r="BB29" i="3" a="1"/>
  <c r="BB29" i="3"/>
  <c r="BC28" i="3" a="1"/>
  <c r="BC28" i="3"/>
  <c r="BB28" i="3" a="1"/>
  <c r="BB28" i="3"/>
  <c r="BC27" i="3" a="1"/>
  <c r="BC27" i="3"/>
  <c r="BB27" i="3" a="1"/>
  <c r="BB27" i="3"/>
  <c r="BC26" i="3" a="1"/>
  <c r="BC26" i="3"/>
  <c r="BB26" i="3" a="1"/>
  <c r="BB26" i="3"/>
  <c r="BC23" i="3" a="1"/>
  <c r="BC23" i="3"/>
  <c r="BB23" i="3" a="1"/>
  <c r="BB23" i="3"/>
  <c r="BC22" i="3" a="1"/>
  <c r="BC22" i="3"/>
  <c r="BB22" i="3" a="1"/>
  <c r="BB22" i="3"/>
  <c r="BC21" i="3" a="1"/>
  <c r="BC21" i="3"/>
  <c r="BB21" i="3" a="1"/>
  <c r="BB21" i="3"/>
  <c r="BC20" i="3" a="1"/>
  <c r="BC20" i="3"/>
  <c r="BB20" i="3" a="1"/>
  <c r="BB20" i="3"/>
  <c r="BC17" i="3" a="1"/>
  <c r="BC17" i="3"/>
  <c r="BB17" i="3" a="1"/>
  <c r="BB17" i="3"/>
  <c r="BC16" i="3" a="1"/>
  <c r="BC16" i="3"/>
  <c r="BB16" i="3" a="1"/>
  <c r="BB16" i="3"/>
  <c r="BC15" i="3" a="1"/>
  <c r="BC15" i="3"/>
  <c r="BB15" i="3" a="1"/>
  <c r="BB15" i="3"/>
  <c r="BC14" i="3" a="1"/>
  <c r="BC14" i="3"/>
  <c r="BB14" i="3" a="1"/>
  <c r="BB14" i="3"/>
  <c r="BC11" i="3" a="1"/>
  <c r="BC11" i="3"/>
  <c r="BB11" i="3" a="1"/>
  <c r="BB11" i="3"/>
  <c r="BC10" i="3" a="1"/>
  <c r="BC10" i="3"/>
  <c r="BB10" i="3" a="1"/>
  <c r="BB10" i="3"/>
  <c r="BC9" i="3" a="1"/>
  <c r="BC9" i="3"/>
  <c r="BB9" i="3" a="1"/>
  <c r="BB9" i="3"/>
  <c r="BC8" i="3" a="1"/>
  <c r="BC8" i="3"/>
  <c r="BB8" i="3" a="1"/>
  <c r="BB8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/>
  <c r="BH74" i="3"/>
  <c r="BG66" i="3"/>
  <c r="BH62" i="3"/>
  <c r="BG48" i="3"/>
  <c r="BH44" i="3"/>
  <c r="BG60" i="3"/>
  <c r="BG24" i="3"/>
  <c r="BH20" i="3"/>
  <c r="BG12" i="3"/>
  <c r="BH8" i="3"/>
  <c r="BG36" i="3"/>
  <c r="BH32" i="3"/>
  <c r="BG30" i="3"/>
  <c r="BH26" i="3"/>
  <c r="BG72" i="3"/>
  <c r="BH68" i="3"/>
  <c r="BG42" i="3"/>
  <c r="BH38" i="3"/>
  <c r="BG18" i="3"/>
  <c r="BH14" i="3"/>
  <c r="BG54" i="3"/>
  <c r="BH50" i="3"/>
  <c r="BH57" i="3"/>
  <c r="BH58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/>
  <c r="AP56" i="3"/>
  <c r="BH53" i="3"/>
  <c r="BH16" i="3"/>
  <c r="BH51" i="3"/>
  <c r="BH41" i="3"/>
  <c r="BH52" i="3"/>
  <c r="BH78" i="3"/>
  <c r="BI76" i="3"/>
  <c r="AP76" i="3"/>
  <c r="BH12" i="3"/>
  <c r="BI11" i="3"/>
  <c r="AP11" i="3"/>
  <c r="BH30" i="3"/>
  <c r="BI28" i="3"/>
  <c r="AP28" i="3"/>
  <c r="BH24" i="3"/>
  <c r="BI23" i="3"/>
  <c r="AP23" i="3"/>
  <c r="BH66" i="3"/>
  <c r="BI65" i="3"/>
  <c r="AP65" i="3"/>
  <c r="BH72" i="3"/>
  <c r="BI71" i="3"/>
  <c r="AP71" i="3"/>
  <c r="BI59" i="3"/>
  <c r="AP59" i="3"/>
  <c r="BH42" i="3"/>
  <c r="BI40" i="3"/>
  <c r="AP40" i="3"/>
  <c r="BI57" i="3"/>
  <c r="AP57" i="3"/>
  <c r="BH36" i="3"/>
  <c r="BI34" i="3"/>
  <c r="AP34" i="3"/>
  <c r="BH48" i="3"/>
  <c r="BI46" i="3"/>
  <c r="AP46" i="3"/>
  <c r="BH18" i="3"/>
  <c r="BI17" i="3"/>
  <c r="AP17" i="3"/>
  <c r="BH54" i="3"/>
  <c r="BI52" i="3"/>
  <c r="AP52" i="3"/>
  <c r="BI58" i="3"/>
  <c r="AP58" i="3"/>
  <c r="BI20" i="3"/>
  <c r="AP20" i="3"/>
  <c r="BI26" i="3"/>
  <c r="AP26" i="3"/>
  <c r="BI69" i="3"/>
  <c r="AP69" i="3"/>
  <c r="BI22" i="3"/>
  <c r="AP22" i="3"/>
  <c r="BI77" i="3"/>
  <c r="AP77" i="3"/>
  <c r="BI75" i="3"/>
  <c r="AP75" i="3"/>
  <c r="BI74" i="3"/>
  <c r="AP74" i="3"/>
  <c r="BI68" i="3"/>
  <c r="AP68" i="3"/>
  <c r="BI39" i="3"/>
  <c r="AP39" i="3"/>
  <c r="BI38" i="3"/>
  <c r="AP38" i="3"/>
  <c r="BI35" i="3"/>
  <c r="AP35" i="3"/>
  <c r="BI33" i="3"/>
  <c r="AP33" i="3"/>
  <c r="BI9" i="3"/>
  <c r="AP9" i="3"/>
  <c r="BI10" i="3"/>
  <c r="AP10" i="3"/>
  <c r="BI8" i="3"/>
  <c r="AP8" i="3"/>
  <c r="BI53" i="3"/>
  <c r="AP53" i="3"/>
  <c r="BI44" i="3"/>
  <c r="AP44" i="3"/>
  <c r="BI70" i="3"/>
  <c r="AP70" i="3"/>
  <c r="BI47" i="3"/>
  <c r="AP47" i="3"/>
  <c r="BI29" i="3"/>
  <c r="AP29" i="3"/>
  <c r="BI32" i="3"/>
  <c r="AP32" i="3"/>
  <c r="BI41" i="3"/>
  <c r="AP41" i="3"/>
  <c r="BI27" i="3"/>
  <c r="AP27" i="3"/>
  <c r="BI14" i="3"/>
  <c r="AP14" i="3"/>
  <c r="BI64" i="3"/>
  <c r="AP64" i="3"/>
  <c r="BI63" i="3"/>
  <c r="AP63" i="3"/>
  <c r="BI16" i="3"/>
  <c r="AP16" i="3"/>
  <c r="AP60" i="3"/>
  <c r="AR57" i="3"/>
  <c r="BI62" i="3"/>
  <c r="AP62" i="3"/>
  <c r="BI45" i="3"/>
  <c r="AP45" i="3"/>
  <c r="BI21" i="3"/>
  <c r="AP21" i="3"/>
  <c r="BI51" i="3"/>
  <c r="AP51" i="3"/>
  <c r="BI50" i="3"/>
  <c r="AP50" i="3"/>
  <c r="BI15" i="3"/>
  <c r="AP15" i="3"/>
  <c r="AP12" i="3"/>
  <c r="AR8" i="3"/>
  <c r="AP72" i="3"/>
  <c r="AR68" i="3"/>
  <c r="AP36" i="3"/>
  <c r="AR32" i="3"/>
  <c r="AP30" i="3"/>
  <c r="AR26" i="3"/>
  <c r="AP78" i="3"/>
  <c r="AR74" i="3"/>
  <c r="AP24" i="3"/>
  <c r="AR20" i="3"/>
  <c r="AR58" i="3"/>
  <c r="AR56" i="3"/>
  <c r="AR59" i="3"/>
  <c r="AD58" i="3"/>
  <c r="AP42" i="3"/>
  <c r="AR38" i="3"/>
  <c r="AP66" i="3"/>
  <c r="AR62" i="3"/>
  <c r="AP48" i="3"/>
  <c r="AR44" i="3"/>
  <c r="AP18" i="3"/>
  <c r="AR14" i="3"/>
  <c r="AP54" i="3"/>
  <c r="AR50" i="3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D59" i="3"/>
  <c r="N58" i="3"/>
  <c r="AR16" i="3"/>
  <c r="AR17" i="3"/>
  <c r="AD11" i="3"/>
  <c r="AD9" i="3"/>
  <c r="AD8" i="3"/>
  <c r="AD10" i="3"/>
  <c r="L58" i="3"/>
  <c r="AD75" i="3"/>
  <c r="AD74" i="3"/>
  <c r="AD14" i="3"/>
  <c r="AD15" i="3"/>
  <c r="AD68" i="3"/>
  <c r="O69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/>
  <c r="BL14" i="3"/>
  <c r="J59" i="3"/>
  <c r="AE88" i="3"/>
  <c r="AQ88" i="3"/>
  <c r="AD46" i="3"/>
  <c r="M60" i="3"/>
  <c r="O57" i="3"/>
  <c r="N60" i="3"/>
  <c r="M57" i="3"/>
  <c r="AD23" i="3"/>
  <c r="AD65" i="3"/>
  <c r="AD51" i="3"/>
  <c r="O58" i="3"/>
  <c r="N57" i="3"/>
  <c r="J60" i="3"/>
  <c r="J58" i="3"/>
  <c r="AS57" i="3"/>
  <c r="BL47" i="3"/>
  <c r="BS45" i="3"/>
  <c r="BZ48" i="3"/>
  <c r="O59" i="3"/>
  <c r="AD45" i="3"/>
  <c r="AD40" i="3"/>
  <c r="AD52" i="3"/>
  <c r="AD38" i="3"/>
  <c r="N39" i="3"/>
  <c r="AD50" i="3"/>
  <c r="N59" i="3"/>
  <c r="AD17" i="3"/>
  <c r="J75" i="3"/>
  <c r="AS74" i="3"/>
  <c r="BL54" i="3"/>
  <c r="O63" i="3"/>
  <c r="N51" i="3"/>
  <c r="O76" i="3"/>
  <c r="O12" i="3"/>
  <c r="N75" i="3"/>
  <c r="L33" i="3"/>
  <c r="O18" i="3"/>
  <c r="J18" i="3"/>
  <c r="O75" i="3"/>
  <c r="L75" i="3"/>
  <c r="M78" i="3"/>
  <c r="J76" i="3"/>
  <c r="AS75" i="3"/>
  <c r="BL27" i="3"/>
  <c r="N9" i="3"/>
  <c r="N10" i="3"/>
  <c r="O9" i="3"/>
  <c r="N12" i="3"/>
  <c r="J12" i="3"/>
  <c r="M21" i="3"/>
  <c r="M12" i="3"/>
  <c r="M9" i="3"/>
  <c r="L9" i="3"/>
  <c r="J9" i="3"/>
  <c r="AS8" i="3"/>
  <c r="BL50" i="3"/>
  <c r="L12" i="3"/>
  <c r="N71" i="3"/>
  <c r="O11" i="3"/>
  <c r="J10" i="3"/>
  <c r="AS9" i="3"/>
  <c r="BL18" i="3"/>
  <c r="N72" i="3"/>
  <c r="N11" i="3"/>
  <c r="O16" i="3"/>
  <c r="M11" i="3"/>
  <c r="L11" i="3"/>
  <c r="O10" i="3"/>
  <c r="L71" i="3"/>
  <c r="L10" i="3"/>
  <c r="M75" i="3"/>
  <c r="L69" i="3"/>
  <c r="J11" i="3"/>
  <c r="AE80" i="3"/>
  <c r="AQ80" i="3"/>
  <c r="N30" i="3"/>
  <c r="L76" i="3"/>
  <c r="M10" i="3"/>
  <c r="M63" i="3"/>
  <c r="J77" i="3"/>
  <c r="AE91" i="3"/>
  <c r="AQ91" i="3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/>
  <c r="BL62" i="3"/>
  <c r="BS61" i="3"/>
  <c r="N69" i="3"/>
  <c r="J21" i="3"/>
  <c r="AS20" i="3"/>
  <c r="BL42" i="3"/>
  <c r="BS44" i="3"/>
  <c r="M69" i="3"/>
  <c r="O71" i="3"/>
  <c r="N29" i="3"/>
  <c r="J16" i="3"/>
  <c r="AS15" i="3"/>
  <c r="BL19" i="3"/>
  <c r="J69" i="3"/>
  <c r="AS68" i="3"/>
  <c r="BL70" i="3"/>
  <c r="L36" i="3"/>
  <c r="M16" i="3"/>
  <c r="J71" i="3"/>
  <c r="AE90" i="3"/>
  <c r="AQ90" i="3"/>
  <c r="N70" i="3"/>
  <c r="O33" i="3"/>
  <c r="O70" i="3"/>
  <c r="O72" i="3"/>
  <c r="L16" i="3"/>
  <c r="J70" i="3"/>
  <c r="AS69" i="3"/>
  <c r="BL26" i="3"/>
  <c r="J72" i="3"/>
  <c r="M33" i="3"/>
  <c r="L42" i="3"/>
  <c r="J34" i="3"/>
  <c r="AS33" i="3"/>
  <c r="BL46" i="3"/>
  <c r="N33" i="3"/>
  <c r="M70" i="3"/>
  <c r="N34" i="3"/>
  <c r="J33" i="3"/>
  <c r="AS32" i="3"/>
  <c r="BL10" i="3"/>
  <c r="N36" i="3"/>
  <c r="J29" i="3"/>
  <c r="AE83" i="3"/>
  <c r="AQ83" i="3"/>
  <c r="L70" i="3"/>
  <c r="M36" i="3"/>
  <c r="J41" i="3"/>
  <c r="AE85" i="3"/>
  <c r="AQ85" i="3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/>
  <c r="BL34" i="3"/>
  <c r="L21" i="3"/>
  <c r="O54" i="3"/>
  <c r="L22" i="3"/>
  <c r="K59" i="3"/>
  <c r="J30" i="3"/>
  <c r="L34" i="3"/>
  <c r="L28" i="3"/>
  <c r="J22" i="3"/>
  <c r="AS21" i="3"/>
  <c r="BL23" i="3"/>
  <c r="N40" i="3"/>
  <c r="O35" i="3"/>
  <c r="J35" i="3"/>
  <c r="AE84" i="3"/>
  <c r="AQ84" i="3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/>
  <c r="BL22" i="3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/>
  <c r="BL38" i="3"/>
  <c r="O17" i="3"/>
  <c r="AH88" i="3"/>
  <c r="N47" i="3"/>
  <c r="M17" i="3"/>
  <c r="N48" i="3"/>
  <c r="L65" i="3"/>
  <c r="N54" i="3"/>
  <c r="O47" i="3"/>
  <c r="J48" i="3"/>
  <c r="O22" i="3"/>
  <c r="J17" i="3"/>
  <c r="AE81" i="3"/>
  <c r="AQ81" i="3"/>
  <c r="L15" i="3"/>
  <c r="J64" i="3"/>
  <c r="AS63" i="3"/>
  <c r="BL31" i="3"/>
  <c r="M24" i="3"/>
  <c r="O45" i="3"/>
  <c r="J63" i="3"/>
  <c r="AS62" i="3"/>
  <c r="BL58" i="3"/>
  <c r="BS60" i="3"/>
  <c r="BZ64" i="3"/>
  <c r="O64" i="3"/>
  <c r="J52" i="3"/>
  <c r="AS51" i="3"/>
  <c r="BL59" i="3"/>
  <c r="N45" i="3"/>
  <c r="J65" i="3"/>
  <c r="AE89" i="3"/>
  <c r="AQ89" i="3"/>
  <c r="N64" i="3"/>
  <c r="M45" i="3"/>
  <c r="O24" i="3"/>
  <c r="AN88" i="3"/>
  <c r="N53" i="3"/>
  <c r="K57" i="3"/>
  <c r="M41" i="3"/>
  <c r="M65" i="3"/>
  <c r="J47" i="3"/>
  <c r="AE86" i="3"/>
  <c r="AQ86" i="3"/>
  <c r="O66" i="3"/>
  <c r="AL88" i="3"/>
  <c r="O46" i="3"/>
  <c r="O41" i="3"/>
  <c r="J66" i="3"/>
  <c r="J53" i="3"/>
  <c r="AE87" i="3"/>
  <c r="AQ87" i="3"/>
  <c r="L51" i="3"/>
  <c r="L46" i="3"/>
  <c r="M42" i="3"/>
  <c r="M40" i="3"/>
  <c r="J40" i="3"/>
  <c r="AS39" i="3"/>
  <c r="BL43" i="3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/>
  <c r="BL30" i="3"/>
  <c r="L48" i="3"/>
  <c r="N41" i="3"/>
  <c r="O40" i="3"/>
  <c r="J23" i="3"/>
  <c r="AE82" i="3"/>
  <c r="AQ82" i="3"/>
  <c r="M64" i="3"/>
  <c r="L39" i="3"/>
  <c r="O51" i="3"/>
  <c r="M52" i="3"/>
  <c r="M48" i="3"/>
  <c r="O48" i="3"/>
  <c r="J46" i="3"/>
  <c r="AS45" i="3"/>
  <c r="BL63" i="3"/>
  <c r="O42" i="3"/>
  <c r="L41" i="3"/>
  <c r="P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/>
  <c r="BL66" i="3"/>
  <c r="AF9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AF92" i="3"/>
  <c r="AG92" i="3"/>
  <c r="AI92" i="3"/>
  <c r="AN92" i="3"/>
  <c r="AH92" i="3"/>
  <c r="AL92" i="3"/>
  <c r="AM88" i="3"/>
  <c r="AS92" i="3"/>
  <c r="AJ92" i="3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a="1"/>
  <c r="T85" i="3"/>
  <c r="BS13" i="3"/>
  <c r="S84" i="3"/>
  <c r="T84" i="3" a="1"/>
  <c r="T84" i="3"/>
  <c r="BS12" i="3"/>
  <c r="AM92" i="3"/>
  <c r="AP87" i="3"/>
  <c r="BZ16" i="3"/>
  <c r="S95" i="3"/>
  <c r="T95" i="3" a="1"/>
  <c r="T95" i="3"/>
  <c r="AP84" i="3"/>
  <c r="AP89" i="3"/>
  <c r="AP86" i="3"/>
  <c r="AP91" i="3"/>
  <c r="AP81" i="3"/>
  <c r="AP88" i="3"/>
  <c r="AP90" i="3"/>
  <c r="AP80" i="3"/>
  <c r="AP85" i="3"/>
  <c r="AP83" i="3"/>
  <c r="AP82" i="3"/>
  <c r="AD87" i="3"/>
  <c r="AS87" i="3"/>
  <c r="AD90" i="3"/>
  <c r="AS90" i="3"/>
  <c r="AD88" i="3"/>
  <c r="AS88" i="3"/>
  <c r="AD85" i="3"/>
  <c r="AS85" i="3"/>
  <c r="AD82" i="3"/>
  <c r="AS82" i="3"/>
  <c r="AD80" i="3"/>
  <c r="AR80" i="3"/>
  <c r="AD89" i="3"/>
  <c r="AS89" i="3"/>
  <c r="AD84" i="3"/>
  <c r="AS84" i="3"/>
  <c r="AD91" i="3"/>
  <c r="AS91" i="3"/>
  <c r="AD83" i="3"/>
  <c r="AS83" i="3"/>
  <c r="AD81" i="3"/>
  <c r="AS81" i="3"/>
  <c r="AD86" i="3"/>
  <c r="AS86" i="3"/>
  <c r="O81" i="3"/>
  <c r="AR81" i="3"/>
  <c r="AR82" i="3"/>
  <c r="AR83" i="3"/>
  <c r="AR84" i="3"/>
  <c r="AR85" i="3"/>
  <c r="AR86" i="3"/>
  <c r="AR87" i="3"/>
  <c r="AR88" i="3"/>
  <c r="AR89" i="3"/>
  <c r="AR90" i="3"/>
  <c r="AR91" i="3"/>
  <c r="C3" i="4"/>
  <c r="F3" i="4"/>
  <c r="BL35" i="3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/>
  <c r="P91" i="3"/>
  <c r="P89" i="3"/>
  <c r="P81" i="3"/>
  <c r="P90" i="3"/>
  <c r="K81" i="3"/>
  <c r="K87" i="3"/>
  <c r="J3" i="4"/>
  <c r="G3" i="4"/>
  <c r="BL11" i="3"/>
  <c r="H3" i="4"/>
  <c r="BL39" i="3"/>
  <c r="B3" i="4"/>
  <c r="I3" i="4"/>
  <c r="BL15" i="3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L55" i="3"/>
  <c r="BS52" i="3"/>
  <c r="BZ49" i="3"/>
  <c r="CG55" i="3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<sst xmlns="http://schemas.openxmlformats.org/spreadsheetml/2006/main" count="9786" uniqueCount="3698">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</sst>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 /><Relationship Id="rId18" Type="http://schemas.openxmlformats.org/officeDocument/2006/relationships/image" Target="../media/image18.svg" /><Relationship Id="rId26" Type="http://schemas.openxmlformats.org/officeDocument/2006/relationships/image" Target="../media/image26.svg" /><Relationship Id="rId39" Type="http://schemas.openxmlformats.org/officeDocument/2006/relationships/image" Target="../media/image39.jpeg" /><Relationship Id="rId21" Type="http://schemas.openxmlformats.org/officeDocument/2006/relationships/image" Target="../media/image21.png" /><Relationship Id="rId34" Type="http://schemas.openxmlformats.org/officeDocument/2006/relationships/image" Target="../media/image34.svg" /><Relationship Id="rId42" Type="http://schemas.openxmlformats.org/officeDocument/2006/relationships/image" Target="../media/image42.jpeg" /><Relationship Id="rId47" Type="http://schemas.openxmlformats.org/officeDocument/2006/relationships/image" Target="../media/image47.jpeg" /><Relationship Id="rId50" Type="http://schemas.openxmlformats.org/officeDocument/2006/relationships/image" Target="../media/image50.jpeg" /><Relationship Id="rId55" Type="http://schemas.openxmlformats.org/officeDocument/2006/relationships/image" Target="../media/image55.jpeg" /><Relationship Id="rId63" Type="http://schemas.openxmlformats.org/officeDocument/2006/relationships/image" Target="../media/image63.jpeg" /><Relationship Id="rId7" Type="http://schemas.openxmlformats.org/officeDocument/2006/relationships/image" Target="../media/image7.png" /><Relationship Id="rId2" Type="http://schemas.openxmlformats.org/officeDocument/2006/relationships/image" Target="../media/image2.svg" /><Relationship Id="rId16" Type="http://schemas.openxmlformats.org/officeDocument/2006/relationships/image" Target="../media/image16.svg" /><Relationship Id="rId20" Type="http://schemas.openxmlformats.org/officeDocument/2006/relationships/image" Target="../media/image20.svg" /><Relationship Id="rId29" Type="http://schemas.openxmlformats.org/officeDocument/2006/relationships/image" Target="../media/image29.png" /><Relationship Id="rId41" Type="http://schemas.openxmlformats.org/officeDocument/2006/relationships/image" Target="../media/image41.jpeg" /><Relationship Id="rId54" Type="http://schemas.openxmlformats.org/officeDocument/2006/relationships/image" Target="../media/image54.jpeg" /><Relationship Id="rId62" Type="http://schemas.openxmlformats.org/officeDocument/2006/relationships/image" Target="../media/image62.jpeg" /><Relationship Id="rId1" Type="http://schemas.openxmlformats.org/officeDocument/2006/relationships/image" Target="../media/image1.png" /><Relationship Id="rId6" Type="http://schemas.openxmlformats.org/officeDocument/2006/relationships/image" Target="../media/image6.svg" /><Relationship Id="rId11" Type="http://schemas.openxmlformats.org/officeDocument/2006/relationships/image" Target="../media/image11.png" /><Relationship Id="rId24" Type="http://schemas.openxmlformats.org/officeDocument/2006/relationships/image" Target="../media/image24.svg" /><Relationship Id="rId32" Type="http://schemas.openxmlformats.org/officeDocument/2006/relationships/image" Target="../media/image32.svg" /><Relationship Id="rId37" Type="http://schemas.openxmlformats.org/officeDocument/2006/relationships/image" Target="../media/image37.jpeg" /><Relationship Id="rId40" Type="http://schemas.openxmlformats.org/officeDocument/2006/relationships/image" Target="../media/image40.jpeg" /><Relationship Id="rId45" Type="http://schemas.openxmlformats.org/officeDocument/2006/relationships/image" Target="../media/image45.jpeg" /><Relationship Id="rId53" Type="http://schemas.openxmlformats.org/officeDocument/2006/relationships/image" Target="../media/image53.jpeg" /><Relationship Id="rId58" Type="http://schemas.openxmlformats.org/officeDocument/2006/relationships/image" Target="../media/image58.jpeg" /><Relationship Id="rId66" Type="http://schemas.openxmlformats.org/officeDocument/2006/relationships/image" Target="../media/image66.jpeg" /><Relationship Id="rId5" Type="http://schemas.openxmlformats.org/officeDocument/2006/relationships/image" Target="../media/image5.png" /><Relationship Id="rId15" Type="http://schemas.openxmlformats.org/officeDocument/2006/relationships/image" Target="../media/image15.png" /><Relationship Id="rId23" Type="http://schemas.openxmlformats.org/officeDocument/2006/relationships/image" Target="../media/image23.png" /><Relationship Id="rId28" Type="http://schemas.openxmlformats.org/officeDocument/2006/relationships/image" Target="../media/image28.svg" /><Relationship Id="rId36" Type="http://schemas.openxmlformats.org/officeDocument/2006/relationships/image" Target="../media/image36.png" /><Relationship Id="rId49" Type="http://schemas.openxmlformats.org/officeDocument/2006/relationships/image" Target="../media/image49.jpeg" /><Relationship Id="rId57" Type="http://schemas.openxmlformats.org/officeDocument/2006/relationships/image" Target="../media/image57.jpeg" /><Relationship Id="rId61" Type="http://schemas.openxmlformats.org/officeDocument/2006/relationships/image" Target="../media/image61.jpeg" /><Relationship Id="rId10" Type="http://schemas.openxmlformats.org/officeDocument/2006/relationships/image" Target="../media/image10.svg" /><Relationship Id="rId19" Type="http://schemas.openxmlformats.org/officeDocument/2006/relationships/image" Target="../media/image19.png" /><Relationship Id="rId31" Type="http://schemas.openxmlformats.org/officeDocument/2006/relationships/image" Target="../media/image31.png" /><Relationship Id="rId44" Type="http://schemas.openxmlformats.org/officeDocument/2006/relationships/image" Target="../media/image44.jpeg" /><Relationship Id="rId52" Type="http://schemas.openxmlformats.org/officeDocument/2006/relationships/image" Target="../media/image52.jpeg" /><Relationship Id="rId60" Type="http://schemas.openxmlformats.org/officeDocument/2006/relationships/image" Target="../media/image60.jpeg" /><Relationship Id="rId65" Type="http://schemas.openxmlformats.org/officeDocument/2006/relationships/image" Target="../media/image65.jpeg" /><Relationship Id="rId4" Type="http://schemas.openxmlformats.org/officeDocument/2006/relationships/image" Target="../media/image4.svg" /><Relationship Id="rId9" Type="http://schemas.openxmlformats.org/officeDocument/2006/relationships/image" Target="../media/image9.png" /><Relationship Id="rId14" Type="http://schemas.openxmlformats.org/officeDocument/2006/relationships/image" Target="../media/image14.svg" /><Relationship Id="rId22" Type="http://schemas.openxmlformats.org/officeDocument/2006/relationships/image" Target="../media/image22.svg" /><Relationship Id="rId27" Type="http://schemas.openxmlformats.org/officeDocument/2006/relationships/image" Target="../media/image27.png" /><Relationship Id="rId30" Type="http://schemas.openxmlformats.org/officeDocument/2006/relationships/image" Target="../media/image30.svg" /><Relationship Id="rId35" Type="http://schemas.openxmlformats.org/officeDocument/2006/relationships/image" Target="../media/image35.png" /><Relationship Id="rId43" Type="http://schemas.openxmlformats.org/officeDocument/2006/relationships/image" Target="../media/image43.jpeg" /><Relationship Id="rId48" Type="http://schemas.openxmlformats.org/officeDocument/2006/relationships/image" Target="../media/image48.jpeg" /><Relationship Id="rId56" Type="http://schemas.openxmlformats.org/officeDocument/2006/relationships/image" Target="../media/image56.jpeg" /><Relationship Id="rId64" Type="http://schemas.openxmlformats.org/officeDocument/2006/relationships/image" Target="../media/image64.jpeg" /><Relationship Id="rId8" Type="http://schemas.openxmlformats.org/officeDocument/2006/relationships/image" Target="../media/image8.svg" /><Relationship Id="rId51" Type="http://schemas.openxmlformats.org/officeDocument/2006/relationships/image" Target="../media/image51.jpeg" /><Relationship Id="rId3" Type="http://schemas.openxmlformats.org/officeDocument/2006/relationships/image" Target="../media/image3.png" /><Relationship Id="rId12" Type="http://schemas.openxmlformats.org/officeDocument/2006/relationships/image" Target="../media/image12.svg" /><Relationship Id="rId17" Type="http://schemas.openxmlformats.org/officeDocument/2006/relationships/image" Target="../media/image17.png" /><Relationship Id="rId25" Type="http://schemas.openxmlformats.org/officeDocument/2006/relationships/image" Target="../media/image25.png" /><Relationship Id="rId33" Type="http://schemas.openxmlformats.org/officeDocument/2006/relationships/image" Target="../media/image33.png" /><Relationship Id="rId38" Type="http://schemas.openxmlformats.org/officeDocument/2006/relationships/image" Target="../media/image38.jpeg" /><Relationship Id="rId46" Type="http://schemas.openxmlformats.org/officeDocument/2006/relationships/image" Target="../media/image46.jpeg" /><Relationship Id="rId59" Type="http://schemas.openxmlformats.org/officeDocument/2006/relationships/image" Target="../media/image5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 /><Relationship Id="rId2" Type="http://schemas.openxmlformats.org/officeDocument/2006/relationships/hyperlink" Target="http://www.excely.com/football/2026-fifa-world-cup-schedule.html" TargetMode="External" /><Relationship Id="rId1" Type="http://schemas.openxmlformats.org/officeDocument/2006/relationships/hyperlink" Target="http://www.excely.com/ice-hockey/world-cup-2009-schedule/" TargetMode="External" /><Relationship Id="rId5" Type="http://schemas.openxmlformats.org/officeDocument/2006/relationships/drawing" Target="../drawings/drawing1.xml" /><Relationship Id="rId4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07812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453125" defaultRowHeight="15" x14ac:dyDescent="0.2"/>
  <cols>
    <col min="1" max="1" width="1.07421875" style="10" customWidth="1"/>
    <col min="2" max="2" width="18.83203125" style="10" bestFit="1" customWidth="1"/>
    <col min="3" max="3" width="20.3125" style="10" customWidth="1"/>
    <col min="4" max="4" width="9.14453125" style="10"/>
    <col min="5" max="5" width="1.07421875" style="10" customWidth="1"/>
    <col min="6" max="6" width="9.14453125" style="10"/>
    <col min="7" max="7" width="27.57421875" style="10" bestFit="1" customWidth="1"/>
    <col min="8" max="8" width="2.6875" style="10" customWidth="1"/>
    <col min="9" max="9" width="1.0742187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O40" zoomScaleNormal="100" workbookViewId="0">
      <selection activeCell="CO48" sqref="CO48"/>
    </sheetView>
  </sheetViews>
  <sheetFormatPr defaultColWidth="9.14453125" defaultRowHeight="15" x14ac:dyDescent="0.2"/>
  <cols>
    <col min="1" max="1" width="4.83984375" style="3" customWidth="1"/>
    <col min="2" max="2" width="6.187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359375" style="2" customWidth="1"/>
    <col min="10" max="10" width="19.37109375" style="8" customWidth="1"/>
    <col min="11" max="14" width="5.37890625" style="9" customWidth="1"/>
    <col min="15" max="15" width="7.6640625" style="9" customWidth="1"/>
    <col min="16" max="16" width="6.72265625" style="9" customWidth="1"/>
    <col min="17" max="17" width="3.35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37890625" style="123" hidden="1" customWidth="1"/>
    <col min="31" max="31" width="13.44921875" style="124" hidden="1" customWidth="1"/>
    <col min="32" max="36" width="5.37890625" style="123" hidden="1" customWidth="1"/>
    <col min="37" max="39" width="6.05078125" style="123" hidden="1" customWidth="1"/>
    <col min="40" max="40" width="5.3789062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2265625" style="2" customWidth="1"/>
    <col min="64" max="64" width="19.7734375" style="2" customWidth="1"/>
    <col min="65" max="67" width="2.95703125" style="2" customWidth="1"/>
    <col min="68" max="69" width="2.015625" style="111" customWidth="1"/>
    <col min="70" max="70" width="3.2265625" style="2" customWidth="1"/>
    <col min="71" max="71" width="19.77343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7734375" style="2" customWidth="1"/>
    <col min="79" max="81" width="2.95703125" style="2" customWidth="1"/>
    <col min="82" max="83" width="2.015625" style="111" customWidth="1"/>
    <col min="84" max="84" width="3.8984375" style="2" customWidth="1"/>
    <col min="85" max="85" width="19.7734375" style="2" customWidth="1"/>
    <col min="86" max="88" width="2.95703125" style="2" customWidth="1"/>
    <col min="89" max="90" width="2.015625" style="111" customWidth="1"/>
    <col min="91" max="91" width="3.765625" style="2" customWidth="1"/>
    <col min="92" max="92" width="19.77343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2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Mexico_lose</v>
      </c>
      <c r="T7" s="127" t="str">
        <f t="shared" ref="T7:T46" si="2">IF(S7="","",IF(F7&lt;G7,H7&amp;"_win",IF(F7&gt;G7,H7&amp;"_lose",H7&amp;"_draw")))</f>
        <v>South Africa_win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-1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2</v>
      </c>
      <c r="AI8" s="123">
        <f>SUMIF($E$7:$E$78,$AE8,$F$7:$F$78) + SUMIF($H$7:$H$78,$AE8,$G$7:$G$78)</f>
        <v>3</v>
      </c>
      <c r="AJ8" s="123">
        <f>SUMIF($E$7:$E$78,$AE8,$G$7:$G$78) + SUMIF($H$7:$H$78,$AE8,$F$7:$F$78)</f>
        <v>5</v>
      </c>
      <c r="AL8" s="123">
        <f>AI8-AJ8</f>
        <v>-2</v>
      </c>
      <c r="AM8" s="123">
        <f>AL8-AL12</f>
        <v>0</v>
      </c>
      <c r="AN8" s="123">
        <f>AF8*3+AG8</f>
        <v>3</v>
      </c>
      <c r="AO8" s="123">
        <f>AN8/AN12*10+BA8</f>
        <v>3.75</v>
      </c>
      <c r="AP8" s="123">
        <f>AO8*10000000+BI8*100+AM8/AM12*10+AI8/AI12*1++IF(AQ8=0,ROW(),AQ8)/2000000</f>
        <v>37500000.42941194</v>
      </c>
      <c r="AQ8" s="126">
        <f>VLOOKUP(AE8,db_fifarank,2,FALSE)</f>
        <v>1681.03</v>
      </c>
      <c r="AR8" s="125">
        <f>AP8/AP12</f>
        <v>0.42857138356278562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3</v>
      </c>
      <c r="AL9" s="123">
        <f>AI9-AJ9</f>
        <v>1</v>
      </c>
      <c r="AM9" s="123">
        <f>AL9-AL12</f>
        <v>3</v>
      </c>
      <c r="AN9" s="123">
        <f>AF9*3+AG9</f>
        <v>6</v>
      </c>
      <c r="AO9" s="123">
        <f>AN9/AN12*10+BA9</f>
        <v>7.5</v>
      </c>
      <c r="AP9" s="123">
        <f>AO9*10000000+BI9*100+AM9/AM12*10+AI9/AI12*1++IF(AQ9=0,ROW(),AQ9)/2000000</f>
        <v>75000005.572143435</v>
      </c>
      <c r="AQ9" s="126">
        <f>VLOOKUP(AE9,db_fifarank,2,FALSE)</f>
        <v>1429.73</v>
      </c>
      <c r="AR9" s="125">
        <f>AP9/AP12</f>
        <v>0.85714282099207417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3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3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12500000.143651474</v>
      </c>
      <c r="AQ10" s="126">
        <f>VLOOKUP(AE10,db_fifarank,2,FALSE)</f>
        <v>1588.66</v>
      </c>
      <c r="AR10" s="125">
        <f>AP10/AP12</f>
        <v>0.14285712786013799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>
        <v>2</v>
      </c>
      <c r="BO10" s="25"/>
      <c r="BP10" s="112">
        <f>IF(OR(BM10="",BM11="",AND(BN10="",BN11&lt;&gt;""),AND(BN11="",BN10&lt;&gt;""),AND(BO10="",BO11&lt;&gt;""),AND(BO11="",BO10&lt;&gt;"")),"",BM10*1000+BN10*10+BO10)</f>
        <v>1020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6</v>
      </c>
      <c r="AJ11" s="123">
        <f>SUMIF($E$7:$E$78,$AE11,$G$7:$G$78) + SUMIF($H$7:$H$78,$AE11,$F$7:$F$78)</f>
        <v>3</v>
      </c>
      <c r="AL11" s="123">
        <f>AI11-AJ11</f>
        <v>3</v>
      </c>
      <c r="AM11" s="123">
        <f>AL11-AL12</f>
        <v>5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87500009.19122687</v>
      </c>
      <c r="AQ11" s="126">
        <f>VLOOKUP(AE11,db_fifarank,2,FALSE)</f>
        <v>1501.38</v>
      </c>
      <c r="AR11" s="125">
        <f>AP11/AP12</f>
        <v>0.99999998857142991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1</v>
      </c>
      <c r="BN11" s="64">
        <v>1</v>
      </c>
      <c r="BO11" s="27"/>
      <c r="BP11" s="113">
        <f>IF(BP10="","",BM11*1000+BN11*10+BO11)</f>
        <v>1010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87500010.19122687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2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1</v>
      </c>
      <c r="V14" s="123">
        <f t="shared" si="3"/>
        <v>2</v>
      </c>
      <c r="W14" s="123">
        <f t="shared" si="4"/>
        <v>2</v>
      </c>
      <c r="X14" s="123">
        <f t="shared" si="9"/>
        <v>1</v>
      </c>
      <c r="Y14" s="123">
        <f t="shared" si="10"/>
        <v>2</v>
      </c>
      <c r="Z14" s="123">
        <f t="shared" si="11"/>
        <v>2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0</v>
      </c>
      <c r="AL14" s="123">
        <f>AI14-AJ14</f>
        <v>5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90000009.834111571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>
        <v>2</v>
      </c>
      <c r="BO14" s="25">
        <v>4</v>
      </c>
      <c r="BP14" s="116">
        <f>IF(OR(BM14="",BM15="",AND(BN14="",BN15&lt;&gt;""),AND(BN15="",BN14&lt;&gt;""),AND(BO14="",BO15&lt;&gt;""),AND(BO15="",BO14&lt;&gt;"")),"",BM14*1000+BN14*10+BO14)</f>
        <v>2024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5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0.16735958666666667</v>
      </c>
      <c r="AQ15" s="126">
        <f>VLOOKUP(AE15,db_fifarank,2,FALSE)</f>
        <v>1385.84</v>
      </c>
      <c r="AR15" s="125">
        <f>AP15/AP18</f>
        <v>1.8595507391120721E-9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2</v>
      </c>
      <c r="BN15" s="64">
        <v>2</v>
      </c>
      <c r="BO15" s="27">
        <v>3</v>
      </c>
      <c r="BP15" s="112">
        <f>IF(BP14="","",BM15*1000+BN15*10+BO15)</f>
        <v>2023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1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5 - 5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4</v>
      </c>
      <c r="AL16" s="123">
        <f>AI16-AJ16</f>
        <v>-1</v>
      </c>
      <c r="AM16" s="123">
        <f>AL16-AL18</f>
        <v>3</v>
      </c>
      <c r="AN16" s="123">
        <f>AF16*3+AG16</f>
        <v>4</v>
      </c>
      <c r="AO16" s="123">
        <f>AN16/AN18*10+BA16</f>
        <v>4.9806451612903224</v>
      </c>
      <c r="AP16" s="123">
        <f>AO16*10000000+BI16*100+AM16/AM18*10+AI16/AI18*1++IF(AQ16=0,ROW(),AQ16)/2000000</f>
        <v>49806553.178146832</v>
      </c>
      <c r="AQ16" s="126">
        <f>VLOOKUP(AE16,db_fifarank,2,FALSE)</f>
        <v>1454.96</v>
      </c>
      <c r="AR16" s="125">
        <f>AP16/AP18</f>
        <v>0.5534060798053736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50.666666666666664</v>
      </c>
      <c r="BA16" s="126">
        <f>AZ16/AZ18</f>
        <v>0.98064516129032253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50.666666666666664</v>
      </c>
      <c r="BI16" s="126">
        <f>BH16/BH18</f>
        <v>0.98064516129032253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>
        <v>1</v>
      </c>
      <c r="CC16" s="25">
        <v>3</v>
      </c>
      <c r="CD16" s="112">
        <f>IF(OR(CA16="",CA17="",AND(CB16="",CB17&lt;&gt;""),AND(CB17="",CB16&lt;&gt;""),AND(CC16="",CC17&lt;&gt;""),AND(CC17="",CC16&lt;&gt;"")),"",CA16*1000+CB16*10+CC16)</f>
        <v>1013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5</v>
      </c>
      <c r="AL17" s="123">
        <f>AI17-AJ17</f>
        <v>0</v>
      </c>
      <c r="AM17" s="123">
        <f>AL17-AL18</f>
        <v>4</v>
      </c>
      <c r="AN17" s="123">
        <f>AF17*3+AG17</f>
        <v>4</v>
      </c>
      <c r="AO17" s="123">
        <f>AN17/AN18*10+BA17</f>
        <v>4.9806451612903224</v>
      </c>
      <c r="AP17" s="123">
        <f>AO17*10000000+BI17*100+AM17/AM18*10+AI17/AI18*1++IF(AQ17=0,ROW(),AQ17)/2000000</f>
        <v>49806554.511577383</v>
      </c>
      <c r="AQ17" s="126">
        <f>VLOOKUP(AE17,db_fifarank,2,FALSE)</f>
        <v>1649.4</v>
      </c>
      <c r="AR17" s="125">
        <f>AP17/AP18</f>
        <v>0.55340609462126678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>
        <v>1</v>
      </c>
      <c r="CC17" s="27">
        <v>4</v>
      </c>
      <c r="CD17" s="113">
        <f>IF(CD16="","",CA17*1000+CB17*10+CC17)</f>
        <v>1014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90000010.834111571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31">
        <v>73</v>
      </c>
      <c r="BL18" s="24" t="str">
        <f>AS9</f>
        <v>South Africa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90000010.186594874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South Africa</v>
      </c>
      <c r="BT20" s="61">
        <v>2</v>
      </c>
      <c r="BU20" s="63">
        <v>2</v>
      </c>
      <c r="BV20" s="25"/>
      <c r="BW20" s="116">
        <f>IF(OR(BT20="",BT21="",AND(BU20="",BU21&lt;&gt;""),AND(BU21="",BU20&lt;&gt;""),AND(BV20="",BV21&lt;&gt;""),AND(BV21="",BV20&lt;&gt;"")),"",BT20*1000+BU20*10+BV20)</f>
        <v>2020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4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0</v>
      </c>
      <c r="AH21" s="123">
        <f>COUNTIF($S$7:$T$78,"=" &amp; AE21 &amp; "_lose")</f>
        <v>3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8</v>
      </c>
      <c r="AL21" s="123">
        <f>AI21-AJ21</f>
        <v>-4</v>
      </c>
      <c r="AM21" s="123">
        <f>AL21-AL24</f>
        <v>1</v>
      </c>
      <c r="AN21" s="123">
        <f>AF21*3+AG21</f>
        <v>0</v>
      </c>
      <c r="AO21" s="123">
        <f>AN21/AN24*10+BA21</f>
        <v>0</v>
      </c>
      <c r="AP21" s="123">
        <f>AO21*10000000+BI21*100+AM21/AM24*10+AI21/AI24*1++IF(AQ21=0,ROW(),AQ21)/2000000</f>
        <v>1.1151636492857144</v>
      </c>
      <c r="AQ21" s="126">
        <f>VLOOKUP(AE21,db_fifarank,2,FALSE)</f>
        <v>1755.87</v>
      </c>
      <c r="AR21" s="125">
        <f>AP21/AP24</f>
        <v>1.2390705674176777E-8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>
        <v>3</v>
      </c>
      <c r="BV21" s="27"/>
      <c r="BW21" s="112">
        <f>IF(BW20="","",BT21*1000+BU21*10+BV21)</f>
        <v>2030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1</v>
      </c>
      <c r="AG22" s="123">
        <f>COUNTIF($S$7:$T$78,"=" &amp; AE22 &amp; "_draw")</f>
        <v>0</v>
      </c>
      <c r="AH22" s="123">
        <f>COUNTIF($S$7:$T$78,"=" &amp; AE22 &amp; "_lose")</f>
        <v>2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7</v>
      </c>
      <c r="AL22" s="123">
        <f>AI22-AJ22</f>
        <v>-5</v>
      </c>
      <c r="AM22" s="123">
        <f>AL22-AL24</f>
        <v>0</v>
      </c>
      <c r="AN22" s="123">
        <f>AF22*3+AG22</f>
        <v>3</v>
      </c>
      <c r="AO22" s="123">
        <f>AN22/AN24*10+BA22</f>
        <v>3</v>
      </c>
      <c r="AP22" s="123">
        <f>AO22*10000000+BI22*100+AM22/AM24*10+AI22/AI24*1++IF(AQ22=0,ROW(),AQ22)/2000000</f>
        <v>30000000.200645853</v>
      </c>
      <c r="AQ22" s="126">
        <f>VLOOKUP(AE22,db_fifarank,2,FALSE)</f>
        <v>1291.71</v>
      </c>
      <c r="AR22" s="125">
        <f>AP22/AP24</f>
        <v>0.33333329413090368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2 - 7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0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4</v>
      </c>
      <c r="AL23" s="123">
        <f>AI23-AJ23</f>
        <v>1</v>
      </c>
      <c r="AM23" s="123">
        <f>AL23-AL24</f>
        <v>6</v>
      </c>
      <c r="AN23" s="123">
        <f>AF23*3+AG23</f>
        <v>6</v>
      </c>
      <c r="AO23" s="123">
        <f>AN23/AN24*10+BA23</f>
        <v>6</v>
      </c>
      <c r="AP23" s="123">
        <f>AO23*10000000+BI23*100+AM23/AM24*10+AI23/AI24*1++IF(AQ23=0,ROW(),AQ23)/2000000</f>
        <v>60000004.786463462</v>
      </c>
      <c r="AQ23" s="126">
        <f>VLOOKUP(AE23,db_fifarank,2,FALSE)</f>
        <v>1498.35</v>
      </c>
      <c r="AR23" s="125">
        <f>AP23/AP24</f>
        <v>0.66666663698593198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1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2</v>
      </c>
      <c r="G24" s="20">
        <v>1</v>
      </c>
      <c r="H24" s="80" t="str">
        <f>AE59</f>
        <v>Norway</v>
      </c>
      <c r="J24" s="35" t="str">
        <f>VLOOKUP(4,AD20:AN23,2,FALSE)</f>
        <v>Morocco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4 - 8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Iraq_win</v>
      </c>
      <c r="T24" s="127" t="str">
        <f t="shared" si="2"/>
        <v>Norway_lose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-5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90000011.186594874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3</v>
      </c>
      <c r="CJ24" s="27"/>
      <c r="CK24" s="113">
        <f>IF(CK23="","",CH24*1000+CI24*10+CJ24)</f>
        <v>1030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0</v>
      </c>
      <c r="AH26" s="123">
        <f>COUNTIF($S$7:$T$78,"=" &amp; AE26 &amp; "_lose")</f>
        <v>3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8</v>
      </c>
      <c r="AL26" s="123">
        <f>AI26-AJ26</f>
        <v>-5</v>
      </c>
      <c r="AM26" s="123">
        <f>AL26-AL30</f>
        <v>0</v>
      </c>
      <c r="AN26" s="123">
        <f>AF26*3+AG26</f>
        <v>0</v>
      </c>
      <c r="AO26" s="123">
        <f>AN26/AN30*10+BA26</f>
        <v>0</v>
      </c>
      <c r="AP26" s="123">
        <f>AO26*10000000+BI26*100+AM26/AM30*10+AI26/AI30*1++IF(AQ26=0,ROW(),AQ26)/2000000</f>
        <v>0.37583656500000001</v>
      </c>
      <c r="AQ26" s="126">
        <f>VLOOKUP(AE26,db_fifarank,2,FALSE)</f>
        <v>1673.13</v>
      </c>
      <c r="AR26" s="125">
        <f>AP26/AP30</f>
        <v>4.1759613287009088E-9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6</v>
      </c>
      <c r="AJ27" s="123">
        <f>SUMIF($E$7:$E$78,$AE27,$G$7:$G$78) + SUMIF($H$7:$H$78,$AE27,$F$7:$F$78)</f>
        <v>4</v>
      </c>
      <c r="AL27" s="123">
        <f>AI27-AJ27</f>
        <v>2</v>
      </c>
      <c r="AM27" s="123">
        <f>AL27-AL30</f>
        <v>7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60000007.750751749</v>
      </c>
      <c r="AQ27" s="126">
        <f>VLOOKUP(AE27,db_fifarank,2,FALSE)</f>
        <v>1503.5</v>
      </c>
      <c r="AR27" s="125">
        <f>AP27/AP30</f>
        <v>0.66666667222465192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6 - 4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5</v>
      </c>
      <c r="AL28" s="123">
        <f>AI28-AJ28</f>
        <v>-1</v>
      </c>
      <c r="AM28" s="123">
        <f>AL28-AL30</f>
        <v>4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30000004.500790335</v>
      </c>
      <c r="AQ28" s="126">
        <f>VLOOKUP(AE28,db_fifarank,2,FALSE)</f>
        <v>1580.67</v>
      </c>
      <c r="AR28" s="125">
        <f>AP28/AP30</f>
        <v>0.33333334306137469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3</v>
      </c>
      <c r="AL29" s="123">
        <f>AI29-AJ29</f>
        <v>4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90000009.875799522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2</v>
      </c>
      <c r="G30" s="20">
        <v>1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3 - 8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Uzbekistan_win</v>
      </c>
      <c r="T30" s="127" t="str">
        <f t="shared" si="2"/>
        <v>Colombia_lose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8</v>
      </c>
      <c r="AL30" s="123">
        <f>MIN(AL26:AL29)</f>
        <v>-5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90000010.875799522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3</v>
      </c>
      <c r="AJ32" s="123">
        <f>SUMIF($E$7:$E$78,$AE32,$G$7:$G$78) + SUMIF($H$7:$H$78,$AE32,$F$7:$F$78)</f>
        <v>2</v>
      </c>
      <c r="AL32" s="123">
        <f>AI32-AJ32</f>
        <v>1</v>
      </c>
      <c r="AM32" s="123">
        <f>AL32-AL36</f>
        <v>6</v>
      </c>
      <c r="AN32" s="123">
        <f>AF32*3+AG32</f>
        <v>6</v>
      </c>
      <c r="AO32" s="123">
        <f>AN32/AN36*10+BA32</f>
        <v>6</v>
      </c>
      <c r="AP32" s="123">
        <f>AO32*10000000+BI32*100+AM32/AM36*10+AI32/AI36*1++IF(AQ32=0,ROW(),AQ32)/2000000</f>
        <v>60000006.500865184</v>
      </c>
      <c r="AQ32" s="126">
        <f>VLOOKUP(AE32,db_fifarank,2,FALSE)</f>
        <v>1730.37</v>
      </c>
      <c r="AR32" s="125">
        <f>AP32/AP36</f>
        <v>0.66666665864568286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0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10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5 - 1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7.1924991341724909E-12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>
        <v>0</v>
      </c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2</v>
      </c>
      <c r="AL34" s="123">
        <f>AI34-AJ34</f>
        <v>0</v>
      </c>
      <c r="AM34" s="123">
        <f>AL34-AL36</f>
        <v>5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30000005.334099822</v>
      </c>
      <c r="AQ34" s="126">
        <f>VLOOKUP(AE34,db_fifarank,2,FALSE)</f>
        <v>1532.98</v>
      </c>
      <c r="AR34" s="125">
        <f>AP34/AP36</f>
        <v>0.33333335247469675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>
        <v>1</v>
      </c>
      <c r="BO34" s="25"/>
      <c r="BP34" s="112">
        <f>IF(OR(BM34="",BM35="",AND(BN34="",BN35&lt;&gt;""),AND(BN35="",BN34&lt;&gt;""),AND(BO34="",BO35&lt;&gt;""),AND(BO35="",BO34&lt;&gt;"")),"",BM34*1000+BN34*10+BO34)</f>
        <v>1010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2 - 2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3</v>
      </c>
      <c r="AG35" s="123">
        <f>COUNTIF($S$7:$T$78,"=" &amp; AE35 &amp; "_draw")</f>
        <v>0</v>
      </c>
      <c r="AH35" s="123">
        <f>COUNTIF($S$7:$T$78,"=" &amp; AE35 &amp; "_lose")</f>
        <v>0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1</v>
      </c>
      <c r="AL35" s="123">
        <f>AI35-AJ35</f>
        <v>4</v>
      </c>
      <c r="AM35" s="123">
        <f>AL35-AL36</f>
        <v>9</v>
      </c>
      <c r="AN35" s="123">
        <f>AF35*3+AG35</f>
        <v>9</v>
      </c>
      <c r="AO35" s="123">
        <f>AN35/AN36*10+BA35</f>
        <v>9</v>
      </c>
      <c r="AP35" s="123">
        <f>AO35*10000000+BI35*100+AM35/AM36*10+AI35/AI36*1++IF(AQ35=0,ROW(),AQ35)/2000000</f>
        <v>90000009.834130719</v>
      </c>
      <c r="AQ35" s="126">
        <f>VLOOKUP(AE35,db_fifarank,2,FALSE)</f>
        <v>1594.78</v>
      </c>
      <c r="AR35" s="125">
        <f>AP35/AP36</f>
        <v>0.99999998888889019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1</v>
      </c>
      <c r="BN35" s="64">
        <v>2</v>
      </c>
      <c r="BO35" s="27"/>
      <c r="BP35" s="113">
        <f>IF(BP34="","",BM35*1000+BN35*10+BO35)</f>
        <v>1020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3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0 - 5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Scotland_win</v>
      </c>
      <c r="T36" s="127" t="str">
        <f t="shared" si="2"/>
        <v>Morocco_lose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6</v>
      </c>
      <c r="AL36" s="123">
        <f>MIN(AL32:AL35)</f>
        <v>-5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90000010.834130719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Qatar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5</v>
      </c>
      <c r="AL38" s="123">
        <f>AI38-AJ38</f>
        <v>3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90000009.639767826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>
        <v>3</v>
      </c>
      <c r="BO38" s="25"/>
      <c r="BP38" s="116">
        <f>IF(OR(BM38="",BM39="",AND(BN38="",BN39&lt;&gt;""),AND(BN39="",BN38&lt;&gt;""),AND(BO38="",BO39&lt;&gt;""),AND(BO39="",BO38&lt;&gt;"")),"",BM38*1000+BN38*10+BO38)</f>
        <v>2030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>
        <v>2</v>
      </c>
      <c r="CQ38" s="27"/>
      <c r="CR38" s="111">
        <f>IF(CR37="","",CO38*1000+CP38*10+CQ38)</f>
        <v>1020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8 - 5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4</v>
      </c>
      <c r="AL39" s="123">
        <f>AI39-AJ39</f>
        <v>2</v>
      </c>
      <c r="AM39" s="123">
        <f>AL39-AL42</f>
        <v>6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60000008.167496882</v>
      </c>
      <c r="AQ39" s="126">
        <f>VLOOKUP(AE39,db_fifarank,2,FALSE)</f>
        <v>1660.43</v>
      </c>
      <c r="AR39" s="125">
        <f>AP39/AP42</f>
        <v>0.66666667860353557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Mexico</v>
      </c>
      <c r="BM39" s="62">
        <v>2</v>
      </c>
      <c r="BN39" s="64">
        <v>2</v>
      </c>
      <c r="BO39" s="27"/>
      <c r="BP39" s="112">
        <f>IF(BP38="","",BM39*1000+BN39*10+BO39)</f>
        <v>2020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6 - 4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7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0.33409071833333331</v>
      </c>
      <c r="AQ40" s="126">
        <f>VLOOKUP(AE40,db_fifarank,2,FALSE)</f>
        <v>1514.77</v>
      </c>
      <c r="AR40" s="125">
        <f>AP40/AP42</f>
        <v>3.712118653747252E-9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6 - 7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6</v>
      </c>
      <c r="AJ41" s="123">
        <f>SUMIF($E$7:$E$78,$AE41,$G$7:$G$78) + SUMIF($H$7:$H$78,$AE41,$F$7:$F$78)</f>
        <v>7</v>
      </c>
      <c r="AL41" s="123">
        <f>AI41-AJ41</f>
        <v>-1</v>
      </c>
      <c r="AM41" s="123">
        <f>AL41-AL42</f>
        <v>3</v>
      </c>
      <c r="AN41" s="123">
        <f>AF41*3+AG41</f>
        <v>3</v>
      </c>
      <c r="AO41" s="123">
        <f>AN41/AN42*10+BA41</f>
        <v>3</v>
      </c>
      <c r="AP41" s="123">
        <f>AO41*10000000+BI41*100+AM41/AM42*10+AI41/AI42*1++IF(AQ41=0,ROW(),AQ41)/2000000</f>
        <v>30000004.417408194</v>
      </c>
      <c r="AQ41" s="126">
        <f>VLOOKUP(AE41,db_fifarank,2,FALSE)</f>
        <v>1483.05</v>
      </c>
      <c r="AR41" s="125">
        <f>AP41/AP42</f>
        <v>0.33333334300909795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3 - 7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9</v>
      </c>
      <c r="AL42" s="123">
        <f>MIN(AL38:AL41)</f>
        <v>-4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90000010.639767826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60000005.500781618</v>
      </c>
      <c r="AQ45" s="126">
        <f>VLOOKUP(AE45,db_fifarank,2,FALSE)</f>
        <v>1563.24</v>
      </c>
      <c r="AR45" s="125">
        <f>AP45/AP48</f>
        <v>0.66666664598991665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Germany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7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0.25080764999999999</v>
      </c>
      <c r="AQ46" s="126">
        <f>VLOOKUP(AE46,db_fifarank,2,FALSE)</f>
        <v>1615.3</v>
      </c>
      <c r="AR46" s="125">
        <f>AP46/AP48</f>
        <v>2.7867513247467075E-9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Germany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3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30000002.750640783</v>
      </c>
      <c r="AQ47" s="126">
        <f>VLOOKUP(AE47,db_fifarank,2,FALSE)</f>
        <v>1281.57</v>
      </c>
      <c r="AR47" s="125">
        <f>AP47/AP48</f>
        <v>0.33333332299773583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Iraq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2 - 7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Argentina_lose</v>
      </c>
      <c r="T49" s="127" t="str">
        <f t="shared" si="20"/>
        <v>Austria_win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-1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Czech Republic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2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90000009.917604879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Czech Republic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4</v>
      </c>
      <c r="AJ51" s="123">
        <f>SUMIF($E$7:$E$78,$AE51,$G$7:$G$78) + SUMIF($H$7:$H$78,$AE51,$F$7:$F$78)</f>
        <v>7</v>
      </c>
      <c r="AL51" s="123">
        <f>AI51-AJ51</f>
        <v>-3</v>
      </c>
      <c r="AM51" s="123">
        <f>AL51-AL54</f>
        <v>3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30000003.000683066</v>
      </c>
      <c r="AQ51" s="126">
        <f>VLOOKUP(AE51,db_fifarank,2,FALSE)</f>
        <v>1366.13</v>
      </c>
      <c r="AR51" s="125">
        <f>AP51/AP54</f>
        <v>0.3333333262386835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2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8</v>
      </c>
      <c r="AL52" s="123">
        <f>AI52-AJ52</f>
        <v>-6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0.25071071499999997</v>
      </c>
      <c r="AQ52" s="126">
        <f>VLOOKUP(AE52,db_fifarank,2,FALSE)</f>
        <v>1421.43</v>
      </c>
      <c r="AR52" s="125">
        <f>AP52/AP54</f>
        <v>2.7856742731900991E-9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Czech Republic</v>
      </c>
      <c r="BT52" s="61">
        <v>1</v>
      </c>
      <c r="BU52" s="63">
        <v>2</v>
      </c>
      <c r="BV52" s="25">
        <v>4</v>
      </c>
      <c r="BW52" s="116">
        <f>IF(OR(BT52="",BT53="",AND(BU52="",BU53&lt;&gt;""),AND(BU53="",BU52&lt;&gt;""),AND(BV52="",BV53&lt;&gt;""),AND(BV53="",BV52&lt;&gt;"")),"",BT52*1000+BU52*10+BV52)</f>
        <v>1024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3</v>
      </c>
      <c r="AL53" s="123">
        <f>AI53-AJ53</f>
        <v>4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60000009.209169872</v>
      </c>
      <c r="AQ53" s="126">
        <f>VLOOKUP(AE53,db_fifarank,2,FALSE)</f>
        <v>1673.07</v>
      </c>
      <c r="AR53" s="125">
        <f>AP53/AP54</f>
        <v>0.66666668811962648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>
        <v>2</v>
      </c>
      <c r="BV53" s="27">
        <v>3</v>
      </c>
      <c r="BW53" s="112">
        <f>IF(BW52="","",BT53*1000+BU53*10+BV53)</f>
        <v>1023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90000010.917604879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>
        <v>2</v>
      </c>
      <c r="CJ55" s="25">
        <v>3</v>
      </c>
      <c r="CK55" s="116">
        <f>IF(OR(CH55="",CH56="",AND(CI55="",CI56&lt;&gt;""),AND(CI56="",CI55&lt;&gt;""),AND(CJ55="",CJ56&lt;&gt;""),AND(CJ56="",CJ55&lt;&gt;"")),"",CH55*1000+CI55*10+CJ55)</f>
        <v>1023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1</v>
      </c>
      <c r="G56" s="20">
        <v>2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Morocco_lose</v>
      </c>
      <c r="T56" s="127" t="str">
        <f t="shared" si="20"/>
        <v>Haiti_win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-1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3</v>
      </c>
      <c r="AL56" s="123">
        <f>AI56-AJ56</f>
        <v>5</v>
      </c>
      <c r="AM56" s="123">
        <f>AL56-AL60</f>
        <v>7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90000009.639827549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>
        <v>2</v>
      </c>
      <c r="CJ56" s="27">
        <v>4</v>
      </c>
      <c r="CK56" s="112">
        <f>IF(CK55="","",CH56*1000+CI56*10+CJ56)</f>
        <v>1024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0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4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0</v>
      </c>
      <c r="AN57" s="123">
        <f>AF57*3+AG57</f>
        <v>1</v>
      </c>
      <c r="AO57" s="123">
        <f>AN57/AN60*10+BA57</f>
        <v>1</v>
      </c>
      <c r="AP57" s="123">
        <f>AO57*10000000+BI57*100+AM57/AM60*10+AI57/AI60*1++IF(AQ57=0,ROW(),AQ57)/2000000</f>
        <v>10000000.334177829</v>
      </c>
      <c r="AQ57" s="126">
        <f>VLOOKUP(AE57,db_fifarank,2,FALSE)</f>
        <v>1688.99</v>
      </c>
      <c r="AR57" s="125">
        <f>AP57/AP60</f>
        <v>0.11111110168860965</v>
      </c>
      <c r="AS57" s="125" t="str">
        <f>IF(SUM(AF56:AH59)=12,J58,"2I")</f>
        <v>Iraq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Iraq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3 - 4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2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1</v>
      </c>
      <c r="AH58" s="123">
        <f>COUNTIF($S$7:$T$78,"=" &amp; AE58 &amp; "_lose")</f>
        <v>1</v>
      </c>
      <c r="AI58" s="123">
        <f>SUMIF($E$7:$E$78,$AE58,$F$7:$F$78) + SUMIF($H$7:$H$78,$AE58,$G$7:$G$78)</f>
        <v>3</v>
      </c>
      <c r="AJ58" s="123">
        <f>SUMIF($E$7:$E$78,$AE58,$G$7:$G$78) + SUMIF($H$7:$H$78,$AE58,$F$7:$F$78)</f>
        <v>4</v>
      </c>
      <c r="AL58" s="123">
        <f>AI58-AJ58</f>
        <v>-1</v>
      </c>
      <c r="AM58" s="123">
        <f>AL58-AL60</f>
        <v>1</v>
      </c>
      <c r="AN58" s="123">
        <f>AF58*3+AG58</f>
        <v>4</v>
      </c>
      <c r="AO58" s="123">
        <f>AN58/AN60*10+BA58</f>
        <v>4</v>
      </c>
      <c r="AP58" s="123">
        <f>AO58*10000000+BI58*100+AM58/AM60*10+AI58/AI60*1++IF(AQ58=0,ROW(),AQ58)/2000000</f>
        <v>40000001.584056906</v>
      </c>
      <c r="AQ58" s="126">
        <f>VLOOKUP(AE58,db_fifarank,2,FALSE)</f>
        <v>1447.14</v>
      </c>
      <c r="AR58" s="125">
        <f>AP58/AP60</f>
        <v>0.44444440950272263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Algeria</v>
      </c>
      <c r="BM58" s="61">
        <v>1</v>
      </c>
      <c r="BN58" s="63">
        <v>1</v>
      </c>
      <c r="BO58" s="25">
        <v>4</v>
      </c>
      <c r="BP58" s="112">
        <f>IF(OR(BM58="",BM59="",AND(BN58="",BN59&lt;&gt;""),AND(BN59="",BN58&lt;&gt;""),AND(BO58="",BO59&lt;&gt;""),AND(BO59="",BO58&lt;&gt;"")),"",BM58*1000+BN58*10+BO58)</f>
        <v>1014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3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0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30000000.334108803</v>
      </c>
      <c r="AQ59" s="126">
        <f>VLOOKUP(AE59,db_fifarank,2,FALSE)</f>
        <v>1550.94</v>
      </c>
      <c r="AR59" s="125">
        <f>AP59/AP60</f>
        <v>0.33333329763888891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>
        <v>1</v>
      </c>
      <c r="BO59" s="27">
        <v>5</v>
      </c>
      <c r="BP59" s="113">
        <f>IF(BP58="","",BM59*1000+BN59*10+BO59)</f>
        <v>1015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Senegal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3 - 5</v>
      </c>
      <c r="P60" s="37">
        <f>L60*3+M60</f>
        <v>1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9</v>
      </c>
      <c r="AL60" s="123">
        <f>MIN(AL56:AL59)</f>
        <v>-2</v>
      </c>
      <c r="AM60" s="123">
        <f>MAX(AM56:AM59)+1</f>
        <v>8</v>
      </c>
      <c r="AN60" s="123">
        <f>MAX(AN56:AN59)+1</f>
        <v>10</v>
      </c>
      <c r="AO60" s="123">
        <f>MAX(AO56:AO59)+1</f>
        <v>10</v>
      </c>
      <c r="AP60" s="123">
        <f>MAX(AP56:AP59)+1</f>
        <v>90000010.639827549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Uruguay</v>
      </c>
      <c r="BT60" s="61">
        <v>0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2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4</v>
      </c>
      <c r="AE62" s="124" t="str">
        <f>VLOOKUP("Argentina",T,lang,FALSE)</f>
        <v>Argentina</v>
      </c>
      <c r="AF62" s="123">
        <f>COUNTIF($S$7:$T$78,"=" &amp; AE62 &amp; "_win")</f>
        <v>1</v>
      </c>
      <c r="AG62" s="123">
        <f>COUNTIF($S$7:$T$78,"=" &amp; AE62 &amp; "_draw")</f>
        <v>0</v>
      </c>
      <c r="AH62" s="123">
        <f>COUNTIF($S$7:$T$78,"=" &amp; AE62 &amp; "_lose")</f>
        <v>2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3</v>
      </c>
      <c r="AL62" s="123">
        <f>AI62-AJ62</f>
        <v>1</v>
      </c>
      <c r="AM62" s="123">
        <f>AL62-AL66</f>
        <v>2</v>
      </c>
      <c r="AN62" s="123">
        <f>AF62*3+AG62</f>
        <v>3</v>
      </c>
      <c r="AO62" s="123">
        <f>AN62/AN66*10+BA62</f>
        <v>4.2857142857142856</v>
      </c>
      <c r="AP62" s="123">
        <f>AO62*10000000+BI62*100+AM62/AM66*10+AI62/AI66*1++IF(AQ62=0,ROW(),AQ62)/2000000</f>
        <v>42857150.191413596</v>
      </c>
      <c r="AQ62" s="126">
        <f>VLOOKUP(AE62,db_fifarank,2,FALSE)</f>
        <v>1874.82</v>
      </c>
      <c r="AR62" s="125">
        <f>AP62/AP66</f>
        <v>0.44785330924363065</v>
      </c>
      <c r="AS62" s="125" t="str">
        <f>IF(SUM(AF62:AH65)=12,J63,"1J")</f>
        <v>Algeria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1</v>
      </c>
      <c r="AX62" s="126">
        <f>AV62-AW62</f>
        <v>-1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>
        <v>0</v>
      </c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Algeria</v>
      </c>
      <c r="K63" s="31">
        <f>L63+M63+N63</f>
        <v>3</v>
      </c>
      <c r="L63" s="31">
        <f>VLOOKUP(1,AD62:AN65,3,FALSE)</f>
        <v>2</v>
      </c>
      <c r="M63" s="31">
        <f>VLOOKUP(1,AD62:AN65,4,FALSE)</f>
        <v>0</v>
      </c>
      <c r="N63" s="31">
        <f>VLOOKUP(1,AD62:AN65,5,FALSE)</f>
        <v>1</v>
      </c>
      <c r="O63" s="31" t="str">
        <f>VLOOKUP(1,AD62:AN65,6,FALSE) &amp; " - " &amp; VLOOKUP(1,AD62:AN65,7,FALSE)</f>
        <v>5 - 6</v>
      </c>
      <c r="P63" s="32">
        <f>L63*3+M63</f>
        <v>6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1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6</v>
      </c>
      <c r="AL63" s="123">
        <f>AI63-AJ63</f>
        <v>-1</v>
      </c>
      <c r="AM63" s="123">
        <f>AL63-AL66</f>
        <v>0</v>
      </c>
      <c r="AN63" s="123">
        <f>AF63*3+AG63</f>
        <v>6</v>
      </c>
      <c r="AO63" s="123">
        <f>AN63/AN66*10+BA63</f>
        <v>9.5694613583138164</v>
      </c>
      <c r="AP63" s="123">
        <f>AO63*10000000+BI63*100+AM63/AM66*10+AI63/AI66*1++IF(AQ63=0,ROW(),AQ63)/2000000</f>
        <v>95694614.417253628</v>
      </c>
      <c r="AQ63" s="126">
        <f>VLOOKUP(AE63,db_fifarank,2,FALSE)</f>
        <v>1564.26</v>
      </c>
      <c r="AR63" s="125">
        <f>AP63/AP66</f>
        <v>0.99999998955009128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1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1</v>
      </c>
      <c r="AY63" s="126">
        <f>AX63-MIN(AX62:AX65)</f>
        <v>2</v>
      </c>
      <c r="AZ63" s="126">
        <f>AT63/AT66*1000+AU63/AU66*100+AY63/AY66*10+AV63/AV66</f>
        <v>507.33333333333337</v>
      </c>
      <c r="BA63" s="126">
        <f>AZ63/AZ66</f>
        <v>0.99803278688524588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>
        <v>1</v>
      </c>
      <c r="BO63" s="27"/>
      <c r="BP63" s="112">
        <f>IF(BP62="","",BM63*1000+BN63*10+BO63)</f>
        <v>10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3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2</v>
      </c>
      <c r="AN64" s="123">
        <f>AF64*3+AG64</f>
        <v>6</v>
      </c>
      <c r="AO64" s="123">
        <f>AN64/AN66*10+BA64</f>
        <v>8.5720843091334888</v>
      </c>
      <c r="AP64" s="123">
        <f>AO64*10000000+BI64*100+AM64/AM66*10+AI64/AI66*1++IF(AQ64=0,ROW(),AQ64)/2000000</f>
        <v>85720850.592131615</v>
      </c>
      <c r="AQ64" s="126">
        <f>VLOOKUP(AE64,db_fifarank,2,FALSE)</f>
        <v>1593.45</v>
      </c>
      <c r="AR64" s="125">
        <f>AP64/AP66</f>
        <v>0.89577506757685599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-1</v>
      </c>
      <c r="AY64" s="126">
        <f>AX64-MIN(AX62:AX65)</f>
        <v>0</v>
      </c>
      <c r="AZ64" s="126">
        <f>AT64/AT66*1000+AU64/AU66*100+AY64/AY66*10+AV64/AV66</f>
        <v>0.33333333333333331</v>
      </c>
      <c r="BA64" s="126">
        <f>AZ64/AZ66</f>
        <v>6.5573770491803268E-4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Egypt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4 - 5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1</v>
      </c>
      <c r="AG65" s="123">
        <f>COUNTIF($S$7:$T$78,"=" &amp; AE65 &amp; "_draw")</f>
        <v>0</v>
      </c>
      <c r="AH65" s="123">
        <f>COUNTIF($S$7:$T$78,"=" &amp; AE65 &amp; "_lose")</f>
        <v>2</v>
      </c>
      <c r="AI65" s="123">
        <f>SUMIF($E$7:$E$78,$AE65,$F$7:$F$78) + SUMIF($H$7:$H$78,$AE65,$G$7:$G$78)</f>
        <v>4</v>
      </c>
      <c r="AJ65" s="123">
        <f>SUMIF($E$7:$E$78,$AE65,$G$7:$G$78) + SUMIF($H$7:$H$78,$AE65,$F$7:$F$78)</f>
        <v>5</v>
      </c>
      <c r="AL65" s="123">
        <f>AI65-AJ65</f>
        <v>-1</v>
      </c>
      <c r="AM65" s="123">
        <f>AL65-AL66</f>
        <v>0</v>
      </c>
      <c r="AN65" s="123">
        <f>AF65*3+AG65</f>
        <v>3</v>
      </c>
      <c r="AO65" s="123">
        <f>AN65/AN66*10+BA65</f>
        <v>5.2830913348946131</v>
      </c>
      <c r="AP65" s="123">
        <f>AO65*10000000+BI65*100+AM65/AM66*10+AI65/AI66*1++IF(AQ65=0,ROW(),AQ65)/2000000</f>
        <v>52830914.016308524</v>
      </c>
      <c r="AQ65" s="126">
        <f>VLOOKUP(AE65,db_fifarank,2,FALSE)</f>
        <v>1391.45</v>
      </c>
      <c r="AR65" s="125">
        <f>AP65/AP66</f>
        <v>0.55207823121449284</v>
      </c>
      <c r="AT65" s="126" cm="1">
        <f t="array" ref="AT65">SUMPRODUCT(($S$7:$S$78=AE65&amp;"_win")*($U$7:$U$78))+SUMPRODUCT(($T$7:$T$78=AE65&amp;"_win")*($U$7:$U$78))</f>
        <v>1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1</v>
      </c>
      <c r="AY65" s="126">
        <f>AX65-MIN(AX62:AX65)</f>
        <v>2</v>
      </c>
      <c r="AZ65" s="126">
        <f>AT65/AT66*1000+AU65/AU66*100+AY65/AY66*10+AV65/AV66</f>
        <v>507</v>
      </c>
      <c r="BA65" s="126">
        <f>AZ65/AZ66</f>
        <v>0.99737704918032777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Argentina</v>
      </c>
      <c r="K66" s="36">
        <f>L66+M66+N66</f>
        <v>3</v>
      </c>
      <c r="L66" s="36">
        <f>VLOOKUP(4,AD62:AN65,3,FALSE)</f>
        <v>1</v>
      </c>
      <c r="M66" s="36">
        <f>VLOOKUP(4,AD62:AN65,4,FALSE)</f>
        <v>0</v>
      </c>
      <c r="N66" s="36">
        <f>VLOOKUP(4,AD62:AN65,5,FALSE)</f>
        <v>2</v>
      </c>
      <c r="O66" s="36" t="str">
        <f>VLOOKUP(4,AD62:AN65,6,FALSE) &amp; " - " &amp; VLOOKUP(4,AD62:AN65,7,FALSE)</f>
        <v>4 - 3</v>
      </c>
      <c r="P66" s="37">
        <f>L66*3+M66</f>
        <v>3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2</v>
      </c>
      <c r="AG66" s="123">
        <f t="shared" si="28"/>
        <v>1</v>
      </c>
      <c r="AH66" s="123">
        <f t="shared" si="28"/>
        <v>2</v>
      </c>
      <c r="AI66" s="123">
        <f>MAX(AI62:AI65)+1</f>
        <v>6</v>
      </c>
      <c r="AL66" s="123">
        <f>MIN(AL62:AL65)</f>
        <v>-1</v>
      </c>
      <c r="AM66" s="123">
        <f>MAX(AM62:AM65)+1</f>
        <v>3</v>
      </c>
      <c r="AN66" s="123">
        <f>MAX(AN62:AN65)+1</f>
        <v>7</v>
      </c>
      <c r="AO66" s="123">
        <f>MAX(AO62:AO65)+1</f>
        <v>10.569461358313816</v>
      </c>
      <c r="AP66" s="123">
        <f>MAX(AP62:AP65)+1</f>
        <v>95694615.417253628</v>
      </c>
      <c r="AT66" s="126">
        <f>MAX(AT62:AT65)-MIN(AT62:AT65)+1</f>
        <v>2</v>
      </c>
      <c r="AU66" s="126">
        <f>MAX(AU62:AU65)-MIN(AU62:AU65)+1</f>
        <v>1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3</v>
      </c>
      <c r="AZ66" s="126">
        <f>MAX(AZ62:AZ65)+1</f>
        <v>508.33333333333337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1010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Jordan</v>
      </c>
      <c r="BM67" s="62">
        <v>1</v>
      </c>
      <c r="BN67" s="64">
        <v>2</v>
      </c>
      <c r="BO67" s="27"/>
      <c r="BP67" s="113">
        <f>IF(BP66="","",BM67*1000+BN67*10+BO67)</f>
        <v>1020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0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3</v>
      </c>
      <c r="AL68" s="123">
        <f>AI68-AJ68</f>
        <v>4</v>
      </c>
      <c r="AM68" s="123">
        <f>AL68-AL72</f>
        <v>7</v>
      </c>
      <c r="AN68" s="123">
        <f>AF68*3+AG68</f>
        <v>7</v>
      </c>
      <c r="AO68" s="123">
        <f>AN68/AN72*10+BA68</f>
        <v>8.7565595277140051</v>
      </c>
      <c r="AP68" s="123">
        <f>AO68*10000000+BI68*100+AM68/AM72*10+AI68/AI72*1++IF(AQ68=0,ROW(),AQ68)/2000000</f>
        <v>87565604.903021961</v>
      </c>
      <c r="AQ68" s="126">
        <f>VLOOKUP(AE68,db_fifarank,2,FALSE)</f>
        <v>1763.83</v>
      </c>
      <c r="AR68" s="125">
        <f>AP68/AP72</f>
        <v>0.99999998857999106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1</v>
      </c>
      <c r="AZ68" s="126">
        <f>AT68/AT72*1000+AU68/AU72*100+AY68/AY72*10+AV68/AV72</f>
        <v>3.333333333333333</v>
      </c>
      <c r="BA68" s="126">
        <f>AZ68/AZ72</f>
        <v>6.5595277140045906E-3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Jordan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7 - 3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0</v>
      </c>
      <c r="AN69" s="123">
        <f>AF69*3+AG69</f>
        <v>3</v>
      </c>
      <c r="AO69" s="123">
        <f>AN69/AN72*10+BA69</f>
        <v>4.7480321416857985</v>
      </c>
      <c r="AP69" s="123">
        <f>AO69*10000000+BI69*100+AM69/AM72*10+AI69/AI72*1++IF(AQ69=0,ROW(),AQ69)/2000000</f>
        <v>47480321.54259716</v>
      </c>
      <c r="AQ69" s="126">
        <f>VLOOKUP(AE69,db_fifarank,2,FALSE)</f>
        <v>1478.35</v>
      </c>
      <c r="AR69" s="125">
        <f>AP69/AP72</f>
        <v>0.54222569527105358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1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1</v>
      </c>
      <c r="AY69" s="126">
        <f>AX69-MIN(AX68:AX71)</f>
        <v>2</v>
      </c>
      <c r="AZ69" s="126">
        <f>AT69/AT72*1000+AU69/AU72*100+AY69/AY72*10+AV69/AV72</f>
        <v>507.16666666666669</v>
      </c>
      <c r="BA69" s="126">
        <f>AZ69/AZ72</f>
        <v>0.99803214168579857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5</v>
      </c>
      <c r="AL70" s="123">
        <f>AI70-AJ70</f>
        <v>-2</v>
      </c>
      <c r="AM70" s="123">
        <f>AL70-AL72</f>
        <v>1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37500001.625732668</v>
      </c>
      <c r="AQ70" s="126">
        <f>VLOOKUP(AE70,db_fifarank,2,FALSE)</f>
        <v>1465.34</v>
      </c>
      <c r="AR70" s="125">
        <f>AP70/AP72</f>
        <v>0.42825035285273477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-1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>
        <v>3</v>
      </c>
      <c r="BO70" s="25"/>
      <c r="BP70" s="116">
        <f>IF(OR(BM70="",BM71="",AND(BN70="",BN71&lt;&gt;""),AND(BN71="",BN70&lt;&gt;""),AND(BO70="",BO71&lt;&gt;""),AND(BO71="",BO70&lt;&gt;"")),"",BM70*1000+BN70*10+BO70)</f>
        <v>2030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3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4</v>
      </c>
      <c r="AN71" s="123">
        <f>AF71*3+AG71</f>
        <v>4</v>
      </c>
      <c r="AO71" s="123">
        <f>AN71/AN72*10+BA71</f>
        <v>5.0065595277140043</v>
      </c>
      <c r="AP71" s="123">
        <f>AO71*10000000+BI71*100+AM71/AM72*10+AI71/AI72*1++IF(AQ71=0,ROW(),AQ71)/2000000</f>
        <v>50065600.902986586</v>
      </c>
      <c r="AQ71" s="126">
        <f>VLOOKUP(AE71,db_fifarank,2,FALSE)</f>
        <v>1693.09</v>
      </c>
      <c r="AR71" s="125">
        <f>AP71/AP72</f>
        <v>0.5717496086126983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1</v>
      </c>
      <c r="AZ71" s="126">
        <f>AT71/AT72*1000+AU71/AU72*100+AY71/AY72*10+AV71/AV72</f>
        <v>3.333333333333333</v>
      </c>
      <c r="BA71" s="126">
        <f>AZ71/AZ72</f>
        <v>6.5595277140045906E-3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2</v>
      </c>
      <c r="BN71" s="64">
        <v>2</v>
      </c>
      <c r="BO71" s="27"/>
      <c r="BP71" s="112">
        <f>IF(BP70="","",BM71*1000+BN71*10+BO71)</f>
        <v>2020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1</v>
      </c>
      <c r="M72" s="36">
        <f>VLOOKUP(4,AD68:AN71,4,FALSE)</f>
        <v>0</v>
      </c>
      <c r="N72" s="36">
        <f>VLOOKUP(4,AD68:AN71,5,FALSE)</f>
        <v>2</v>
      </c>
      <c r="O72" s="36" t="str">
        <f>VLOOKUP(4,AD68:AN71,6,FALSE) &amp; " - " &amp; VLOOKUP(4,AD68:AN71,7,FALSE)</f>
        <v>3 - 5</v>
      </c>
      <c r="P72" s="37">
        <f>L72*3+M72</f>
        <v>3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2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-3</v>
      </c>
      <c r="AM72" s="123">
        <f>MAX(AM68:AM71)+1</f>
        <v>8</v>
      </c>
      <c r="AN72" s="123">
        <f>MAX(AN68:AN71)+1</f>
        <v>8</v>
      </c>
      <c r="AO72" s="123">
        <f>MAX(AO68:AO71)+1</f>
        <v>9.7565595277140051</v>
      </c>
      <c r="AP72" s="123">
        <f>MAX(AP68:AP71)+1</f>
        <v>87565605.903021961</v>
      </c>
      <c r="AT72" s="126">
        <f>MAX(AT68:AT71)-MIN(AT68:AT71)+1</f>
        <v>2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3</v>
      </c>
      <c r="AZ72" s="126">
        <f>MAX(AZ68:AZ71)+1</f>
        <v>508.16666666666669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5</v>
      </c>
      <c r="AL74" s="123">
        <f>AI74-AJ74</f>
        <v>3</v>
      </c>
      <c r="AM74" s="123">
        <f>AL74-AL78</f>
        <v>7</v>
      </c>
      <c r="AN74" s="123">
        <f>AF74*3+AG74</f>
        <v>6</v>
      </c>
      <c r="AO74" s="123">
        <f>AN74/AN78*10+BA74</f>
        <v>8.5714285714285712</v>
      </c>
      <c r="AP74" s="123">
        <f>AO74*10000000+BI74*100+AM74/AM78*10+AI74/AI78*1++IF(AQ74=0,ROW(),AQ74)/2000000</f>
        <v>85714295.354087591</v>
      </c>
      <c r="AQ74" s="126">
        <f>VLOOKUP(AE74,db_fifarank,2,FALSE)</f>
        <v>1825.97</v>
      </c>
      <c r="AR74" s="125">
        <f>AP74/AP78</f>
        <v>0.99999998833333481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0</v>
      </c>
      <c r="N75" s="31">
        <f>VLOOKUP(1,AD74:AN77,5,FALSE)</f>
        <v>1</v>
      </c>
      <c r="O75" s="31" t="str">
        <f>VLOOKUP(1,AD74:AN77,6,FALSE) &amp; " - " &amp; VLOOKUP(1,AD74:AN77,7,FALSE)</f>
        <v>8 - 5</v>
      </c>
      <c r="P75" s="32">
        <f>L75*3+M75</f>
        <v>6</v>
      </c>
      <c r="R75" s="123">
        <f>DATE(2026,6,27)+TIME(15,0,0)+gmt_delta</f>
        <v>46201.083333333336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1</v>
      </c>
      <c r="V75" s="123">
        <f t="shared" si="21"/>
        <v>2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6</v>
      </c>
      <c r="AL75" s="123">
        <f>AI75-AJ75</f>
        <v>1</v>
      </c>
      <c r="AM75" s="123">
        <f>AL75-AL78</f>
        <v>5</v>
      </c>
      <c r="AN75" s="123">
        <f>AF75*3+AG75</f>
        <v>5</v>
      </c>
      <c r="AO75" s="123">
        <f>AN75/AN78*10+BA75</f>
        <v>7.1428571428571432</v>
      </c>
      <c r="AP75" s="123">
        <f>AO75*10000000+BI75*100+AM75/AM78*10+AI75/AI78*1++IF(AQ75=0,ROW(),AQ75)/2000000</f>
        <v>71428578.457207739</v>
      </c>
      <c r="AQ75" s="126">
        <f>VLOOKUP(AE75,db_fifarank,2,FALSE)</f>
        <v>1717.07</v>
      </c>
      <c r="AR75" s="125">
        <f>AP75/AP78</f>
        <v>0.83333331189157467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0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7 - 6</v>
      </c>
      <c r="P76" s="34">
        <f>L76*3+M76</f>
        <v>5</v>
      </c>
      <c r="R76" s="123">
        <f>DATE(2026,6,27)+TIME(15,0,0)+gmt_delta</f>
        <v>46201.083333333336</v>
      </c>
      <c r="S76" s="127" t="str">
        <f t="shared" si="19"/>
        <v>Jordan_win</v>
      </c>
      <c r="T76" s="127" t="str">
        <f t="shared" si="20"/>
        <v>Argentina_lose</v>
      </c>
      <c r="U76" s="123">
        <f t="shared" si="31"/>
        <v>1</v>
      </c>
      <c r="V76" s="123">
        <f t="shared" si="21"/>
        <v>1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5</v>
      </c>
      <c r="AL76" s="123">
        <f>AI76-AJ76</f>
        <v>0</v>
      </c>
      <c r="AM76" s="123">
        <f>AL76-AL78</f>
        <v>4</v>
      </c>
      <c r="AN76" s="123">
        <f>AF76*3+AG76</f>
        <v>4</v>
      </c>
      <c r="AO76" s="123">
        <f>AN76/AN78*10+BA76</f>
        <v>5.7142857142857135</v>
      </c>
      <c r="AP76" s="123">
        <f>AO76*10000000+BI76*100+AM76/AM78*10+AI76/AI78*1++IF(AQ76=0,ROW(),AQ76)/2000000</f>
        <v>57142862.699085839</v>
      </c>
      <c r="AQ76" s="126">
        <f>VLOOKUP(AE76,db_fifarank,2,FALSE)</f>
        <v>1346.31</v>
      </c>
      <c r="AR76" s="125">
        <f>AP76/AP78</f>
        <v>0.66666664873532244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5 - 5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1.4285714285714284</v>
      </c>
      <c r="AP77" s="123">
        <f>AO77*10000000+BI77*100+AM77/AM78*10+AI77/AI78*1++IF(AQ77=0,ROW(),AQ77)/2000000</f>
        <v>14285714.508706825</v>
      </c>
      <c r="AQ77" s="126">
        <f>VLOOKUP(AE77,db_fifarank,2,FALSE)</f>
        <v>1540.64</v>
      </c>
      <c r="AR77" s="125">
        <f>AP77/AP78</f>
        <v>0.16666664857974489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1</v>
      </c>
      <c r="V78" s="123">
        <f t="shared" si="21"/>
        <v>1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9</v>
      </c>
      <c r="AL78" s="123">
        <f>MIN(AL74:AL77)</f>
        <v>-4</v>
      </c>
      <c r="AM78" s="123">
        <f>MAX(AM74:AM77)+1</f>
        <v>8</v>
      </c>
      <c r="AN78" s="123">
        <f>MAX(AN74:AN77)+1</f>
        <v>7</v>
      </c>
      <c r="AO78" s="123">
        <f>MAX(AO74:AO77)+1</f>
        <v>9.5714285714285712</v>
      </c>
      <c r="AP78" s="123">
        <f>MAX(AP74:AP77)+1</f>
        <v>85714296.354087591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6542.8579833721433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Ghana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8709.5245370038083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12</v>
      </c>
      <c r="AE82" s="124" t="str">
        <f>J23</f>
        <v>Haiti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7</v>
      </c>
      <c r="AK82" s="123" t="s">
        <v>3182</v>
      </c>
      <c r="AL82" s="123">
        <f t="shared" si="43"/>
        <v>-5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6028.5720744264281</v>
      </c>
      <c r="AQ82" s="126">
        <f t="shared" si="37"/>
        <v>1291.71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2 - 2</v>
      </c>
      <c r="P83" s="101">
        <f t="shared" si="48"/>
        <v>3</v>
      </c>
      <c r="AD83" s="123">
        <f t="shared" si="38"/>
        <v>5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6723.8103141445235</v>
      </c>
      <c r="AQ83" s="126">
        <f t="shared" si="37"/>
        <v>1580.67</v>
      </c>
      <c r="AR83" s="125" t="str">
        <f t="shared" si="50"/>
        <v>ABD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Tunisia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6 - 7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6861.9055283947619</v>
      </c>
      <c r="AQ84" s="126">
        <f t="shared" si="37"/>
        <v>1532.98</v>
      </c>
      <c r="AR84" s="125" t="str">
        <f t="shared" si="50"/>
        <v>ABDE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Australia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6</v>
      </c>
      <c r="AJ85" s="123">
        <f t="shared" si="42"/>
        <v>7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6752.3816939059525</v>
      </c>
      <c r="AQ85" s="126">
        <f t="shared" si="37"/>
        <v>1483.05</v>
      </c>
      <c r="AR85" s="125" t="str">
        <f t="shared" si="50"/>
        <v>ABDEF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Jordan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6528.5720693564281</v>
      </c>
      <c r="AQ86" s="126">
        <f t="shared" si="37"/>
        <v>1281.57</v>
      </c>
      <c r="AR86" s="125" t="str">
        <f t="shared" si="50"/>
        <v>ABDEF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Mexico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7</v>
      </c>
      <c r="AK87" s="123" t="s">
        <v>3188</v>
      </c>
      <c r="AL87" s="123">
        <f t="shared" si="43"/>
        <v>-3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6390.4768735411899</v>
      </c>
      <c r="AQ87" s="126">
        <f t="shared" si="37"/>
        <v>1366.13</v>
      </c>
      <c r="AR87" s="125" t="str">
        <f t="shared" si="50"/>
        <v>ABDEF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Ⓘ Norway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South Africa</v>
      </c>
      <c r="T88" s="127" t="str" cm="1">
        <f t="array" ref="T88">IF(OR(S88="",S88="draw"),INDEX(T,90,lang),S88)</f>
        <v>South Africa</v>
      </c>
      <c r="AD88" s="123">
        <f t="shared" si="38"/>
        <v>8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6542.8579183271431</v>
      </c>
      <c r="AQ88" s="126">
        <f t="shared" si="37"/>
        <v>1550.94</v>
      </c>
      <c r="AR88" s="125" t="str">
        <f t="shared" si="50"/>
        <v>ABDEFI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Jordan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4</v>
      </c>
      <c r="AJ89" s="123">
        <f t="shared" si="42"/>
        <v>5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3</v>
      </c>
      <c r="AP89" s="123">
        <f>AN89/AN92*10000+AM89/AM92*1000+AI89/AI92*100+IF(AQ89=0,ROW(),AQ89)/2000000</f>
        <v>6723.8102195345236</v>
      </c>
      <c r="AQ89" s="126">
        <f t="shared" si="37"/>
        <v>1391.45</v>
      </c>
      <c r="AR89" s="125" t="str">
        <f t="shared" si="50"/>
        <v>ABDEFIJ</v>
      </c>
      <c r="AS89" s="129" t="str">
        <f t="shared" si="46"/>
        <v>Jordan</v>
      </c>
      <c r="AT89" s="130" t="str">
        <f>"Ⓙ "&amp;AE89</f>
        <v>Ⓙ Jordan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Cape Verde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4 - 7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Qatar</v>
      </c>
      <c r="T90" s="127" t="str" cm="1">
        <f t="array" ref="T90">IF(OR(S90="",S90="draw"),INDEX(T,92,lang),S90)</f>
        <v>Qatar</v>
      </c>
      <c r="AD90" s="123">
        <f t="shared" si="38"/>
        <v>11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6347.6197867940473</v>
      </c>
      <c r="AQ90" s="126">
        <f t="shared" si="37"/>
        <v>1478.35</v>
      </c>
      <c r="AR90" s="125" t="str">
        <f t="shared" si="50"/>
        <v>ABDEFIJ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8904.7625779169048</v>
      </c>
      <c r="AQ91" s="126">
        <f t="shared" si="37"/>
        <v>1346.31</v>
      </c>
      <c r="AR91" s="125" t="str">
        <f t="shared" si="50"/>
        <v>ABDEFIJL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Haiti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3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352</v>
      </c>
      <c r="C3" s="121" t="str">
        <f>'2026 World Cup'!AR91</f>
        <v>ABDEFIJL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Dagfinn Hagen</cp:lastModifiedBy>
  <cp:revision/>
  <cp:lastPrinted>2026-06-10T09:43:17Z</cp:lastPrinted>
  <dcterms:created xsi:type="dcterms:W3CDTF">2017-12-27T19:32:51Z</dcterms:created>
  <dcterms:modified xsi:type="dcterms:W3CDTF">2026-06-10T12:57:59Z</dcterms:modified>
  <cp:category>Sports</cp:category>
  <cp:contentStatus/>
</cp:coreProperties>
</file>
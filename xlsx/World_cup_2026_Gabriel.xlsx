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on\Downloads\"/>
    </mc:Choice>
  </mc:AlternateContent>
  <xr:revisionPtr revIDLastSave="0" documentId="13_ncr:1_{B4433192-CC2B-4946-8365-92E0A77B948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S19" i="3"/>
  <c r="T19" i="3" s="1"/>
  <c r="S20" i="3"/>
  <c r="T20" i="3" s="1"/>
  <c r="S44" i="3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S50" i="3"/>
  <c r="S76" i="3"/>
  <c r="S47" i="3"/>
  <c r="S67" i="3"/>
  <c r="T48" i="3"/>
  <c r="T43" i="3"/>
  <c r="S72" i="3"/>
  <c r="T44" i="3"/>
  <c r="S70" i="3"/>
  <c r="S42" i="3"/>
  <c r="S64" i="3"/>
  <c r="T41" i="3"/>
  <c r="S40" i="3"/>
  <c r="S62" i="3"/>
  <c r="T61" i="3"/>
  <c r="T16" i="3"/>
  <c r="T39" i="3"/>
  <c r="S38" i="3"/>
  <c r="S65" i="3"/>
  <c r="T66" i="3"/>
  <c r="S55" i="3"/>
  <c r="S57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N3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BS61" i="3" l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7" i="3" l="1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<sst xmlns="http://schemas.openxmlformats.org/spreadsheetml/2006/main" count="9786" uniqueCount="3698">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</sst>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F10" sqref="F10"/>
    </sheetView>
  </sheetViews>
  <sheetFormatPr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4</v>
      </c>
      <c r="AL8" s="123">
        <f>AI8-AJ8</f>
        <v>2</v>
      </c>
      <c r="AM8" s="123">
        <f>AL8-AL12</f>
        <v>4</v>
      </c>
      <c r="AN8" s="123">
        <f>AF8*3+AG8</f>
        <v>5</v>
      </c>
      <c r="AO8" s="123">
        <f>AN8/AN12*10+BA8</f>
        <v>8.3333333333333339</v>
      </c>
      <c r="AP8" s="123">
        <f>AO8*10000000+BI8*100+AM8/AM12*10+AI8/AI12*1++IF(AQ8=0,ROW(),AQ8)/2000000</f>
        <v>83333342.191316709</v>
      </c>
      <c r="AQ8" s="126">
        <f>VLOOKUP(AE8,db_fifarank,2,FALSE)</f>
        <v>1681.03</v>
      </c>
      <c r="AR8" s="125">
        <f>AP8/AP12</f>
        <v>0.99999998800000145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6 - 4</v>
      </c>
      <c r="P9" s="32">
        <f>L9*3+M9</f>
        <v>5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2</v>
      </c>
      <c r="AO9" s="123">
        <f>AN9/AN12*10+BA9</f>
        <v>3.333333333333333</v>
      </c>
      <c r="AP9" s="123">
        <f>AO9*10000000+BI9*100+AM9/AM12*10+AI9/AI12*1++IF(AQ9=0,ROW(),AQ9)/2000000</f>
        <v>33333333.762619626</v>
      </c>
      <c r="AQ9" s="126">
        <f>VLOOKUP(AE9,db_fifarank,2,FALSE)</f>
        <v>1429.73</v>
      </c>
      <c r="AR9" s="125">
        <f>AP9/AP12</f>
        <v>0.39999995783312031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0</v>
      </c>
      <c r="M10" s="23">
        <f>VLOOKUP(2,AD8:AN11,4,FALSE)</f>
        <v>3</v>
      </c>
      <c r="N10" s="23">
        <f>VLOOKUP(2,AD8:AN11,5,FALSE)</f>
        <v>0</v>
      </c>
      <c r="O10" s="23" t="str">
        <f>VLOOKUP(2,AD8:AN11,6,FALSE) &amp; " - " &amp; VLOOKUP(2,AD8:AN11,7,FALSE)</f>
        <v>4 - 4</v>
      </c>
      <c r="P10" s="34">
        <f>L10*3+M10</f>
        <v>3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3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2</v>
      </c>
      <c r="AN10" s="123">
        <f>AF10*3+AG10</f>
        <v>3</v>
      </c>
      <c r="AO10" s="123">
        <f>AN10/AN12*10+BA10</f>
        <v>5.9805825242718447</v>
      </c>
      <c r="AP10" s="123">
        <f>AO10*10000000+BI10*100+AM10/AM12*10+AI10/AI12*1++IF(AQ10=0,ROW(),AQ10)/2000000</f>
        <v>59805927.873193771</v>
      </c>
      <c r="AQ10" s="126">
        <f>VLOOKUP(AE10,db_fifarank,2,FALSE)</f>
        <v>1588.66</v>
      </c>
      <c r="AR10" s="125">
        <f>AP10/AP12</f>
        <v>0.71767104958085393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3 - 3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2</v>
      </c>
      <c r="AN11" s="123">
        <f>AF11*3+AG11</f>
        <v>3</v>
      </c>
      <c r="AO11" s="123">
        <f>AN11/AN12*10+BA11</f>
        <v>5.9805825242718447</v>
      </c>
      <c r="AP11" s="123">
        <f>AO11*10000000+BI11*100+AM11/AM12*10+AI11/AI12*1++IF(AQ11=0,ROW(),AQ11)/2000000</f>
        <v>59805927.730292983</v>
      </c>
      <c r="AQ11" s="126">
        <f>VLOOKUP(AE11,db_fifarank,2,FALSE)</f>
        <v>1501.38</v>
      </c>
      <c r="AR11" s="125">
        <f>AP11/AP12</f>
        <v>0.71767104786604474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Australia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3 - 5</v>
      </c>
      <c r="P12" s="37">
        <f>L12*3+M12</f>
        <v>2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2</v>
      </c>
      <c r="AG12" s="123">
        <f t="shared" si="12"/>
        <v>2</v>
      </c>
      <c r="AH12" s="123">
        <f t="shared" si="12"/>
        <v>2</v>
      </c>
      <c r="AI12" s="123">
        <f>MAX(AI8:AI11)+1</f>
        <v>7</v>
      </c>
      <c r="AL12" s="123">
        <f>MIN(AL8:AL11)</f>
        <v>-2</v>
      </c>
      <c r="AM12" s="123">
        <f>MAX(AM8:AM11)+1</f>
        <v>5</v>
      </c>
      <c r="AN12" s="123">
        <f>MAX(AN8:AN11)+1</f>
        <v>6</v>
      </c>
      <c r="AO12" s="123">
        <f>MAX(AO8:AO11)+1</f>
        <v>9.3333333333333339</v>
      </c>
      <c r="AP12" s="123">
        <f>MAX(AP8:AP11)+1</f>
        <v>83333343.191316709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3</v>
      </c>
      <c r="AL14" s="123">
        <f>AI14-AJ14</f>
        <v>4</v>
      </c>
      <c r="AM14" s="123">
        <f>AL14-AL18</f>
        <v>8</v>
      </c>
      <c r="AN14" s="123">
        <f>AF14*3+AG14</f>
        <v>7</v>
      </c>
      <c r="AO14" s="123">
        <f>AN14/AN18*10+BA14</f>
        <v>9.7306451612903224</v>
      </c>
      <c r="AP14" s="123">
        <f>AO14*10000000+BI14*100+AM14/AM18*10+AI14/AI18*1++IF(AQ14=0,ROW(),AQ14)/2000000</f>
        <v>97306559.442086488</v>
      </c>
      <c r="AQ14" s="126">
        <f>VLOOKUP(AE14,db_fifarank,2,FALSE)</f>
        <v>1556.48</v>
      </c>
      <c r="AR14" s="125">
        <f>AP14/AP18</f>
        <v>0.99999998972320059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6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0.25069291999999999</v>
      </c>
      <c r="AQ15" s="126">
        <f>VLOOKUP(AE15,db_fifarank,2,FALSE)</f>
        <v>1385.84</v>
      </c>
      <c r="AR15" s="125">
        <f>AP15/AP18</f>
        <v>2.5763208447718565E-9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6 - 3</v>
      </c>
      <c r="P16" s="34">
        <f>L16*3+M16</f>
        <v>7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6</v>
      </c>
      <c r="AL16" s="123">
        <f>AI16-AJ16</f>
        <v>-3</v>
      </c>
      <c r="AM16" s="123">
        <f>AL16-AL18</f>
        <v>1</v>
      </c>
      <c r="AN16" s="123">
        <f>AF16*3+AG16</f>
        <v>3</v>
      </c>
      <c r="AO16" s="123">
        <f>AN16/AN18*10+BA16</f>
        <v>3.75</v>
      </c>
      <c r="AP16" s="123">
        <f>AO16*10000000+BI16*100+AM16/AM18*10+AI16/AI18*1++IF(AQ16=0,ROW(),AQ16)/2000000</f>
        <v>37500001.486838594</v>
      </c>
      <c r="AQ16" s="126">
        <f>VLOOKUP(AE16,db_fifarank,2,FALSE)</f>
        <v>1454.96</v>
      </c>
      <c r="AR16" s="125">
        <f>AP16/AP18</f>
        <v>0.38537999202178463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3 - 6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3</v>
      </c>
      <c r="AL17" s="123">
        <f>AI17-AJ17</f>
        <v>3</v>
      </c>
      <c r="AM17" s="123">
        <f>AL17-AL18</f>
        <v>7</v>
      </c>
      <c r="AN17" s="123">
        <f>AF17*3+AG17</f>
        <v>7</v>
      </c>
      <c r="AO17" s="123">
        <f>AN17/AN18*10+BA17</f>
        <v>9.7306451612903224</v>
      </c>
      <c r="AP17" s="123">
        <f>AO17*10000000+BI17*100+AM17/AM18*10+AI17/AI18*1++IF(AQ17=0,ROW(),AQ17)/2000000</f>
        <v>97306558.20602183</v>
      </c>
      <c r="AQ17" s="126">
        <f>VLOOKUP(AE17,db_fifarank,2,FALSE)</f>
        <v>1649.4</v>
      </c>
      <c r="AR17" s="125">
        <f>AP17/AP18</f>
        <v>0.9999999770204121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50.666666666666664</v>
      </c>
      <c r="BA17" s="126">
        <f>AZ17/AZ18</f>
        <v>0.98064516129032253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2 - 6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8</v>
      </c>
      <c r="AL18" s="123">
        <f>MIN(AL14:AL17)</f>
        <v>-4</v>
      </c>
      <c r="AM18" s="123">
        <f>MAX(AM14:AM17)+1</f>
        <v>9</v>
      </c>
      <c r="AN18" s="123">
        <f>MAX(AN14:AN17)+1</f>
        <v>8</v>
      </c>
      <c r="AO18" s="123">
        <f>MAX(AO14:AO17)+1</f>
        <v>10.730645161290322</v>
      </c>
      <c r="AP18" s="123">
        <f>MAX(AP14:AP17)+1</f>
        <v>97306560.442086488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31">
        <v>73</v>
      </c>
      <c r="BL18" s="24" t="str">
        <f>AS9</f>
        <v>Korea Republic</v>
      </c>
      <c r="BM18" s="61">
        <v>1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>
        <v>2</v>
      </c>
      <c r="BO19" s="27"/>
      <c r="BP19" s="113">
        <f>IF(BP18="","",BM19*1000+BN19*10+BO19)</f>
        <v>1020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90000010.042547256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8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60000007.292544596</v>
      </c>
      <c r="AQ21" s="126">
        <f>VLOOKUP(AE21,db_fifarank,2,FALSE)</f>
        <v>1755.87</v>
      </c>
      <c r="AR21" s="125">
        <f>AP21/AP24</f>
        <v>0.66666666589829371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7.1761657861872241E-12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>
        <v>2</v>
      </c>
      <c r="BO22" s="25">
        <v>2</v>
      </c>
      <c r="BP22" s="116">
        <f>IF(OR(BM22="",BM23="",AND(BN22="",BN23&lt;&gt;""),AND(BN23="",BN22&lt;&gt;""),AND(BO22="",BO23&lt;&gt;""),AND(BO23="",BO22&lt;&gt;"")),"",BM22*1000+BN22*10+BO22)</f>
        <v>2022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5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30000004.542415842</v>
      </c>
      <c r="AQ23" s="126">
        <f>VLOOKUP(AE23,db_fifarank,2,FALSE)</f>
        <v>1498.35</v>
      </c>
      <c r="AR23" s="125">
        <f>AP23/AP24</f>
        <v>0.33333334290629613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>
        <v>2</v>
      </c>
      <c r="BO23" s="27">
        <v>3</v>
      </c>
      <c r="BP23" s="112">
        <f>IF(BP22="","",BM23*1000+BN23*10+BO23)</f>
        <v>2023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2020</v>
      </c>
    </row>
    <row r="24" spans="1:95" x14ac:dyDescent="0.3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90000011.042547256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3</v>
      </c>
      <c r="CJ24" s="27"/>
      <c r="CK24" s="113">
        <f>IF(CK23="","",CH24*1000+CI24*10+CJ24)</f>
        <v>2030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1</v>
      </c>
      <c r="AL26" s="123">
        <f>AI26-AJ26</f>
        <v>3</v>
      </c>
      <c r="AM26" s="123">
        <f>AL26-AL30</f>
        <v>6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87500009.37226513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2</v>
      </c>
      <c r="BN26" s="63">
        <v>2</v>
      </c>
      <c r="BO26" s="25"/>
      <c r="BP26" s="112">
        <f>IF(OR(BM26="",BM27="",AND(BN26="",BN27&lt;&gt;""),AND(BN27="",BN26&lt;&gt;""),AND(BO26="",BO27&lt;&gt;""),AND(BO27="",BO26&lt;&gt;"")),"",BM26*1000+BN26*10+BO26)</f>
        <v>2020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12500000.20075175</v>
      </c>
      <c r="AQ27" s="126">
        <f>VLOOKUP(AE27,db_fifarank,2,FALSE)</f>
        <v>1503.5</v>
      </c>
      <c r="AR27" s="125">
        <f>AP27/AP30</f>
        <v>0.14285712821713989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2</v>
      </c>
      <c r="BN27" s="64">
        <v>3</v>
      </c>
      <c r="BO27" s="27"/>
      <c r="BP27" s="113">
        <f>IF(BP26="","",BM27*1000+BN27*10+BO27)</f>
        <v>2030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3</v>
      </c>
      <c r="AH28" s="123">
        <f>COUNTIF($S$7:$T$78,"=" &amp; AE28 &amp; "_lose")</f>
        <v>0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2</v>
      </c>
      <c r="AL28" s="123">
        <f>AI28-AJ28</f>
        <v>0</v>
      </c>
      <c r="AM28" s="123">
        <f>AL28-AL30</f>
        <v>3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37500004.686504617</v>
      </c>
      <c r="AQ28" s="126">
        <f>VLOOKUP(AE28,db_fifarank,2,FALSE)</f>
        <v>1580.67</v>
      </c>
      <c r="AR28" s="125">
        <f>AP28/AP30</f>
        <v>0.42857143132854975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2</v>
      </c>
      <c r="BU28" s="63">
        <v>2</v>
      </c>
      <c r="BV28" s="25">
        <v>2</v>
      </c>
      <c r="BW28" s="112">
        <f>IF(OR(BT28="",BT29="",AND(BU28="",BU29&lt;&gt;""),AND(BU29="",BU28&lt;&gt;""),AND(BV28="",BV29&lt;&gt;""),AND(BV29="",BV28&lt;&gt;"")),"",BT28*1000+BU28*10+BV28)</f>
        <v>2022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2 - 2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3</v>
      </c>
      <c r="AL29" s="123">
        <f>AI29-AJ29</f>
        <v>0</v>
      </c>
      <c r="AM29" s="123">
        <f>AL29-AL30</f>
        <v>3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50000004.886513807</v>
      </c>
      <c r="AQ29" s="126">
        <f>VLOOKUP(AE29,db_fifarank,2,FALSE)</f>
        <v>1599.04</v>
      </c>
      <c r="AR29" s="125">
        <f>AP29/AP30</f>
        <v>0.57142855953720328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>
        <v>2</v>
      </c>
      <c r="BV29" s="27">
        <v>3</v>
      </c>
      <c r="BW29" s="113">
        <f>IF(BW28="","",BT29*1000+BU29*10+BV29)</f>
        <v>2023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1 - 4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-3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87500010.37226513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3</v>
      </c>
      <c r="AL32" s="123">
        <f>AI32-AJ32</f>
        <v>5</v>
      </c>
      <c r="AM32" s="123">
        <f>AL32-AL36</f>
        <v>13</v>
      </c>
      <c r="AN32" s="123">
        <f>AF32*3+AG32</f>
        <v>7</v>
      </c>
      <c r="AO32" s="123">
        <f>AN32/AN36*10+BA32</f>
        <v>9.7306451612903224</v>
      </c>
      <c r="AP32" s="123">
        <f>AO32*10000000+BI32*100+AM32/AM36*10+AI32/AI36*1++IF(AQ32=0,ROW(),AQ32)/2000000</f>
        <v>97306559.85288772</v>
      </c>
      <c r="AQ32" s="126">
        <f>VLOOKUP(AE32,db_fifarank,2,FALSE)</f>
        <v>1730.37</v>
      </c>
      <c r="AR32" s="125">
        <f>AP32/AP36</f>
        <v>0.9999999897232007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2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50.666666666666664</v>
      </c>
      <c r="BA32" s="126">
        <f>AZ32/AZ36</f>
        <v>0.98064516129032253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2</v>
      </c>
      <c r="BE32" s="126" cm="1">
        <f t="array" ref="BE32">SUMPRODUCT(($E$7:$E$78=AE32)*($X$7:$X$78)*($G$7:$G$78))+SUMPRODUCT(($H$7:$H$78=AE32)*($X$7:$X$78)*($F$7:$F$78))</f>
        <v>2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50.666666666666664</v>
      </c>
      <c r="BI32" s="126">
        <f>BH32/BH36</f>
        <v>0.98064516129032253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8 - 3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10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0.22286954722222221</v>
      </c>
      <c r="AQ33" s="126">
        <f>VLOOKUP(AE33,db_fifarank,2,FALSE)</f>
        <v>1294.6500000000001</v>
      </c>
      <c r="AR33" s="125">
        <f>AP33/AP36</f>
        <v>2.2903856149963625E-9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7 - 4</v>
      </c>
      <c r="P34" s="34">
        <f>L34*3+M34</f>
        <v>7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1</v>
      </c>
      <c r="AH34" s="123">
        <f>COUNTIF($S$7:$T$78,"=" &amp; AE34 &amp; "_lose")</f>
        <v>0</v>
      </c>
      <c r="AI34" s="123">
        <f>SUMIF($E$7:$E$78,$AE34,$F$7:$F$78) + SUMIF($H$7:$H$78,$AE34,$G$7:$G$78)</f>
        <v>7</v>
      </c>
      <c r="AJ34" s="123">
        <f>SUMIF($E$7:$E$78,$AE34,$G$7:$G$78) + SUMIF($H$7:$H$78,$AE34,$F$7:$F$78)</f>
        <v>4</v>
      </c>
      <c r="AL34" s="123">
        <f>AI34-AJ34</f>
        <v>3</v>
      </c>
      <c r="AM34" s="123">
        <f>AL34-AL36</f>
        <v>11</v>
      </c>
      <c r="AN34" s="123">
        <f>AF34*3+AG34</f>
        <v>7</v>
      </c>
      <c r="AO34" s="123">
        <f>AN34/AN36*10+BA34</f>
        <v>9.7306451612903224</v>
      </c>
      <c r="AP34" s="123">
        <f>AO34*10000000+BI34*100+AM34/AM36*10+AI34/AI36*1++IF(AQ34=0,ROW(),AQ34)/2000000</f>
        <v>97306558.313106462</v>
      </c>
      <c r="AQ34" s="126">
        <f>VLOOKUP(AE34,db_fifarank,2,FALSE)</f>
        <v>1532.98</v>
      </c>
      <c r="AR34" s="125">
        <f>AP34/AP36</f>
        <v>0.99999997389917761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50.666666666666664</v>
      </c>
      <c r="BA34" s="126">
        <f>AZ34/AZ36</f>
        <v>0.98064516129032253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2</v>
      </c>
      <c r="BE34" s="126" cm="1">
        <f t="array" ref="BE34">SUMPRODUCT(($E$7:$E$78=AE34)*($X$7:$X$78)*($G$7:$G$78))+SUMPRODUCT(($H$7:$H$78=AE34)*($X$7:$X$78)*($F$7:$F$78))</f>
        <v>2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50.666666666666664</v>
      </c>
      <c r="BI34" s="126">
        <f>BH34/BH36</f>
        <v>0.98064516129032253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5</v>
      </c>
      <c r="AL35" s="123">
        <f>AI35-AJ35</f>
        <v>0</v>
      </c>
      <c r="AM35" s="123">
        <f>AL35-AL36</f>
        <v>8</v>
      </c>
      <c r="AN35" s="123">
        <f>AF35*3+AG35</f>
        <v>3</v>
      </c>
      <c r="AO35" s="123">
        <f>AN35/AN36*10+BA35</f>
        <v>3.75</v>
      </c>
      <c r="AP35" s="123">
        <f>AO35*10000000+BI35*100+AM35/AM36*10+AI35/AI36*1++IF(AQ35=0,ROW(),AQ35)/2000000</f>
        <v>37500006.27063866</v>
      </c>
      <c r="AQ35" s="126">
        <f>VLOOKUP(AE35,db_fifarank,2,FALSE)</f>
        <v>1594.78</v>
      </c>
      <c r="AR35" s="125">
        <f>AP35/AP36</f>
        <v>0.38538003955697087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2 - 10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-8</v>
      </c>
      <c r="AM36" s="123">
        <f>MAX(AM32:AM35)+1</f>
        <v>14</v>
      </c>
      <c r="AN36" s="123">
        <f>MAX(AN32:AN35)+1</f>
        <v>8</v>
      </c>
      <c r="AO36" s="123">
        <f>MAX(AO32:AO35)+1</f>
        <v>10.730645161290322</v>
      </c>
      <c r="AP36" s="123">
        <f>MAX(AP32:AP35)+1</f>
        <v>97306560.85288772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51.666666666666664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51.666666666666664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90000009.764767826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1</v>
      </c>
      <c r="V39" s="123">
        <f t="shared" si="3"/>
        <v>2</v>
      </c>
      <c r="W39" s="123">
        <f t="shared" si="4"/>
        <v>2</v>
      </c>
      <c r="X39" s="123">
        <f t="shared" si="9"/>
        <v>1</v>
      </c>
      <c r="Y39" s="123">
        <f t="shared" si="10"/>
        <v>2</v>
      </c>
      <c r="Z39" s="123">
        <f t="shared" si="11"/>
        <v>2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49805929.482356638</v>
      </c>
      <c r="AQ39" s="126">
        <f>VLOOKUP(AE39,db_fifarank,2,FALSE)</f>
        <v>1660.43</v>
      </c>
      <c r="AR39" s="125">
        <f>AP39/AP42</f>
        <v>0.5533991502793697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3</v>
      </c>
      <c r="AN40" s="123">
        <f>AF40*3+AG40</f>
        <v>4</v>
      </c>
      <c r="AO40" s="123">
        <f>AN40/AN42*10+BA40</f>
        <v>4.9805825242718447</v>
      </c>
      <c r="AP40" s="123">
        <f>AO40*10000000+BI40*100+AM40/AM42*10+AI40/AI42*1++IF(AQ40=0,ROW(),AQ40)/2000000</f>
        <v>49805927.135061584</v>
      </c>
      <c r="AQ40" s="126">
        <f>VLOOKUP(AE40,db_fifarank,2,FALSE)</f>
        <v>1514.77</v>
      </c>
      <c r="AR40" s="125">
        <f>AP40/AP42</f>
        <v>0.55339912419831661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7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0.37574152500000002</v>
      </c>
      <c r="AQ41" s="126">
        <f>VLOOKUP(AE41,db_fifarank,2,FALSE)</f>
        <v>1483.05</v>
      </c>
      <c r="AR41" s="125">
        <f>AP41/AP42</f>
        <v>4.1749053339790375E-9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3 - 7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90000010.764767826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5</v>
      </c>
      <c r="AL45" s="123">
        <f>AI45-AJ45</f>
        <v>-1</v>
      </c>
      <c r="AM45" s="123">
        <f>AL45-AL48</f>
        <v>4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30000004.572210193</v>
      </c>
      <c r="AQ45" s="126">
        <f>VLOOKUP(AE45,db_fifarank,2,FALSE)</f>
        <v>1563.24</v>
      </c>
      <c r="AR45" s="125">
        <f>AP45/AP48</f>
        <v>0.33333334392081493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2</v>
      </c>
      <c r="AG46" s="123">
        <f>COUNTIF($S$7:$T$78,"=" &amp; AE46 &amp; "_draw")</f>
        <v>0</v>
      </c>
      <c r="AH46" s="123">
        <f>COUNTIF($S$7:$T$78,"=" &amp; AE46 &amp; "_lose")</f>
        <v>1</v>
      </c>
      <c r="AI46" s="123">
        <f>SUMIF($E$7:$E$78,$AE46,$F$7:$F$78) + SUMIF($H$7:$H$78,$AE46,$G$7:$G$78)</f>
        <v>5</v>
      </c>
      <c r="AJ46" s="123">
        <f>SUMIF($E$7:$E$78,$AE46,$G$7:$G$78) + SUMIF($H$7:$H$78,$AE46,$F$7:$F$78)</f>
        <v>3</v>
      </c>
      <c r="AL46" s="123">
        <f>AI46-AJ46</f>
        <v>2</v>
      </c>
      <c r="AM46" s="123">
        <f>AL46-AL48</f>
        <v>7</v>
      </c>
      <c r="AN46" s="123">
        <f>AF46*3+AG46</f>
        <v>6</v>
      </c>
      <c r="AO46" s="123">
        <f>AN46/AN48*10+BA46</f>
        <v>6</v>
      </c>
      <c r="AP46" s="123">
        <f>AO46*10000000+BI46*100+AM46/AM48*10+AI46/AI48*1++IF(AQ46=0,ROW(),AQ46)/2000000</f>
        <v>60000007.715093367</v>
      </c>
      <c r="AQ46" s="126">
        <f>VLOOKUP(AE46,db_fifarank,2,FALSE)</f>
        <v>1615.3</v>
      </c>
      <c r="AR46" s="125">
        <f>AP46/AP48</f>
        <v>0.66666667196022045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4 - 5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0.14349792785714285</v>
      </c>
      <c r="AQ47" s="126">
        <f>VLOOKUP(AE47,db_fifarank,2,FALSE)</f>
        <v>1281.57</v>
      </c>
      <c r="AR47" s="125">
        <f>AP47/AP48</f>
        <v>1.5944212282766766E-9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>
        <v>2</v>
      </c>
      <c r="CC48" s="25">
        <v>3</v>
      </c>
      <c r="CD48" s="112">
        <f>IF(OR(CA48="",CA49="",AND(CB48="",CB49&lt;&gt;""),AND(CB49="",CB48&lt;&gt;""),AND(CC48="",CC49&lt;&gt;""),AND(CC49="",CC48&lt;&gt;"")),"",CA48*1000+CB48*10+CC48)</f>
        <v>2023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>
        <v>2</v>
      </c>
      <c r="CC49" s="27">
        <v>2</v>
      </c>
      <c r="CD49" s="113">
        <f>IF(CD48="","",CA49*1000+CB49*10+CC49)</f>
        <v>2022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2</v>
      </c>
      <c r="W50" s="123">
        <f t="shared" si="22"/>
        <v>2</v>
      </c>
      <c r="X50" s="123">
        <f t="shared" si="9"/>
        <v>1</v>
      </c>
      <c r="Y50" s="123">
        <f t="shared" si="10"/>
        <v>2</v>
      </c>
      <c r="Z50" s="123">
        <f t="shared" si="11"/>
        <v>2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15</v>
      </c>
      <c r="AN50" s="123">
        <f>AF50*3+AG50</f>
        <v>7</v>
      </c>
      <c r="AO50" s="123">
        <f>AN50/AN54*10+BA50</f>
        <v>9.7306451612903224</v>
      </c>
      <c r="AP50" s="123">
        <f>AO50*10000000+BI50*100+AM50/AM54*10+AI50/AI54*1++IF(AQ50=0,ROW(),AQ50)/2000000</f>
        <v>97306559.953357562</v>
      </c>
      <c r="AQ50" s="126">
        <f>VLOOKUP(AE50,db_fifarank,2,FALSE)</f>
        <v>1876.4</v>
      </c>
      <c r="AR50" s="125">
        <f>AP50/AP54</f>
        <v>0.9999999897232007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50.666666666666664</v>
      </c>
      <c r="BA50" s="126">
        <f>AZ50/AZ54</f>
        <v>0.98064516129032253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50.666666666666664</v>
      </c>
      <c r="BI50" s="126">
        <f>BH50/BH54</f>
        <v>0.98064516129032253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7.0197219314678793E-12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7 - 3</v>
      </c>
      <c r="P52" s="34">
        <f>L52*3+M52</f>
        <v>7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5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37500003.325710721</v>
      </c>
      <c r="AQ52" s="126">
        <f>VLOOKUP(AE52,db_fifarank,2,FALSE)</f>
        <v>1421.43</v>
      </c>
      <c r="AR52" s="125">
        <f>AP52/AP54</f>
        <v>0.38538000889462926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3</v>
      </c>
      <c r="AL53" s="123">
        <f>AI53-AJ53</f>
        <v>4</v>
      </c>
      <c r="AM53" s="123">
        <f>AL53-AL54</f>
        <v>12</v>
      </c>
      <c r="AN53" s="123">
        <f>AF53*3+AG53</f>
        <v>7</v>
      </c>
      <c r="AO53" s="123">
        <f>AN53/AN54*10+BA53</f>
        <v>9.7306451612903224</v>
      </c>
      <c r="AP53" s="123">
        <f>AO53*10000000+BI53*100+AM53/AM54*10+AI53/AI54*1++IF(AQ53=0,ROW(),AQ53)/2000000</f>
        <v>97306557.878255889</v>
      </c>
      <c r="AQ53" s="126">
        <f>VLOOKUP(AE53,db_fifarank,2,FALSE)</f>
        <v>1673.07</v>
      </c>
      <c r="AR53" s="125">
        <f>AP53/AP54</f>
        <v>0.99999996839779715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50.666666666666664</v>
      </c>
      <c r="BA53" s="126">
        <f>AZ53/AZ54</f>
        <v>0.98064516129032253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50.666666666666664</v>
      </c>
      <c r="BI53" s="126">
        <f>BH53/BH54</f>
        <v>0.98064516129032253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10</v>
      </c>
      <c r="AL54" s="123">
        <f>MIN(AL50:AL53)</f>
        <v>-8</v>
      </c>
      <c r="AM54" s="123">
        <f>MAX(AM50:AM53)+1</f>
        <v>16</v>
      </c>
      <c r="AN54" s="123">
        <f>MAX(AN50:AN53)+1</f>
        <v>8</v>
      </c>
      <c r="AO54" s="123">
        <f>MAX(AO50:AO53)+1</f>
        <v>10.730645161290322</v>
      </c>
      <c r="AP54" s="123">
        <f>MAX(AP50:AP53)+1</f>
        <v>97306560.953357562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90000010.120596781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2</v>
      </c>
      <c r="W57" s="123">
        <f t="shared" si="22"/>
        <v>2</v>
      </c>
      <c r="X57" s="123">
        <f t="shared" si="9"/>
        <v>1</v>
      </c>
      <c r="Y57" s="123">
        <f t="shared" si="10"/>
        <v>2</v>
      </c>
      <c r="Z57" s="123">
        <f t="shared" si="11"/>
        <v>2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30000005.941015434</v>
      </c>
      <c r="AQ57" s="126">
        <f>VLOOKUP(AE57,db_fifarank,2,FALSE)</f>
        <v>1688.99</v>
      </c>
      <c r="AR57" s="125">
        <f>AP57/AP60</f>
        <v>0.33333335815721737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1.2426074143619456E-9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60000007.590519056</v>
      </c>
      <c r="AQ59" s="126">
        <f>VLOOKUP(AE59,db_fifarank,2,FALSE)</f>
        <v>1550.94</v>
      </c>
      <c r="AR59" s="125">
        <f>AP59/AP60</f>
        <v>0.66666666863097612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90000011.120596781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Iran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2</v>
      </c>
      <c r="AL62" s="123">
        <f>AI62-AJ62</f>
        <v>6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90000009.980735406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>
        <v>1</v>
      </c>
      <c r="BO62" s="25"/>
      <c r="BP62" s="116">
        <f>IF(OR(BM62="",BM63="",AND(BN62="",BN63&lt;&gt;""),AND(BN63="",BN62&lt;&gt;""),AND(BO62="",BO63&lt;&gt;""),AND(BO63="",BO62&lt;&gt;"")),"",BM62*1000+BN62*10+BO62)</f>
        <v>1010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1</v>
      </c>
      <c r="AN63" s="123">
        <f>AF63*3+AG63</f>
        <v>1</v>
      </c>
      <c r="AO63" s="123">
        <f>AN63/AN66*10+BA63</f>
        <v>1.9806451612903224</v>
      </c>
      <c r="AP63" s="123">
        <f>AO63*10000000+BI63*100+AM63/AM66*10+AI63/AI66*1++IF(AQ63=0,ROW(),AQ63)/2000000</f>
        <v>19806550.920625724</v>
      </c>
      <c r="AQ63" s="126">
        <f>VLOOKUP(AE63,db_fifarank,2,FALSE)</f>
        <v>1564.26</v>
      </c>
      <c r="AR63" s="125">
        <f>AP63/AP66</f>
        <v>0.22007276115627739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50.666666666666664</v>
      </c>
      <c r="BA63" s="126">
        <f>AZ63/AZ66</f>
        <v>0.98064516129032253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2</v>
      </c>
      <c r="BE63" s="126" cm="1">
        <f t="array" ref="BE63">SUMPRODUCT(($E$7:$E$78=AE63)*($X$7:$X$78)*($G$7:$G$78))+SUMPRODUCT(($H$7:$H$78=AE63)*($X$7:$X$78)*($F$7:$F$78))</f>
        <v>2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50.666666666666664</v>
      </c>
      <c r="BI63" s="126">
        <f>BH63/BH66</f>
        <v>0.98064516129032253</v>
      </c>
      <c r="BK63" s="132"/>
      <c r="BL63" s="26" t="str">
        <f>AS45</f>
        <v>Iran</v>
      </c>
      <c r="BM63" s="62">
        <v>1</v>
      </c>
      <c r="BN63" s="64">
        <v>2</v>
      </c>
      <c r="BO63" s="27"/>
      <c r="BP63" s="112">
        <f>IF(BP62="","",BM63*1000+BN63*10+BO63)</f>
        <v>1020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6 - 5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5</v>
      </c>
      <c r="AL64" s="123">
        <f>AI64-AJ64</f>
        <v>1</v>
      </c>
      <c r="AM64" s="123">
        <f>AL64-AL66</f>
        <v>5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60000005.212917939</v>
      </c>
      <c r="AQ64" s="126">
        <f>VLOOKUP(AE64,db_fifarank,2,FALSE)</f>
        <v>1593.45</v>
      </c>
      <c r="AR64" s="125">
        <f>AP64/AP66</f>
        <v>0.66666664324919922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0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3 - 6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7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1.9806451612903224</v>
      </c>
      <c r="AP65" s="123">
        <f>AO65*10000000+BI65*100+AM65/AM66*10+AI65/AI66*1++IF(AQ65=0,ROW(),AQ65)/2000000</f>
        <v>19806550.011448409</v>
      </c>
      <c r="AQ65" s="126">
        <f>VLOOKUP(AE65,db_fifarank,2,FALSE)</f>
        <v>1391.45</v>
      </c>
      <c r="AR65" s="125">
        <f>AP65/AP66</f>
        <v>0.22007275105430846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2</v>
      </c>
      <c r="AW65" s="126" cm="1">
        <f t="array" ref="AW65">SUMPRODUCT(($E$7:$E$78=AE65)*($U$7:$U$78)*($G$7:$G$78))+SUMPRODUCT(($H$7:$H$78=AE65)*($U$7:$U$78)*($F$7:$F$78))</f>
        <v>2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50.666666666666664</v>
      </c>
      <c r="BA65" s="126">
        <f>AZ65/AZ66</f>
        <v>0.98064516129032253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2</v>
      </c>
      <c r="BE65" s="126" cm="1">
        <f t="array" ref="BE65">SUMPRODUCT(($E$7:$E$78=AE65)*($X$7:$X$78)*($G$7:$G$78))+SUMPRODUCT(($H$7:$H$78=AE65)*($X$7:$X$78)*($F$7:$F$78))</f>
        <v>2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50.666666666666664</v>
      </c>
      <c r="BI65" s="126">
        <f>BH65/BH66</f>
        <v>0.98064516129032253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3 - 7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9</v>
      </c>
      <c r="AL66" s="123">
        <f>MIN(AL62:AL65)</f>
        <v>-4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90000010.980735406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31">
        <v>85</v>
      </c>
      <c r="BL66" s="24" t="str">
        <f>AS14</f>
        <v>Canada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90000010.275881916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7</v>
      </c>
      <c r="AL69" s="123">
        <f>AI69-AJ69</f>
        <v>-7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8.2130545265618541E-12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5</v>
      </c>
      <c r="AL70" s="123">
        <f>AI70-AJ70</f>
        <v>-3</v>
      </c>
      <c r="AM70" s="123">
        <f>AL70-AL72</f>
        <v>4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30000002.700732671</v>
      </c>
      <c r="AQ70" s="126">
        <f>VLOOKUP(AE70,db_fifarank,2,FALSE)</f>
        <v>1465.34</v>
      </c>
      <c r="AR70" s="125">
        <f>AP70/AP72</f>
        <v>0.33333332157894996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>
        <v>4</v>
      </c>
      <c r="BO70" s="25"/>
      <c r="BP70" s="116">
        <f>IF(OR(BM70="",BM71="",AND(BN70="",BN71&lt;&gt;""),AND(BN71="",BN70&lt;&gt;""),AND(BO70="",BO71&lt;&gt;""),AND(BO71="",BO70&lt;&gt;"")),"",BM70*1000+BN70*10+BO70)</f>
        <v>2040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60000006.125846542</v>
      </c>
      <c r="AQ71" s="126">
        <f>VLOOKUP(AE71,db_fifarank,2,FALSE)</f>
        <v>1693.09</v>
      </c>
      <c r="AR71" s="125">
        <f>AP71/AP72</f>
        <v>0.66666665120657898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Ecuador</v>
      </c>
      <c r="BM71" s="62">
        <v>2</v>
      </c>
      <c r="BN71" s="64">
        <v>2</v>
      </c>
      <c r="BO71" s="27"/>
      <c r="BP71" s="112">
        <f>IF(BP70="","",BM71*1000+BN71*10+BO71)</f>
        <v>2020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0 - 7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10</v>
      </c>
      <c r="AL72" s="123">
        <f>MIN(AL68:AL71)</f>
        <v>-7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90000011.275881916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90000010.056468546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4</v>
      </c>
      <c r="AL75" s="123">
        <f>AI75-AJ75</f>
        <v>3</v>
      </c>
      <c r="AM75" s="123">
        <f>AL75-AL78</f>
        <v>8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60000007.445302978</v>
      </c>
      <c r="AQ75" s="126">
        <f>VLOOKUP(AE75,db_fifarank,2,FALSE)</f>
        <v>1717.07</v>
      </c>
      <c r="AR75" s="125">
        <f>AP75/AP78</f>
        <v>0.66666666749248815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7 - 4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7</v>
      </c>
      <c r="AL76" s="123">
        <f>AI76-AJ76</f>
        <v>-4</v>
      </c>
      <c r="AM76" s="123">
        <f>AL76-AL78</f>
        <v>1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1.1673398216666666</v>
      </c>
      <c r="AQ76" s="126">
        <f>VLOOKUP(AE76,db_fifarank,2,FALSE)</f>
        <v>1346.31</v>
      </c>
      <c r="AR76" s="125">
        <f>AP76/AP78</f>
        <v>1.2970440869548834E-8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3 - 8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8</v>
      </c>
      <c r="AL77" s="123">
        <f>AI77-AJ77</f>
        <v>-5</v>
      </c>
      <c r="AM77" s="123">
        <f>AL77-AL78</f>
        <v>0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30000000.334103651</v>
      </c>
      <c r="AQ77" s="126">
        <f>VLOOKUP(AE77,db_fifarank,2,FALSE)</f>
        <v>1540.64</v>
      </c>
      <c r="AR77" s="125">
        <f>AP77/AP78</f>
        <v>0.33333329609571721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2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90000011.056468546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6883.3340840233332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4 - 5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6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6383.3340608133331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5 - 5</v>
      </c>
      <c r="P82" s="101">
        <f t="shared" ref="P82:P92" si="48">L82*3+M82</f>
        <v>3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6716.6674158416672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5 - 5</v>
      </c>
      <c r="P83" s="101">
        <f t="shared" si="48"/>
        <v>3</v>
      </c>
      <c r="AD83" s="123">
        <f t="shared" si="38"/>
        <v>5</v>
      </c>
      <c r="AE83" s="124" t="str">
        <f>J29</f>
        <v>Australia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2</v>
      </c>
      <c r="AJ83" s="123">
        <f t="shared" si="42"/>
        <v>2</v>
      </c>
      <c r="AK83" s="123" t="s">
        <v>3184</v>
      </c>
      <c r="AL83" s="123">
        <f t="shared" si="43"/>
        <v>0</v>
      </c>
      <c r="AM83" s="123">
        <f t="shared" si="44"/>
        <v>5</v>
      </c>
      <c r="AN83" s="123">
        <f t="shared" si="45"/>
        <v>3</v>
      </c>
      <c r="AP83" s="123">
        <f>AN83/AN92*10000+AM83/AM92*1000+AI83/AI92*100+IF(AQ83=0,ROW(),AQ83)/2000000</f>
        <v>6866.6674570016658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5</v>
      </c>
      <c r="AK84" s="123" t="s">
        <v>3185</v>
      </c>
      <c r="AL84" s="123">
        <f t="shared" si="43"/>
        <v>0</v>
      </c>
      <c r="AM84" s="123">
        <f t="shared" si="44"/>
        <v>5</v>
      </c>
      <c r="AN84" s="123">
        <f t="shared" si="45"/>
        <v>3</v>
      </c>
      <c r="AP84" s="123">
        <f>AN84/AN92*10000+AM84/AM92*1000+AI84/AI92*100+IF(AQ84=0,ROW(),AQ84)/2000000</f>
        <v>6916.6674640566662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Australia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3</v>
      </c>
      <c r="N85" s="100">
        <f>VLOOKUP(5,$AD$80:$AN$91,5,FALSE)</f>
        <v>0</v>
      </c>
      <c r="O85" s="100" t="str">
        <f>VLOOKUP(5,$AD$80:$AN$91,6,FALSE) &amp; " - " &amp; VLOOKUP(5,$AD$80:$AN$91,7,FALSE)</f>
        <v>2 - 2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8733.3340907183319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Egypt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6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4</v>
      </c>
      <c r="AJ86" s="123">
        <f t="shared" si="42"/>
        <v>5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6733.3341149533344</v>
      </c>
      <c r="AQ86" s="126">
        <f t="shared" si="37"/>
        <v>1563.24</v>
      </c>
      <c r="AR86" s="125" t="str">
        <f t="shared" si="50"/>
        <v>ABCDEFG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6366.6673773816665</v>
      </c>
      <c r="AQ87" s="126">
        <f t="shared" si="37"/>
        <v>1421.43</v>
      </c>
      <c r="AR87" s="125" t="str">
        <f t="shared" si="50"/>
        <v>ABCDEFG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Qatar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6916.667511161666</v>
      </c>
      <c r="AQ88" s="126">
        <f t="shared" si="37"/>
        <v>1688.99</v>
      </c>
      <c r="AR88" s="125" t="str">
        <f t="shared" si="50"/>
        <v>ABCDEFGI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Uzbekistan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2383.3341154633335</v>
      </c>
      <c r="AQ89" s="126">
        <f t="shared" si="37"/>
        <v>1564.26</v>
      </c>
      <c r="AR89" s="125" t="str">
        <f t="shared" si="50"/>
        <v>ABCDEFGI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9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6366.6673993366658</v>
      </c>
      <c r="AQ90" s="126">
        <f t="shared" si="37"/>
        <v>1465.34</v>
      </c>
      <c r="AR90" s="125" t="str">
        <f t="shared" si="50"/>
        <v>ABCDEFGI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3 - 8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8</v>
      </c>
      <c r="AK91" s="123" t="s">
        <v>3192</v>
      </c>
      <c r="AL91" s="123">
        <f>VLOOKUP($AE91,$AE$8:$AQ$78,8,FALSE)</f>
        <v>-5</v>
      </c>
      <c r="AM91" s="123">
        <f t="shared" si="44"/>
        <v>0</v>
      </c>
      <c r="AN91" s="123">
        <f>VLOOKUP($AE91,$AE$8:$AQ$78,10,FALSE)</f>
        <v>3</v>
      </c>
      <c r="AP91" s="123">
        <f>AN91/AN92*10000+AM91/AM92*1000+AI91/AI92*100+IF(AQ91=0,ROW(),AQ91)/2000000</f>
        <v>6050.0007703199999</v>
      </c>
      <c r="AQ91" s="126">
        <f t="shared" si="37"/>
        <v>1540.64</v>
      </c>
      <c r="AR91" s="125" t="str">
        <f t="shared" si="50"/>
        <v>ABCDEFGI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3 - 6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477" workbookViewId="0">
      <selection activeCell="C499" sqref="C499"/>
    </sheetView>
  </sheetViews>
  <sheetFormatPr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494</v>
      </c>
      <c r="C3" s="121" t="str">
        <f>'2026 World Cup'!AR91</f>
        <v>ABCDEFGI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Gabriel Lönn</cp:lastModifiedBy>
  <cp:revision/>
  <cp:lastPrinted>2026-06-10T09:43:17Z</cp:lastPrinted>
  <dcterms:created xsi:type="dcterms:W3CDTF">2017-12-27T19:32:51Z</dcterms:created>
  <dcterms:modified xsi:type="dcterms:W3CDTF">2026-06-11T09:42:56Z</dcterms:modified>
  <cp:category>Sports</cp:category>
  <cp:contentStatus/>
</cp:coreProperties>
</file>
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nablahak/Desktop/"/>
    </mc:Choice>
  </mc:AlternateContent>
  <xr:revisionPtr revIDLastSave="0" documentId="13_ncr:1_{50D7A3C6-CF8B-204B-85BE-F4A6002123C1}" xr6:coauthVersionLast="47" xr6:coauthVersionMax="47" xr10:uidLastSave="{00000000-0000-0000-0000-000000000000}"/>
  <bookViews>
    <workbookView xWindow="1500" yWindow="740" windowWidth="25180" windowHeight="18380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AA36" i="3" s="1"/>
  <c r="H77" i="3"/>
  <c r="E53" i="3"/>
  <c r="E29" i="3"/>
  <c r="AA29" i="3" s="1"/>
  <c r="H59" i="3"/>
  <c r="E34" i="3"/>
  <c r="E7" i="3"/>
  <c r="E60" i="3"/>
  <c r="AA60" i="3" s="1"/>
  <c r="H31" i="3"/>
  <c r="H7" i="3"/>
  <c r="H57" i="3"/>
  <c r="E33" i="3"/>
  <c r="AA33" i="3" s="1"/>
  <c r="E9" i="3"/>
  <c r="H60" i="3"/>
  <c r="H34" i="3"/>
  <c r="E8" i="3"/>
  <c r="H58" i="3"/>
  <c r="H33" i="3"/>
  <c r="E14" i="3"/>
  <c r="AA14" i="3" s="1"/>
  <c r="E57" i="3"/>
  <c r="AA57" i="3" s="1"/>
  <c r="E32" i="3"/>
  <c r="H14" i="3"/>
  <c r="H55" i="3"/>
  <c r="E13" i="3"/>
  <c r="E56" i="3"/>
  <c r="H13" i="3"/>
  <c r="H56" i="3"/>
  <c r="E11" i="3"/>
  <c r="AA11" i="3" s="1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AA39" i="3" s="1"/>
  <c r="E16" i="3"/>
  <c r="AA16" i="3" s="1"/>
  <c r="E61" i="3"/>
  <c r="AA61" i="3" s="1"/>
  <c r="H40" i="3"/>
  <c r="H16" i="3"/>
  <c r="H61" i="3"/>
  <c r="H39" i="3"/>
  <c r="E15" i="3"/>
  <c r="E62" i="3"/>
  <c r="AA62" i="3" s="1"/>
  <c r="E40" i="3"/>
  <c r="AA40" i="3" s="1"/>
  <c r="H15" i="3"/>
  <c r="H64" i="3"/>
  <c r="E41" i="3"/>
  <c r="E17" i="3"/>
  <c r="E63" i="3"/>
  <c r="H42" i="3"/>
  <c r="H17" i="3"/>
  <c r="H63" i="3"/>
  <c r="H41" i="3"/>
  <c r="E18" i="3"/>
  <c r="AA18" i="3" s="1"/>
  <c r="E64" i="3"/>
  <c r="E42" i="3"/>
  <c r="H18" i="3"/>
  <c r="H70" i="3"/>
  <c r="E45" i="3"/>
  <c r="H69" i="3"/>
  <c r="H45" i="3"/>
  <c r="E21" i="3"/>
  <c r="AA21" i="3" s="1"/>
  <c r="E70" i="3"/>
  <c r="E46" i="3"/>
  <c r="H21" i="3"/>
  <c r="H72" i="3"/>
  <c r="E44" i="3"/>
  <c r="AA44" i="3" s="1"/>
  <c r="E20" i="3"/>
  <c r="AA20" i="3" s="1"/>
  <c r="H71" i="3"/>
  <c r="H44" i="3"/>
  <c r="E19" i="3"/>
  <c r="E72" i="3"/>
  <c r="E43" i="3"/>
  <c r="H19" i="3"/>
  <c r="H67" i="3"/>
  <c r="E48" i="3"/>
  <c r="AA48" i="3" s="1"/>
  <c r="E23" i="3"/>
  <c r="AA23" i="3" s="1"/>
  <c r="E68" i="3"/>
  <c r="H47" i="3"/>
  <c r="H23" i="3"/>
  <c r="E67" i="3"/>
  <c r="E47" i="3"/>
  <c r="AA47" i="3" s="1"/>
  <c r="H24" i="3"/>
  <c r="H76" i="3"/>
  <c r="E49" i="3"/>
  <c r="AA49" i="3" s="1"/>
  <c r="E25" i="3"/>
  <c r="AA25" i="3" s="1"/>
  <c r="E75" i="3"/>
  <c r="H50" i="3"/>
  <c r="H25" i="3"/>
  <c r="H75" i="3"/>
  <c r="H49" i="3"/>
  <c r="E26" i="3"/>
  <c r="AA26" i="3" s="1"/>
  <c r="E76" i="3"/>
  <c r="AA76" i="3" s="1"/>
  <c r="E50" i="3"/>
  <c r="AA50" i="3" s="1"/>
  <c r="H26" i="3"/>
  <c r="E78" i="3"/>
  <c r="H54" i="3"/>
  <c r="H29" i="3"/>
  <c r="H78" i="3"/>
  <c r="H53" i="3"/>
  <c r="E30" i="3"/>
  <c r="AA30" i="3" s="1"/>
  <c r="E77" i="3"/>
  <c r="E54" i="3"/>
  <c r="H30" i="3"/>
  <c r="H73" i="3"/>
  <c r="E51" i="3"/>
  <c r="AA51" i="3" s="1"/>
  <c r="E28" i="3"/>
  <c r="AA28" i="3" s="1"/>
  <c r="E74" i="3"/>
  <c r="AA74" i="3" s="1"/>
  <c r="H52" i="3"/>
  <c r="H28" i="3"/>
  <c r="H74" i="3"/>
  <c r="H51" i="3"/>
  <c r="E27" i="3"/>
  <c r="E73" i="3"/>
  <c r="AA73" i="3" s="1"/>
  <c r="E52" i="3"/>
  <c r="H27" i="3"/>
  <c r="E71" i="3"/>
  <c r="AA71" i="3" s="1"/>
  <c r="H43" i="3"/>
  <c r="H20" i="3"/>
  <c r="E59" i="3"/>
  <c r="AA59" i="3" s="1"/>
  <c r="E31" i="3"/>
  <c r="E58" i="3"/>
  <c r="AA58" i="3" s="1"/>
  <c r="H32" i="3"/>
  <c r="E69" i="3"/>
  <c r="AA69" i="3" s="1"/>
  <c r="H46" i="3"/>
  <c r="H68" i="3"/>
  <c r="H48" i="3"/>
  <c r="E24" i="3"/>
  <c r="E12" i="3"/>
  <c r="H8" i="3"/>
  <c r="H22" i="3"/>
  <c r="H12" i="3"/>
  <c r="E22" i="3"/>
  <c r="AA22" i="3" s="1"/>
  <c r="H9" i="3"/>
  <c r="D7" i="3"/>
  <c r="AA45" i="3" l="1"/>
  <c r="AA77" i="3"/>
  <c r="AA68" i="3"/>
  <c r="AA32" i="3"/>
  <c r="AA9" i="3"/>
  <c r="AA53" i="3"/>
  <c r="AA52" i="3"/>
  <c r="AA15" i="3"/>
  <c r="AA12" i="3"/>
  <c r="AA67" i="3"/>
  <c r="AA63" i="3"/>
  <c r="AA38" i="3"/>
  <c r="AA13" i="3"/>
  <c r="AA8" i="3"/>
  <c r="AA10" i="3"/>
  <c r="AA56" i="3"/>
  <c r="AA27" i="3"/>
  <c r="AA43" i="3"/>
  <c r="AA24" i="3"/>
  <c r="AA46" i="3"/>
  <c r="AA7" i="3"/>
  <c r="AA31" i="3"/>
  <c r="AA78" i="3"/>
  <c r="AA72" i="3"/>
  <c r="AA42" i="3"/>
  <c r="AA17" i="3"/>
  <c r="AA54" i="3"/>
  <c r="AA75" i="3"/>
  <c r="AA19" i="3"/>
  <c r="AA70" i="3"/>
  <c r="AA64" i="3"/>
  <c r="AA41" i="3"/>
  <c r="AA34" i="3"/>
  <c r="AA35" i="3"/>
  <c r="S12" i="3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S50" i="3"/>
  <c r="S76" i="3"/>
  <c r="T75" i="3"/>
  <c r="S47" i="3"/>
  <c r="S67" i="3"/>
  <c r="S72" i="3"/>
  <c r="T46" i="3"/>
  <c r="S70" i="3"/>
  <c r="S42" i="3"/>
  <c r="S64" i="3"/>
  <c r="T41" i="3"/>
  <c r="S40" i="3"/>
  <c r="S62" i="3"/>
  <c r="S38" i="3"/>
  <c r="S65" i="3"/>
  <c r="S55" i="3"/>
  <c r="T56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 l="1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72" i="3"/>
  <c r="AR68" i="3" s="1"/>
  <c r="AP36" i="3"/>
  <c r="AR32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D57" i="3"/>
  <c r="AR10" i="3"/>
  <c r="AR11" i="3"/>
  <c r="AR9" i="3"/>
  <c r="AR76" i="3"/>
  <c r="AR77" i="3"/>
  <c r="AR27" i="3"/>
  <c r="AR70" i="3"/>
  <c r="AR69" i="3"/>
  <c r="AR71" i="3"/>
  <c r="AR28" i="3"/>
  <c r="AR29" i="3"/>
  <c r="AR75" i="3"/>
  <c r="AR41" i="3"/>
  <c r="AR22" i="3"/>
  <c r="AR33" i="3"/>
  <c r="AR35" i="3"/>
  <c r="AR34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N58" i="3" l="1"/>
  <c r="AD11" i="3"/>
  <c r="AD9" i="3"/>
  <c r="AD8" i="3"/>
  <c r="AD10" i="3"/>
  <c r="L58" i="3"/>
  <c r="AD75" i="3"/>
  <c r="AD74" i="3"/>
  <c r="AD14" i="3"/>
  <c r="AD15" i="3"/>
  <c r="AD68" i="3"/>
  <c r="AD70" i="3"/>
  <c r="AD69" i="3"/>
  <c r="AD76" i="3"/>
  <c r="AD20" i="3"/>
  <c r="AD77" i="3"/>
  <c r="AD71" i="3"/>
  <c r="AD28" i="3"/>
  <c r="AD34" i="3"/>
  <c r="AD32" i="3"/>
  <c r="AD29" i="3"/>
  <c r="AD33" i="3"/>
  <c r="AD26" i="3"/>
  <c r="AD27" i="3"/>
  <c r="M58" i="3"/>
  <c r="AD35" i="3"/>
  <c r="O60" i="3"/>
  <c r="M59" i="3"/>
  <c r="AD63" i="3"/>
  <c r="AD53" i="3"/>
  <c r="AD44" i="3"/>
  <c r="AD22" i="3"/>
  <c r="L59" i="3"/>
  <c r="AD41" i="3"/>
  <c r="AD62" i="3"/>
  <c r="AD21" i="3"/>
  <c r="AD47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N39" i="3" l="1"/>
  <c r="O69" i="3"/>
  <c r="J75" i="3"/>
  <c r="AS74" i="3" s="1"/>
  <c r="BL54" i="3" s="1"/>
  <c r="O63" i="3"/>
  <c r="N51" i="3"/>
  <c r="O76" i="3"/>
  <c r="O12" i="3"/>
  <c r="N75" i="3"/>
  <c r="L33" i="3"/>
  <c r="O18" i="3"/>
  <c r="J18" i="3"/>
  <c r="O75" i="3"/>
  <c r="L75" i="3"/>
  <c r="M78" i="3"/>
  <c r="J76" i="3"/>
  <c r="AS75" i="3" s="1"/>
  <c r="BL27" i="3" s="1"/>
  <c r="N9" i="3"/>
  <c r="N10" i="3"/>
  <c r="O9" i="3"/>
  <c r="N12" i="3"/>
  <c r="J12" i="3"/>
  <c r="M21" i="3"/>
  <c r="M12" i="3"/>
  <c r="M9" i="3"/>
  <c r="L9" i="3"/>
  <c r="J9" i="3"/>
  <c r="AS8" i="3" s="1"/>
  <c r="BL50" i="3" s="1"/>
  <c r="L12" i="3"/>
  <c r="N71" i="3"/>
  <c r="O11" i="3"/>
  <c r="J10" i="3"/>
  <c r="AS9" i="3" s="1"/>
  <c r="BL18" i="3" s="1"/>
  <c r="N72" i="3"/>
  <c r="N11" i="3"/>
  <c r="O16" i="3"/>
  <c r="M11" i="3"/>
  <c r="L11" i="3"/>
  <c r="O10" i="3"/>
  <c r="L71" i="3"/>
  <c r="L10" i="3"/>
  <c r="M75" i="3"/>
  <c r="L69" i="3"/>
  <c r="J11" i="3"/>
  <c r="AE80" i="3" s="1"/>
  <c r="AQ80" i="3" s="1"/>
  <c r="N30" i="3"/>
  <c r="L76" i="3"/>
  <c r="M10" i="3"/>
  <c r="M63" i="3"/>
  <c r="J77" i="3"/>
  <c r="AE91" i="3" s="1"/>
  <c r="AQ91" i="3" s="1"/>
  <c r="P58" i="3"/>
  <c r="M76" i="3"/>
  <c r="M18" i="3"/>
  <c r="M77" i="3"/>
  <c r="J78" i="3"/>
  <c r="O77" i="3"/>
  <c r="N76" i="3"/>
  <c r="O78" i="3"/>
  <c r="N18" i="3"/>
  <c r="L78" i="3"/>
  <c r="N77" i="3"/>
  <c r="N78" i="3"/>
  <c r="L17" i="3"/>
  <c r="P59" i="3"/>
  <c r="K58" i="3"/>
  <c r="L18" i="3"/>
  <c r="N21" i="3"/>
  <c r="N16" i="3"/>
  <c r="L77" i="3"/>
  <c r="M30" i="3"/>
  <c r="M71" i="3"/>
  <c r="J28" i="3"/>
  <c r="AS27" i="3" s="1"/>
  <c r="BL62" i="3" s="1"/>
  <c r="BS61" i="3" s="1"/>
  <c r="N69" i="3"/>
  <c r="J21" i="3"/>
  <c r="AS20" i="3" s="1"/>
  <c r="BL42" i="3" s="1"/>
  <c r="BS44" i="3" s="1"/>
  <c r="BZ48" i="3" s="1"/>
  <c r="M69" i="3"/>
  <c r="O71" i="3"/>
  <c r="N29" i="3"/>
  <c r="J16" i="3"/>
  <c r="AS15" i="3" s="1"/>
  <c r="BL19" i="3" s="1"/>
  <c r="J69" i="3"/>
  <c r="AS68" i="3" s="1"/>
  <c r="BL70" i="3" s="1"/>
  <c r="L36" i="3"/>
  <c r="M16" i="3"/>
  <c r="J71" i="3"/>
  <c r="AE90" i="3" s="1"/>
  <c r="AQ90" i="3" s="1"/>
  <c r="N70" i="3"/>
  <c r="O33" i="3"/>
  <c r="O70" i="3"/>
  <c r="O72" i="3"/>
  <c r="L16" i="3"/>
  <c r="J70" i="3"/>
  <c r="AS69" i="3" s="1"/>
  <c r="BL26" i="3" s="1"/>
  <c r="J72" i="3"/>
  <c r="M33" i="3"/>
  <c r="L42" i="3"/>
  <c r="J34" i="3"/>
  <c r="AS33" i="3" s="1"/>
  <c r="BL46" i="3" s="1"/>
  <c r="N33" i="3"/>
  <c r="M70" i="3"/>
  <c r="N34" i="3"/>
  <c r="J33" i="3"/>
  <c r="AS32" i="3" s="1"/>
  <c r="BL10" i="3" s="1"/>
  <c r="N36" i="3"/>
  <c r="J29" i="3"/>
  <c r="AE83" i="3" s="1"/>
  <c r="AQ83" i="3" s="1"/>
  <c r="L70" i="3"/>
  <c r="M36" i="3"/>
  <c r="J41" i="3"/>
  <c r="AE85" i="3" s="1"/>
  <c r="AQ85" i="3" s="1"/>
  <c r="O34" i="3"/>
  <c r="M72" i="3"/>
  <c r="L72" i="3"/>
  <c r="L35" i="3"/>
  <c r="M27" i="3"/>
  <c r="O21" i="3"/>
  <c r="O65" i="3"/>
  <c r="M34" i="3"/>
  <c r="O30" i="3"/>
  <c r="M29" i="3"/>
  <c r="M22" i="3"/>
  <c r="N63" i="3"/>
  <c r="M28" i="3"/>
  <c r="J27" i="3"/>
  <c r="AS26" i="3" s="1"/>
  <c r="BL34" i="3" s="1"/>
  <c r="L21" i="3"/>
  <c r="O54" i="3"/>
  <c r="L22" i="3"/>
  <c r="K59" i="3"/>
  <c r="J30" i="3"/>
  <c r="L34" i="3"/>
  <c r="L28" i="3"/>
  <c r="J22" i="3"/>
  <c r="AS21" i="3" s="1"/>
  <c r="BL23" i="3" s="1"/>
  <c r="N40" i="3"/>
  <c r="O35" i="3"/>
  <c r="J35" i="3"/>
  <c r="AE84" i="3" s="1"/>
  <c r="AQ84" i="3" s="1"/>
  <c r="L27" i="3"/>
  <c r="N22" i="3"/>
  <c r="L30" i="3"/>
  <c r="L29" i="3"/>
  <c r="O27" i="3"/>
  <c r="L52" i="3"/>
  <c r="AT88" i="3"/>
  <c r="N35" i="3"/>
  <c r="M35" i="3"/>
  <c r="J36" i="3"/>
  <c r="O28" i="3"/>
  <c r="N27" i="3"/>
  <c r="AJ88" i="3"/>
  <c r="N66" i="3"/>
  <c r="L24" i="3"/>
  <c r="O39" i="3"/>
  <c r="J39" i="3"/>
  <c r="AS38" i="3" s="1"/>
  <c r="BL22" i="3" s="1"/>
  <c r="O36" i="3"/>
  <c r="N28" i="3"/>
  <c r="O29" i="3"/>
  <c r="N46" i="3"/>
  <c r="AI88" i="3"/>
  <c r="AG88" i="3"/>
  <c r="M47" i="3"/>
  <c r="N17" i="3"/>
  <c r="L47" i="3"/>
  <c r="N65" i="3"/>
  <c r="L63" i="3"/>
  <c r="L45" i="3"/>
  <c r="J45" i="3"/>
  <c r="AS44" i="3" s="1"/>
  <c r="BL38" i="3" s="1"/>
  <c r="O17" i="3"/>
  <c r="AH88" i="3"/>
  <c r="N47" i="3"/>
  <c r="M17" i="3"/>
  <c r="N48" i="3"/>
  <c r="L65" i="3"/>
  <c r="N54" i="3"/>
  <c r="O47" i="3"/>
  <c r="J48" i="3"/>
  <c r="O22" i="3"/>
  <c r="J17" i="3"/>
  <c r="AE81" i="3" s="1"/>
  <c r="AQ81" i="3" s="1"/>
  <c r="L15" i="3"/>
  <c r="J64" i="3"/>
  <c r="AS63" i="3" s="1"/>
  <c r="BL31" i="3" s="1"/>
  <c r="M24" i="3"/>
  <c r="O45" i="3"/>
  <c r="J63" i="3"/>
  <c r="AS62" i="3" s="1"/>
  <c r="BL58" i="3" s="1"/>
  <c r="BS60" i="3" s="1"/>
  <c r="BZ64" i="3" s="1"/>
  <c r="O64" i="3"/>
  <c r="J52" i="3"/>
  <c r="AS51" i="3" s="1"/>
  <c r="BL59" i="3" s="1"/>
  <c r="N45" i="3"/>
  <c r="J65" i="3"/>
  <c r="AE89" i="3" s="1"/>
  <c r="AQ89" i="3" s="1"/>
  <c r="N64" i="3"/>
  <c r="M45" i="3"/>
  <c r="O24" i="3"/>
  <c r="AN88" i="3"/>
  <c r="N53" i="3"/>
  <c r="K57" i="3"/>
  <c r="M41" i="3"/>
  <c r="M65" i="3"/>
  <c r="J47" i="3"/>
  <c r="AE86" i="3" s="1"/>
  <c r="AQ86" i="3" s="1"/>
  <c r="O66" i="3"/>
  <c r="AL88" i="3"/>
  <c r="O46" i="3"/>
  <c r="O41" i="3"/>
  <c r="J66" i="3"/>
  <c r="J53" i="3"/>
  <c r="AE87" i="3" s="1"/>
  <c r="AQ87" i="3" s="1"/>
  <c r="L51" i="3"/>
  <c r="L46" i="3"/>
  <c r="M42" i="3"/>
  <c r="M40" i="3"/>
  <c r="J40" i="3"/>
  <c r="AS39" i="3" s="1"/>
  <c r="BL43" i="3" s="1"/>
  <c r="M23" i="3"/>
  <c r="J42" i="3"/>
  <c r="O52" i="3"/>
  <c r="M39" i="3"/>
  <c r="O23" i="3"/>
  <c r="L53" i="3"/>
  <c r="L54" i="3"/>
  <c r="M51" i="3"/>
  <c r="M66" i="3"/>
  <c r="M54" i="3"/>
  <c r="L66" i="3"/>
  <c r="L64" i="3"/>
  <c r="N52" i="3"/>
  <c r="J51" i="3"/>
  <c r="AS50" i="3" s="1"/>
  <c r="BL30" i="3" s="1"/>
  <c r="L48" i="3"/>
  <c r="N41" i="3"/>
  <c r="O40" i="3"/>
  <c r="J23" i="3"/>
  <c r="AE82" i="3" s="1"/>
  <c r="AQ82" i="3" s="1"/>
  <c r="M64" i="3"/>
  <c r="L39" i="3"/>
  <c r="O51" i="3"/>
  <c r="M52" i="3"/>
  <c r="M48" i="3"/>
  <c r="O48" i="3"/>
  <c r="J46" i="3"/>
  <c r="AS45" i="3" s="1"/>
  <c r="BL63" i="3" s="1"/>
  <c r="O42" i="3"/>
  <c r="L41" i="3"/>
  <c r="P41" i="3" s="1"/>
  <c r="N23" i="3"/>
  <c r="N24" i="3"/>
  <c r="J24" i="3"/>
  <c r="L23" i="3"/>
  <c r="O53" i="3"/>
  <c r="M53" i="3"/>
  <c r="M46" i="3"/>
  <c r="J54" i="3"/>
  <c r="L40" i="3"/>
  <c r="AF88" i="3"/>
  <c r="P57" i="3"/>
  <c r="N15" i="3"/>
  <c r="N42" i="3"/>
  <c r="P60" i="3"/>
  <c r="K60" i="3"/>
  <c r="M15" i="3"/>
  <c r="O15" i="3"/>
  <c r="J15" i="3"/>
  <c r="AS14" i="3" s="1"/>
  <c r="BL66" i="3" s="1"/>
  <c r="AF91" i="3"/>
  <c r="S91" i="3" l="1"/>
  <c r="T91" i="3" s="1" a="1"/>
  <c r="T91" i="3" s="1"/>
  <c r="BS37" i="3"/>
  <c r="S90" i="3"/>
  <c r="T90" i="3" s="1" a="1"/>
  <c r="T90" i="3" s="1"/>
  <c r="BS36" i="3"/>
  <c r="S87" i="3"/>
  <c r="T87" i="3" s="1" a="1"/>
  <c r="T87" i="3" s="1"/>
  <c r="BS29" i="3"/>
  <c r="S89" i="3"/>
  <c r="T89" i="3" s="1" a="1"/>
  <c r="T89" i="3" s="1"/>
  <c r="BS21" i="3"/>
  <c r="S86" i="3"/>
  <c r="T86" i="3" s="1" a="1"/>
  <c r="T86" i="3" s="1"/>
  <c r="BS28" i="3"/>
  <c r="S88" i="3"/>
  <c r="T88" i="3" s="1" a="1"/>
  <c r="T88" i="3" s="1"/>
  <c r="BS20" i="3"/>
  <c r="S96" i="3" s="1"/>
  <c r="T96" i="3" s="1" a="1"/>
  <c r="T96" i="3" s="1"/>
  <c r="P28" i="3"/>
  <c r="AH91" i="3"/>
  <c r="AF90" i="3"/>
  <c r="AN91" i="3"/>
  <c r="AJ91" i="3"/>
  <c r="AI91" i="3"/>
  <c r="AH84" i="3"/>
  <c r="AG91" i="3"/>
  <c r="P75" i="3"/>
  <c r="P33" i="3"/>
  <c r="AT91" i="3"/>
  <c r="AL91" i="3"/>
  <c r="K21" i="3"/>
  <c r="AI81" i="3"/>
  <c r="P70" i="3"/>
  <c r="K78" i="3"/>
  <c r="P9" i="3"/>
  <c r="K75" i="3"/>
  <c r="AN84" i="3"/>
  <c r="P76" i="3"/>
  <c r="P11" i="3"/>
  <c r="P12" i="3"/>
  <c r="AL80" i="3"/>
  <c r="AN81" i="3"/>
  <c r="AL81" i="3"/>
  <c r="AF84" i="3"/>
  <c r="P10" i="3"/>
  <c r="K12" i="3"/>
  <c r="AH81" i="3"/>
  <c r="P21" i="3"/>
  <c r="K11" i="3"/>
  <c r="AF81" i="3"/>
  <c r="AL83" i="3"/>
  <c r="AT81" i="3"/>
  <c r="P30" i="3"/>
  <c r="AJ86" i="3"/>
  <c r="P69" i="3"/>
  <c r="P78" i="3"/>
  <c r="AJ84" i="3"/>
  <c r="K30" i="3"/>
  <c r="P16" i="3"/>
  <c r="P77" i="3"/>
  <c r="K77" i="3"/>
  <c r="K9" i="3"/>
  <c r="P34" i="3"/>
  <c r="K69" i="3"/>
  <c r="K76" i="3"/>
  <c r="P71" i="3"/>
  <c r="AI80" i="3"/>
  <c r="AH80" i="3"/>
  <c r="AF80" i="3"/>
  <c r="K10" i="3"/>
  <c r="AJ80" i="3"/>
  <c r="AG80" i="3"/>
  <c r="AT80" i="3"/>
  <c r="AN80" i="3"/>
  <c r="AH86" i="3"/>
  <c r="AI86" i="3"/>
  <c r="AF86" i="3"/>
  <c r="K16" i="3"/>
  <c r="AG85" i="3"/>
  <c r="K71" i="3"/>
  <c r="AN86" i="3"/>
  <c r="P63" i="3"/>
  <c r="P18" i="3"/>
  <c r="P35" i="3"/>
  <c r="AG86" i="3"/>
  <c r="K29" i="3"/>
  <c r="P27" i="3"/>
  <c r="AT86" i="3"/>
  <c r="AL87" i="3"/>
  <c r="AL86" i="3"/>
  <c r="AJ83" i="3"/>
  <c r="AT90" i="3"/>
  <c r="K18" i="3"/>
  <c r="AG83" i="3"/>
  <c r="AJ89" i="3"/>
  <c r="AL90" i="3"/>
  <c r="P29" i="3"/>
  <c r="AJ90" i="3"/>
  <c r="AI90" i="3"/>
  <c r="AI83" i="3"/>
  <c r="AN90" i="3"/>
  <c r="AT83" i="3"/>
  <c r="K28" i="3"/>
  <c r="AH90" i="3"/>
  <c r="K36" i="3"/>
  <c r="AN83" i="3"/>
  <c r="AG90" i="3"/>
  <c r="P40" i="3"/>
  <c r="K34" i="3"/>
  <c r="K64" i="3"/>
  <c r="P65" i="3"/>
  <c r="K17" i="3"/>
  <c r="P47" i="3"/>
  <c r="K22" i="3"/>
  <c r="K72" i="3"/>
  <c r="P36" i="3"/>
  <c r="K35" i="3"/>
  <c r="AN85" i="3"/>
  <c r="P72" i="3"/>
  <c r="P24" i="3"/>
  <c r="K33" i="3"/>
  <c r="P17" i="3"/>
  <c r="AL85" i="3"/>
  <c r="AN89" i="3"/>
  <c r="K39" i="3"/>
  <c r="AF85" i="3"/>
  <c r="AT85" i="3"/>
  <c r="AJ85" i="3"/>
  <c r="AI85" i="3"/>
  <c r="AH85" i="3"/>
  <c r="P22" i="3"/>
  <c r="K70" i="3"/>
  <c r="AF83" i="3"/>
  <c r="AT84" i="3"/>
  <c r="P39" i="3"/>
  <c r="AL89" i="3"/>
  <c r="K15" i="3"/>
  <c r="K47" i="3"/>
  <c r="K27" i="3"/>
  <c r="AL84" i="3"/>
  <c r="AI89" i="3"/>
  <c r="AH89" i="3"/>
  <c r="K51" i="3"/>
  <c r="AI84" i="3"/>
  <c r="AG89" i="3"/>
  <c r="P48" i="3"/>
  <c r="AF89" i="3"/>
  <c r="AH83" i="3"/>
  <c r="AG84" i="3"/>
  <c r="AT89" i="3"/>
  <c r="P15" i="3"/>
  <c r="AT87" i="3"/>
  <c r="AI87" i="3"/>
  <c r="AJ81" i="3"/>
  <c r="AG87" i="3"/>
  <c r="P66" i="3"/>
  <c r="AF87" i="3"/>
  <c r="AG81" i="3"/>
  <c r="AN87" i="3"/>
  <c r="K52" i="3"/>
  <c r="K53" i="3"/>
  <c r="K42" i="3"/>
  <c r="K45" i="3"/>
  <c r="K24" i="3"/>
  <c r="K65" i="3"/>
  <c r="AJ87" i="3"/>
  <c r="K40" i="3"/>
  <c r="AH87" i="3"/>
  <c r="P46" i="3"/>
  <c r="K54" i="3"/>
  <c r="K41" i="3"/>
  <c r="P52" i="3"/>
  <c r="P53" i="3"/>
  <c r="K23" i="3"/>
  <c r="P42" i="3"/>
  <c r="K66" i="3"/>
  <c r="AJ82" i="3"/>
  <c r="P23" i="3"/>
  <c r="K48" i="3"/>
  <c r="P54" i="3"/>
  <c r="K46" i="3"/>
  <c r="AT82" i="3"/>
  <c r="AN82" i="3"/>
  <c r="AI82" i="3"/>
  <c r="AH82" i="3"/>
  <c r="K63" i="3"/>
  <c r="AG82" i="3"/>
  <c r="P45" i="3"/>
  <c r="P64" i="3"/>
  <c r="AF82" i="3"/>
  <c r="P51" i="3"/>
  <c r="AL82" i="3"/>
  <c r="S98" i="3" l="1"/>
  <c r="T98" i="3" s="1" a="1"/>
  <c r="T98" i="3" s="1"/>
  <c r="BZ33" i="3"/>
  <c r="U103" i="3" s="1"/>
  <c r="AC103" i="3" s="1" a="1"/>
  <c r="AC103" i="3" s="1"/>
  <c r="BZ17" i="3"/>
  <c r="U102" i="3" s="1"/>
  <c r="AC102" i="3" s="1" a="1"/>
  <c r="AC102" i="3" s="1"/>
  <c r="S97" i="3"/>
  <c r="T97" i="3" s="1" a="1"/>
  <c r="T97" i="3" s="1"/>
  <c r="BZ32" i="3"/>
  <c r="AF92" i="3"/>
  <c r="AG92" i="3"/>
  <c r="AI92" i="3"/>
  <c r="AN92" i="3"/>
  <c r="AH92" i="3"/>
  <c r="AL92" i="3"/>
  <c r="AM88" i="3" s="1"/>
  <c r="AS92" i="3"/>
  <c r="AJ92" i="3"/>
  <c r="S103" i="3" l="1"/>
  <c r="T103" i="3" s="1" a="1"/>
  <c r="T103" i="3" s="1"/>
  <c r="CG24" i="3"/>
  <c r="CN48" i="3" s="1"/>
  <c r="AM85" i="3"/>
  <c r="AM83" i="3"/>
  <c r="AM87" i="3"/>
  <c r="AM81" i="3"/>
  <c r="AM86" i="3"/>
  <c r="AM80" i="3"/>
  <c r="AM90" i="3"/>
  <c r="AM82" i="3"/>
  <c r="AM84" i="3"/>
  <c r="AM91" i="3"/>
  <c r="AM89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4" i="3"/>
  <c r="AP89" i="3"/>
  <c r="AP86" i="3"/>
  <c r="AP91" i="3"/>
  <c r="AP81" i="3"/>
  <c r="AP88" i="3"/>
  <c r="AP90" i="3"/>
  <c r="AP80" i="3"/>
  <c r="AP85" i="3"/>
  <c r="AP83" i="3"/>
  <c r="AP82" i="3"/>
  <c r="CN37" i="3" l="1"/>
  <c r="S111" i="3"/>
  <c r="T111" i="3" s="1"/>
  <c r="AD87" i="3"/>
  <c r="AS87" i="3" s="1"/>
  <c r="AD90" i="3"/>
  <c r="AS90" i="3" s="1"/>
  <c r="AD88" i="3"/>
  <c r="AS88" i="3" s="1"/>
  <c r="AD85" i="3"/>
  <c r="AS85" i="3" s="1"/>
  <c r="AD82" i="3"/>
  <c r="AS82" i="3" s="1"/>
  <c r="AD80" i="3"/>
  <c r="AR80" i="3" s="1"/>
  <c r="AD89" i="3"/>
  <c r="AS89" i="3" s="1"/>
  <c r="AD84" i="3"/>
  <c r="AS84" i="3" s="1"/>
  <c r="AD91" i="3"/>
  <c r="AS91" i="3" s="1"/>
  <c r="AD83" i="3"/>
  <c r="AS83" i="3" s="1"/>
  <c r="AD81" i="3"/>
  <c r="AS81" i="3" s="1"/>
  <c r="AD86" i="3"/>
  <c r="AS86" i="3" s="1"/>
  <c r="O81" i="3" l="1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9" i="3"/>
  <c r="J81" i="3"/>
  <c r="O89" i="3"/>
  <c r="N81" i="3"/>
  <c r="M89" i="3"/>
  <c r="M91" i="3"/>
  <c r="M81" i="3"/>
  <c r="AS80" i="3"/>
  <c r="J91" i="3"/>
  <c r="O91" i="3"/>
  <c r="L81" i="3"/>
  <c r="N89" i="3"/>
  <c r="L89" i="3"/>
  <c r="J82" i="3"/>
  <c r="N88" i="3"/>
  <c r="L91" i="3"/>
  <c r="J90" i="3"/>
  <c r="J84" i="3"/>
  <c r="J85" i="3"/>
  <c r="J83" i="3"/>
  <c r="N91" i="3"/>
  <c r="L83" i="3"/>
  <c r="O92" i="3"/>
  <c r="O83" i="3"/>
  <c r="O85" i="3"/>
  <c r="M92" i="3"/>
  <c r="M84" i="3"/>
  <c r="L92" i="3"/>
  <c r="L82" i="3"/>
  <c r="N85" i="3"/>
  <c r="N90" i="3"/>
  <c r="L87" i="3"/>
  <c r="L90" i="3"/>
  <c r="J87" i="3"/>
  <c r="L88" i="3"/>
  <c r="M88" i="3"/>
  <c r="J88" i="3"/>
  <c r="O87" i="3"/>
  <c r="N86" i="3"/>
  <c r="N83" i="3"/>
  <c r="O84" i="3"/>
  <c r="M86" i="3"/>
  <c r="L86" i="3"/>
  <c r="O86" i="3"/>
  <c r="J86" i="3"/>
  <c r="M85" i="3"/>
  <c r="J92" i="3"/>
  <c r="N92" i="3"/>
  <c r="L84" i="3"/>
  <c r="O82" i="3"/>
  <c r="L85" i="3"/>
  <c r="M82" i="3"/>
  <c r="M90" i="3"/>
  <c r="M83" i="3"/>
  <c r="O88" i="3"/>
  <c r="N82" i="3"/>
  <c r="M87" i="3"/>
  <c r="N87" i="3"/>
  <c r="O90" i="3"/>
  <c r="N84" i="3"/>
  <c r="K89" i="3" l="1"/>
  <c r="P91" i="3"/>
  <c r="P89" i="3"/>
  <c r="P81" i="3"/>
  <c r="P90" i="3"/>
  <c r="K81" i="3"/>
  <c r="K87" i="3"/>
  <c r="J3" i="4"/>
  <c r="BL71" i="3" s="1"/>
  <c r="BS69" i="3" s="1"/>
  <c r="BZ65" i="3" s="1"/>
  <c r="CG56" i="3" s="1"/>
  <c r="CN49" i="3" s="1"/>
  <c r="G3" i="4"/>
  <c r="BL11" i="3" s="1"/>
  <c r="H3" i="4"/>
  <c r="BL39" i="3" s="1"/>
  <c r="B3" i="4"/>
  <c r="I3" i="4"/>
  <c r="BL15" i="3" s="1"/>
  <c r="K3" i="4"/>
  <c r="BL55" i="3" s="1"/>
  <c r="E3" i="4"/>
  <c r="BL67" i="3" s="1"/>
  <c r="D3" i="4"/>
  <c r="BL51" i="3" s="1"/>
  <c r="K83" i="3"/>
  <c r="K91" i="3"/>
  <c r="K82" i="3"/>
  <c r="K92" i="3"/>
  <c r="K86" i="3"/>
  <c r="K84" i="3"/>
  <c r="P83" i="3"/>
  <c r="P87" i="3"/>
  <c r="P84" i="3"/>
  <c r="P86" i="3"/>
  <c r="P92" i="3"/>
  <c r="P85" i="3"/>
  <c r="P88" i="3"/>
  <c r="P82" i="3"/>
  <c r="K85" i="3"/>
  <c r="K88" i="3"/>
  <c r="K90" i="3"/>
  <c r="BS53" i="3"/>
  <c r="BS52" i="3"/>
  <c r="BZ49" i="3" s="1"/>
  <c r="CG55" i="3" s="1"/>
  <c r="CN38" i="3" s="1"/>
  <c r="CK68" i="3" s="1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<sst xmlns="http://schemas.openxmlformats.org/spreadsheetml/2006/main" count="9786" uniqueCount="3698">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</sst>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"/>
  <cols>
    <col min="1" max="1" width="24.1640625" bestFit="1" customWidth="1"/>
    <col min="2" max="42" width="14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">
      <c r="A145" s="1"/>
    </row>
    <row r="146" spans="1:42" x14ac:dyDescent="0.2">
      <c r="A146" s="1"/>
    </row>
    <row r="147" spans="1:42" x14ac:dyDescent="0.2">
      <c r="A147" s="1"/>
    </row>
    <row r="148" spans="1:42" x14ac:dyDescent="0.2">
      <c r="A148" s="1"/>
    </row>
    <row r="149" spans="1:42" x14ac:dyDescent="0.2">
      <c r="A149" s="1"/>
    </row>
    <row r="150" spans="1:42" x14ac:dyDescent="0.2">
      <c r="A150" s="1"/>
    </row>
    <row r="151" spans="1:42" x14ac:dyDescent="0.2">
      <c r="A151" s="1"/>
    </row>
    <row r="152" spans="1:42" x14ac:dyDescent="0.2">
      <c r="A152" s="1"/>
    </row>
    <row r="153" spans="1:42" x14ac:dyDescent="0.2">
      <c r="A153" s="1"/>
    </row>
    <row r="154" spans="1:42" x14ac:dyDescent="0.2">
      <c r="A154" s="1"/>
    </row>
    <row r="155" spans="1:42" x14ac:dyDescent="0.2">
      <c r="A155" s="1"/>
    </row>
    <row r="156" spans="1:42" x14ac:dyDescent="0.2">
      <c r="A156" s="1"/>
    </row>
    <row r="157" spans="1:42" x14ac:dyDescent="0.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baseColWidth="10" defaultColWidth="9.1640625" defaultRowHeight="15" x14ac:dyDescent="0.2"/>
  <cols>
    <col min="1" max="1" width="1.1640625" style="10" customWidth="1"/>
    <col min="2" max="2" width="18.83203125" style="10" bestFit="1" customWidth="1"/>
    <col min="3" max="3" width="20.33203125" style="10" customWidth="1"/>
    <col min="4" max="4" width="9.1640625" style="10"/>
    <col min="5" max="5" width="1.1640625" style="10" customWidth="1"/>
    <col min="6" max="6" width="9.1640625" style="10"/>
    <col min="7" max="7" width="27.5" style="10" bestFit="1" customWidth="1"/>
    <col min="8" max="8" width="2.6640625" style="10" customWidth="1"/>
    <col min="9" max="9" width="1.1640625" style="10" customWidth="1"/>
    <col min="10" max="16384" width="9.1640625" style="10"/>
  </cols>
  <sheetData>
    <row r="1" spans="2:27" ht="7.5" customHeight="1" x14ac:dyDescent="0.2"/>
    <row r="2" spans="2:27" ht="17" thickBot="1" x14ac:dyDescent="0.2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">
      <c r="B3" s="42"/>
      <c r="C3" s="43"/>
      <c r="D3" s="44"/>
      <c r="F3" s="42"/>
      <c r="G3" s="43"/>
      <c r="H3" s="44"/>
    </row>
    <row r="4" spans="2:27" x14ac:dyDescent="0.2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">
      <c r="B11" s="54"/>
      <c r="C11" s="43"/>
      <c r="D11" s="44"/>
      <c r="F11" s="51"/>
      <c r="G11" s="52"/>
      <c r="H11" s="53"/>
    </row>
    <row r="12" spans="2:27" ht="15" customHeight="1" x14ac:dyDescent="0.2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6" x14ac:dyDescent="0.2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S18" zoomScale="125" zoomScaleNormal="100" workbookViewId="0">
      <selection activeCell="CT36" sqref="CT36"/>
    </sheetView>
  </sheetViews>
  <sheetFormatPr baseColWidth="10" defaultColWidth="9.1640625" defaultRowHeight="15" x14ac:dyDescent="0.2"/>
  <cols>
    <col min="1" max="1" width="4.83203125" style="3" customWidth="1"/>
    <col min="2" max="2" width="6.1640625" style="3" customWidth="1"/>
    <col min="3" max="3" width="11.6640625" style="3" bestFit="1" customWidth="1"/>
    <col min="4" max="4" width="9" style="4" customWidth="1"/>
    <col min="5" max="5" width="22.5" style="5" customWidth="1"/>
    <col min="6" max="7" width="4.33203125" style="6" customWidth="1"/>
    <col min="8" max="8" width="22.5" style="7" customWidth="1"/>
    <col min="9" max="9" width="3.5" style="2" customWidth="1"/>
    <col min="10" max="10" width="19.5" style="8" customWidth="1"/>
    <col min="11" max="14" width="5.5" style="9" customWidth="1"/>
    <col min="15" max="15" width="7.6640625" style="9" customWidth="1"/>
    <col min="16" max="16" width="6.6640625" style="9" customWidth="1"/>
    <col min="17" max="17" width="3.5" style="68" customWidth="1"/>
    <col min="18" max="18" width="15.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5" style="123" hidden="1" customWidth="1"/>
    <col min="31" max="31" width="13.5" style="124" hidden="1" customWidth="1"/>
    <col min="32" max="36" width="5.5" style="123" hidden="1" customWidth="1"/>
    <col min="37" max="39" width="6" style="123" hidden="1" customWidth="1"/>
    <col min="40" max="40" width="5.5" style="123" hidden="1" customWidth="1"/>
    <col min="41" max="42" width="6" style="123" hidden="1" customWidth="1"/>
    <col min="43" max="43" width="7.164062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640625" style="125" hidden="1" customWidth="1"/>
    <col min="52" max="61" width="9.1640625" style="126" hidden="1" customWidth="1"/>
    <col min="62" max="62" width="9.164062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320312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640625" style="2"/>
  </cols>
  <sheetData>
    <row r="1" spans="1:95" ht="47" x14ac:dyDescent="0.2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"/>
    <row r="5" spans="1:95" x14ac:dyDescent="0.2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2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2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3</v>
      </c>
      <c r="G7" s="15">
        <v>1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2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2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7</v>
      </c>
      <c r="AJ8" s="123">
        <f>SUMIF($E$7:$E$78,$AE8,$G$7:$G$78) + SUMIF($H$7:$H$78,$AE8,$F$7:$F$78)</f>
        <v>4</v>
      </c>
      <c r="AL8" s="123">
        <f>AI8-AJ8</f>
        <v>3</v>
      </c>
      <c r="AM8" s="123">
        <f>AL8-AL12</f>
        <v>5</v>
      </c>
      <c r="AN8" s="123">
        <f>AF8*3+AG8</f>
        <v>7</v>
      </c>
      <c r="AO8" s="123">
        <f>AN8/AN12*10+BA8</f>
        <v>8.7565573770491802</v>
      </c>
      <c r="AP8" s="123">
        <f>AO8*10000000+BI8*100+AM8/AM12*10+AI8/AI12*1++IF(AQ8=0,ROW(),AQ8)/2000000</f>
        <v>87565582.979665652</v>
      </c>
      <c r="AQ8" s="126">
        <f>VLOOKUP(AE8,db_fifarank,2,FALSE)</f>
        <v>1681.03</v>
      </c>
      <c r="AR8" s="125">
        <f>AP8/AP12</f>
        <v>0.99999998857998817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1</v>
      </c>
      <c r="AZ8" s="126">
        <f>AT8/AT12*1000+AU8/AU12*100+AY8/AY12*10+AV8/AV12</f>
        <v>3.333333333333333</v>
      </c>
      <c r="BA8" s="126">
        <f>AZ8/AZ12</f>
        <v>6.557377049180327E-3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0</v>
      </c>
      <c r="G9" s="20">
        <v>2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7 - 4</v>
      </c>
      <c r="P9" s="32">
        <f>L9*3+M9</f>
        <v>7</v>
      </c>
      <c r="R9" s="123">
        <f>DATE(2026,6,12)+TIME(8,0,0)+gmt_delta</f>
        <v>46185.791666666672</v>
      </c>
      <c r="S9" s="127" t="str">
        <f t="shared" si="1"/>
        <v>Canada_lose</v>
      </c>
      <c r="T9" s="127" t="str">
        <f t="shared" si="2"/>
        <v>Bosnia and Herzegovina_win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-1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1</v>
      </c>
      <c r="AG9" s="123">
        <f>COUNTIF($S$7:$T$78,"=" &amp; AE9 &amp; "_draw")</f>
        <v>0</v>
      </c>
      <c r="AH9" s="123">
        <f>COUNTIF($S$7:$T$78,"=" &amp; AE9 &amp; "_lose")</f>
        <v>2</v>
      </c>
      <c r="AI9" s="123">
        <f>SUMIF($E$7:$E$78,$AE9,$F$7:$F$78) + SUMIF($H$7:$H$78,$AE9,$G$7:$G$78)</f>
        <v>4</v>
      </c>
      <c r="AJ9" s="123">
        <f>SUMIF($E$7:$E$78,$AE9,$G$7:$G$78) + SUMIF($H$7:$H$78,$AE9,$F$7:$F$78)</f>
        <v>6</v>
      </c>
      <c r="AL9" s="123">
        <f>AI9-AJ9</f>
        <v>-2</v>
      </c>
      <c r="AM9" s="123">
        <f>AL9-AL12</f>
        <v>0</v>
      </c>
      <c r="AN9" s="123">
        <f>AF9*3+AG9</f>
        <v>3</v>
      </c>
      <c r="AO9" s="123">
        <f>AN9/AN12*10+BA9</f>
        <v>3.7506557377049181</v>
      </c>
      <c r="AP9" s="123">
        <f>AO9*10000000+BI9*100+AM9/AM12*10+AI9/AI12*1++IF(AQ9=0,ROW(),AQ9)/2000000</f>
        <v>37506557.877764046</v>
      </c>
      <c r="AQ9" s="126">
        <f>VLOOKUP(AE9,db_fifarank,2,FALSE)</f>
        <v>1429.73</v>
      </c>
      <c r="AR9" s="125">
        <f>AP9/AP12</f>
        <v>0.42832533254701716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1</v>
      </c>
      <c r="AW9" s="126" cm="1">
        <f t="array" ref="AW9">SUMPRODUCT(($E$7:$E$78=AE9)*($U$7:$U$78)*($G$7:$G$78))+SUMPRODUCT(($H$7:$H$78=AE9)*($U$7:$U$78)*($F$7:$F$78))</f>
        <v>2</v>
      </c>
      <c r="AX9" s="126">
        <f>AV9-AW9</f>
        <v>-1</v>
      </c>
      <c r="AY9" s="126">
        <f>AX9-MIN(AX8:AX11)</f>
        <v>0</v>
      </c>
      <c r="AZ9" s="126">
        <f>AT9/AT12*1000+AU9/AU12*100+AY9/AY12*10+AV9/AV12</f>
        <v>0.33333333333333331</v>
      </c>
      <c r="BA9" s="126">
        <f>AZ9/AZ12</f>
        <v>6.5573770491803268E-4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1</v>
      </c>
      <c r="G10" s="20">
        <v>1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4 - 4</v>
      </c>
      <c r="P10" s="34">
        <f>L10*3+M10</f>
        <v>4</v>
      </c>
      <c r="R10" s="123">
        <f>DATE(2026,6,12)+TIME(14,0,0)+gmt_delta</f>
        <v>46186.041666666672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1</v>
      </c>
      <c r="V10" s="123">
        <f t="shared" si="3"/>
        <v>1</v>
      </c>
      <c r="W10" s="123">
        <f t="shared" si="4"/>
        <v>1</v>
      </c>
      <c r="X10" s="123">
        <f t="shared" si="9"/>
        <v>1</v>
      </c>
      <c r="Y10" s="123">
        <f t="shared" si="10"/>
        <v>1</v>
      </c>
      <c r="Z10" s="123">
        <f t="shared" si="11"/>
        <v>1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0</v>
      </c>
      <c r="AH10" s="123">
        <f>COUNTIF($S$7:$T$78,"=" &amp; AE10 &amp; "_lose")</f>
        <v>2</v>
      </c>
      <c r="AI10" s="123">
        <f>SUMIF($E$7:$E$78,$AE10,$F$7:$F$78) + SUMIF($H$7:$H$78,$AE10,$G$7:$G$78)</f>
        <v>5</v>
      </c>
      <c r="AJ10" s="123">
        <f>SUMIF($E$7:$E$78,$AE10,$G$7:$G$78) + SUMIF($H$7:$H$78,$AE10,$F$7:$F$78)</f>
        <v>6</v>
      </c>
      <c r="AL10" s="123">
        <f>AI10-AJ10</f>
        <v>-1</v>
      </c>
      <c r="AM10" s="123">
        <f>AL10-AL12</f>
        <v>1</v>
      </c>
      <c r="AN10" s="123">
        <f>AF10*3+AG10</f>
        <v>3</v>
      </c>
      <c r="AO10" s="123">
        <f>AN10/AN12*10+BA10</f>
        <v>4.7480327868852461</v>
      </c>
      <c r="AP10" s="123">
        <f>AO10*10000000+BI10*100+AM10/AM12*10+AI10/AI12*1++IF(AQ10=0,ROW(),AQ10)/2000000</f>
        <v>47480330.161313452</v>
      </c>
      <c r="AQ10" s="126">
        <f>VLOOKUP(AE10,db_fifarank,2,FALSE)</f>
        <v>1588.66</v>
      </c>
      <c r="AR10" s="125">
        <f>AP10/AP12</f>
        <v>0.54222592945122439</v>
      </c>
      <c r="AT10" s="126" cm="1">
        <f t="array" ref="AT10">SUMPRODUCT(($S$7:$S$78=AE10&amp;"_win")*($U$7:$U$78))+SUMPRODUCT(($T$7:$T$78=AE10&amp;"_win")*($U$7:$U$78))</f>
        <v>1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2</v>
      </c>
      <c r="AW10" s="126" cm="1">
        <f t="array" ref="AW10">SUMPRODUCT(($E$7:$E$78=AE10)*($U$7:$U$78)*($G$7:$G$78))+SUMPRODUCT(($H$7:$H$78=AE10)*($U$7:$U$78)*($F$7:$F$78))</f>
        <v>1</v>
      </c>
      <c r="AX10" s="126">
        <f>AV10-AW10</f>
        <v>1</v>
      </c>
      <c r="AY10" s="126">
        <f>AX10-MIN(AX8:AX11)</f>
        <v>2</v>
      </c>
      <c r="AZ10" s="126">
        <f>AT10/AT12*1000+AU10/AU12*100+AY10/AY12*10+AV10/AV12</f>
        <v>507.33333333333337</v>
      </c>
      <c r="BA10" s="126">
        <f>AZ10/AZ12</f>
        <v>0.99803278688524588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1</v>
      </c>
      <c r="G11" s="20">
        <v>0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5 - 6</v>
      </c>
      <c r="P11" s="34">
        <f>L11*3+M11</f>
        <v>3</v>
      </c>
      <c r="R11" s="123">
        <f>DATE(2026,6,13)+TIME(14,0,0)+gmt_delta</f>
        <v>46187.041666666672</v>
      </c>
      <c r="S11" s="127" t="str">
        <f t="shared" si="1"/>
        <v>Haiti_win</v>
      </c>
      <c r="T11" s="127" t="str">
        <f t="shared" si="2"/>
        <v>Scotland_lose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4</v>
      </c>
      <c r="AL11" s="123">
        <f>AI11-AJ11</f>
        <v>0</v>
      </c>
      <c r="AM11" s="123">
        <f>AL11-AL12</f>
        <v>2</v>
      </c>
      <c r="AN11" s="123">
        <f>AF11*3+AG11</f>
        <v>4</v>
      </c>
      <c r="AO11" s="123">
        <f>AN11/AN12*10+BA11</f>
        <v>5.0065573770491802</v>
      </c>
      <c r="AP11" s="123">
        <f>AO11*10000000+BI11*100+AM11/AM12*10+AI11/AI12*1++IF(AQ11=0,ROW(),AQ11)/2000000</f>
        <v>50065577.604575828</v>
      </c>
      <c r="AQ11" s="126">
        <f>VLOOKUP(AE11,db_fifarank,2,FALSE)</f>
        <v>1501.38</v>
      </c>
      <c r="AR11" s="125">
        <f>AP11/AP12</f>
        <v>0.57174948569065653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1</v>
      </c>
      <c r="AZ11" s="126">
        <f>AT11/AT12*1000+AU11/AU12*100+AY11/AY12*10+AV11/AV12</f>
        <v>3.333333333333333</v>
      </c>
      <c r="BA11" s="126">
        <f>AZ11/AZ12</f>
        <v>6.557377049180327E-3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United States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2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1</v>
      </c>
      <c r="M12" s="36">
        <f>VLOOKUP(4,AD8:AN11,4,FALSE)</f>
        <v>0</v>
      </c>
      <c r="N12" s="36">
        <f>VLOOKUP(4,AD8:AN11,5,FALSE)</f>
        <v>2</v>
      </c>
      <c r="O12" s="36" t="str">
        <f>VLOOKUP(4,AD8:AN11,6,FALSE) &amp; " - " &amp; VLOOKUP(4,AD8:AN11,7,FALSE)</f>
        <v>4 - 6</v>
      </c>
      <c r="P12" s="37">
        <f>L12*3+M12</f>
        <v>3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2</v>
      </c>
      <c r="AG12" s="123">
        <f t="shared" si="12"/>
        <v>2</v>
      </c>
      <c r="AH12" s="123">
        <f t="shared" si="12"/>
        <v>3</v>
      </c>
      <c r="AI12" s="123">
        <f>MAX(AI8:AI11)+1</f>
        <v>8</v>
      </c>
      <c r="AL12" s="123">
        <f>MIN(AL8:AL11)</f>
        <v>-2</v>
      </c>
      <c r="AM12" s="123">
        <f>MAX(AM8:AM11)+1</f>
        <v>6</v>
      </c>
      <c r="AN12" s="123">
        <f>MAX(AN8:AN11)+1</f>
        <v>8</v>
      </c>
      <c r="AO12" s="123">
        <f>MAX(AO8:AO11)+1</f>
        <v>9.7565573770491802</v>
      </c>
      <c r="AP12" s="123">
        <f>MAX(AP8:AP11)+1</f>
        <v>87565583.979665652</v>
      </c>
      <c r="AT12" s="126">
        <f>MAX(AT8:AT11)-MIN(AT8:AT11)+1</f>
        <v>2</v>
      </c>
      <c r="AU12" s="126">
        <f>MAX(AU8:AU11)-MIN(AU8:AU11)+1</f>
        <v>1</v>
      </c>
      <c r="AV12" s="126">
        <f>MAX(AV8:AV11)-MIN(AV8:AV11)+1</f>
        <v>3</v>
      </c>
      <c r="AW12" s="126">
        <f>MAX(AW8:AW11)-MIN(AW8:AW11)+1</f>
        <v>3</v>
      </c>
      <c r="AY12" s="126">
        <f>MAX(AY8:AY11)-MIN(AY8:AY11)+1</f>
        <v>3</v>
      </c>
      <c r="AZ12" s="126">
        <f>MAX(AZ8:AZ11)+1</f>
        <v>508.33333333333337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2</v>
      </c>
      <c r="G13" s="20">
        <v>0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0</v>
      </c>
      <c r="AH14" s="123">
        <f>COUNTIF($S$7:$T$78,"=" &amp; AE14 &amp; "_lose")</f>
        <v>2</v>
      </c>
      <c r="AI14" s="123">
        <f>SUMIF($E$7:$E$78,$AE14,$F$7:$F$78) + SUMIF($H$7:$H$78,$AE14,$G$7:$G$78)</f>
        <v>2</v>
      </c>
      <c r="AJ14" s="123">
        <f>SUMIF($E$7:$E$78,$AE14,$G$7:$G$78) + SUMIF($H$7:$H$78,$AE14,$F$7:$F$78)</f>
        <v>5</v>
      </c>
      <c r="AL14" s="123">
        <f>AI14-AJ14</f>
        <v>-3</v>
      </c>
      <c r="AM14" s="123">
        <f>AL14-AL18</f>
        <v>0</v>
      </c>
      <c r="AN14" s="123">
        <f>AF14*3+AG14</f>
        <v>3</v>
      </c>
      <c r="AO14" s="123">
        <f>AN14/AN18*10+BA14</f>
        <v>3</v>
      </c>
      <c r="AP14" s="123">
        <f>AO14*10000000+BI14*100+AM14/AM18*10+AI14/AI18*1++IF(AQ14=0,ROW(),AQ14)/2000000</f>
        <v>30000000.286492527</v>
      </c>
      <c r="AQ14" s="126">
        <f>VLOOKUP(AE14,db_fifarank,2,FALSE)</f>
        <v>1556.48</v>
      </c>
      <c r="AR14" s="125">
        <f>AP14/AP18</f>
        <v>0.33333329722781918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2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6 - 2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Coast_win</v>
      </c>
      <c r="T15" s="127" t="str">
        <f t="shared" si="2"/>
        <v>Ecuador_lose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1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2</v>
      </c>
      <c r="AG15" s="123">
        <f>COUNTIF($S$7:$T$78,"=" &amp; AE15 &amp; "_draw")</f>
        <v>0</v>
      </c>
      <c r="AH15" s="123">
        <f>COUNTIF($S$7:$T$78,"=" &amp; AE15 &amp; "_lose")</f>
        <v>1</v>
      </c>
      <c r="AI15" s="123">
        <f>SUMIF($E$7:$E$78,$AE15,$F$7:$F$78) + SUMIF($H$7:$H$78,$AE15,$G$7:$G$78)</f>
        <v>6</v>
      </c>
      <c r="AJ15" s="123">
        <f>SUMIF($E$7:$E$78,$AE15,$G$7:$G$78) + SUMIF($H$7:$H$78,$AE15,$F$7:$F$78)</f>
        <v>4</v>
      </c>
      <c r="AL15" s="123">
        <f>AI15-AJ15</f>
        <v>2</v>
      </c>
      <c r="AM15" s="123">
        <f>AL15-AL18</f>
        <v>5</v>
      </c>
      <c r="AN15" s="123">
        <f>AF15*3+AG15</f>
        <v>6</v>
      </c>
      <c r="AO15" s="123">
        <f>AN15/AN18*10+BA15</f>
        <v>6</v>
      </c>
      <c r="AP15" s="123">
        <f>AO15*10000000+BI15*100+AM15/AM18*10+AI15/AI18*1++IF(AQ15=0,ROW(),AQ15)/2000000</f>
        <v>60000007.107835777</v>
      </c>
      <c r="AQ15" s="126">
        <f>VLOOKUP(AE15,db_fifarank,2,FALSE)</f>
        <v>1385.84</v>
      </c>
      <c r="AR15" s="125">
        <f>AP15/AP18</f>
        <v>0.66666666706508226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Tunisia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2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6 - 4</v>
      </c>
      <c r="P16" s="34">
        <f>L16*3+M16</f>
        <v>6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5</v>
      </c>
      <c r="AL16" s="123">
        <f>AI16-AJ16</f>
        <v>-3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0.2864417657142857</v>
      </c>
      <c r="AQ16" s="126">
        <f>VLOOKUP(AE16,db_fifarank,2,FALSE)</f>
        <v>1454.96</v>
      </c>
      <c r="AR16" s="125">
        <f>AP16/AP18</f>
        <v>3.1826859105828535E-9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1</v>
      </c>
      <c r="CB16" s="63">
        <v>3</v>
      </c>
      <c r="CC16" s="25"/>
      <c r="CD16" s="112">
        <f>IF(OR(CA16="",CA17="",AND(CB16="",CB17&lt;&gt;""),AND(CB17="",CB16&lt;&gt;""),AND(CC16="",CC17&lt;&gt;""),AND(CC17="",CC16&lt;&gt;"")),"",CA16*1000+CB16*10+CC16)</f>
        <v>1030</v>
      </c>
      <c r="CE16" s="112"/>
      <c r="CF16" s="21"/>
      <c r="CG16" s="21"/>
      <c r="CH16" s="21"/>
      <c r="CI16" s="21"/>
    </row>
    <row r="17" spans="1:95" x14ac:dyDescent="0.2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3</v>
      </c>
      <c r="G17" s="20">
        <v>0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2 - 5</v>
      </c>
      <c r="P17" s="34">
        <f>L17*3+M17</f>
        <v>3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2</v>
      </c>
      <c r="AL17" s="123">
        <f>AI17-AJ17</f>
        <v>4</v>
      </c>
      <c r="AM17" s="123">
        <f>AL17-AL18</f>
        <v>7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90000009.607967556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Bosnia and Herzegovina</v>
      </c>
      <c r="CA17" s="62">
        <v>1</v>
      </c>
      <c r="CB17" s="64">
        <v>1</v>
      </c>
      <c r="CC17" s="27"/>
      <c r="CD17" s="113">
        <f>IF(CD16="","",CA17*1000+CB17*10+CC17)</f>
        <v>1010</v>
      </c>
      <c r="CE17" s="117"/>
      <c r="CF17" s="21"/>
      <c r="CG17" s="21"/>
      <c r="CH17" s="21"/>
      <c r="CI17" s="21"/>
    </row>
    <row r="18" spans="1:95" x14ac:dyDescent="0.2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0</v>
      </c>
      <c r="G18" s="20">
        <v>2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2 - 5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Sweden_lose</v>
      </c>
      <c r="T18" s="127" t="str">
        <f t="shared" si="2"/>
        <v>Tunisia_win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-1</v>
      </c>
      <c r="AF18" s="123">
        <f t="shared" ref="AF18:AH18" si="13">MAX(AF14:AF17)-MIN(AF14:AF17)+1</f>
        <v>4</v>
      </c>
      <c r="AG18" s="123">
        <f t="shared" si="13"/>
        <v>1</v>
      </c>
      <c r="AH18" s="123">
        <f t="shared" si="13"/>
        <v>4</v>
      </c>
      <c r="AI18" s="123">
        <f>MAX(AI14:AI17)+1</f>
        <v>7</v>
      </c>
      <c r="AL18" s="123">
        <f>MIN(AL14:AL17)</f>
        <v>-3</v>
      </c>
      <c r="AM18" s="123">
        <f>MAX(AM14:AM17)+1</f>
        <v>8</v>
      </c>
      <c r="AN18" s="123">
        <f>MAX(AN14:AN17)+1</f>
        <v>10</v>
      </c>
      <c r="AO18" s="123">
        <f>MAX(AO14:AO17)+1</f>
        <v>10</v>
      </c>
      <c r="AP18" s="123">
        <f>MAX(AP14:AP17)+1</f>
        <v>90000010.607967556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41">
        <v>73</v>
      </c>
      <c r="BL18" s="24" t="str">
        <f>AS9</f>
        <v>Czech Republic</v>
      </c>
      <c r="BM18" s="61">
        <v>2</v>
      </c>
      <c r="BN18" s="63">
        <v>2</v>
      </c>
      <c r="BO18" s="25"/>
      <c r="BP18" s="112">
        <f>IF(OR(BM18="",BM19="",AND(BN18="",BN19&lt;&gt;""),AND(BN19="",BN18&lt;&gt;""),AND(BO18="",BO19&lt;&gt;""),AND(BO19="",BO18&lt;&gt;"")),"",BM18*1000+BN18*10+BO18)</f>
        <v>2020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Bosnia and Herzegovina</v>
      </c>
      <c r="BM19" s="62">
        <v>2</v>
      </c>
      <c r="BN19" s="64">
        <v>3</v>
      </c>
      <c r="BO19" s="27"/>
      <c r="BP19" s="113">
        <f>IF(BP18="","",BM19*1000+BN19*10+BO19)</f>
        <v>2030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4</v>
      </c>
      <c r="G20" s="20">
        <v>1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2</v>
      </c>
      <c r="AL20" s="123">
        <f>AI20-AJ20</f>
        <v>5</v>
      </c>
      <c r="AM20" s="123">
        <f>AL20-AL24</f>
        <v>8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90000009.76476948</v>
      </c>
      <c r="AQ20" s="126">
        <f>VLOOKUP(AE20,db_fifarank,2,FALSE)</f>
        <v>1761.16</v>
      </c>
      <c r="AR20" s="125">
        <f>AP20/AP24</f>
        <v>0.99999998888889019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Bosnia and Herzegovina</v>
      </c>
      <c r="BT20" s="61">
        <v>2</v>
      </c>
      <c r="BU20" s="63">
        <v>3</v>
      </c>
      <c r="BV20" s="25"/>
      <c r="BW20" s="116">
        <f>IF(OR(BT20="",BT21="",AND(BU20="",BU21&lt;&gt;""),AND(BU21="",BU20&lt;&gt;""),AND(BV20="",BV21&lt;&gt;""),AND(BV21="",BV20&lt;&gt;"")),"",BT20*1000+BU20*10+BV20)</f>
        <v>2030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7 - 2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3</v>
      </c>
      <c r="AJ21" s="123">
        <f>SUMIF($E$7:$E$78,$AE21,$G$7:$G$78) + SUMIF($H$7:$H$78,$AE21,$F$7:$F$78)</f>
        <v>3</v>
      </c>
      <c r="AL21" s="123">
        <f>AI21-AJ21</f>
        <v>0</v>
      </c>
      <c r="AM21" s="123">
        <f>AL21-AL24</f>
        <v>3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60000003.709211268</v>
      </c>
      <c r="AQ21" s="126">
        <f>VLOOKUP(AE21,db_fifarank,2,FALSE)</f>
        <v>1755.87</v>
      </c>
      <c r="AR21" s="125">
        <f>AP21/AP24</f>
        <v>0.66666662814109667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Morocco</v>
      </c>
      <c r="BT21" s="62">
        <v>2</v>
      </c>
      <c r="BU21" s="64">
        <v>2</v>
      </c>
      <c r="BV21" s="27"/>
      <c r="BW21" s="112">
        <f>IF(BW20="","",BT21*1000+BU21*10+BV21)</f>
        <v>2020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3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3 - 3</v>
      </c>
      <c r="P22" s="34">
        <f>L22*3+M22</f>
        <v>6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3</v>
      </c>
      <c r="AE22" s="124" t="str">
        <f>VLOOKUP("Haiti",T,lang,FALSE)</f>
        <v>Haiti</v>
      </c>
      <c r="AF22" s="123">
        <f>COUNTIF($S$7:$T$78,"=" &amp; AE22 &amp; "_win")</f>
        <v>1</v>
      </c>
      <c r="AG22" s="123">
        <f>COUNTIF($S$7:$T$78,"=" &amp; AE22 &amp; "_draw")</f>
        <v>0</v>
      </c>
      <c r="AH22" s="123">
        <f>COUNTIF($S$7:$T$78,"=" &amp; AE22 &amp; "_lose")</f>
        <v>2</v>
      </c>
      <c r="AI22" s="123">
        <f>SUMIF($E$7:$E$78,$AE22,$F$7:$F$78) + SUMIF($H$7:$H$78,$AE22,$G$7:$G$78)</f>
        <v>2</v>
      </c>
      <c r="AJ22" s="123">
        <f>SUMIF($E$7:$E$78,$AE22,$G$7:$G$78) + SUMIF($H$7:$H$78,$AE22,$F$7:$F$78)</f>
        <v>4</v>
      </c>
      <c r="AL22" s="123">
        <f>AI22-AJ22</f>
        <v>-2</v>
      </c>
      <c r="AM22" s="123">
        <f>AL22-AL24</f>
        <v>1</v>
      </c>
      <c r="AN22" s="123">
        <f>AF22*3+AG22</f>
        <v>3</v>
      </c>
      <c r="AO22" s="123">
        <f>AN22/AN24*10+BA22</f>
        <v>3</v>
      </c>
      <c r="AP22" s="123">
        <f>AO22*10000000+BI22*100+AM22/AM24*10+AI22/AI24*1++IF(AQ22=0,ROW(),AQ22)/2000000</f>
        <v>30000001.361756966</v>
      </c>
      <c r="AQ22" s="126">
        <f>VLOOKUP(AE22,db_fifarank,2,FALSE)</f>
        <v>1291.71</v>
      </c>
      <c r="AR22" s="125">
        <f>AP22/AP24</f>
        <v>0.33333330859445265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0</v>
      </c>
      <c r="BN22" s="63">
        <v>2</v>
      </c>
      <c r="BO22" s="25">
        <v>5</v>
      </c>
      <c r="BP22" s="116">
        <f>IF(OR(BM22="",BM23="",AND(BN22="",BN23&lt;&gt;""),AND(BN23="",BN22&lt;&gt;""),AND(BO22="",BO23&lt;&gt;""),AND(BO23="",BO22&lt;&gt;"")),"",BM22*1000+BN22*10+BO22)</f>
        <v>25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Haiti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2 - 4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4</v>
      </c>
      <c r="AE23" s="124" t="str">
        <f>VLOOKUP("Scotland",T,lang,FALSE)</f>
        <v>Scotland</v>
      </c>
      <c r="AF23" s="123">
        <f>COUNTIF($S$7:$T$78,"=" &amp; AE23 &amp; "_win")</f>
        <v>0</v>
      </c>
      <c r="AG23" s="123">
        <f>COUNTIF($S$7:$T$78,"=" &amp; AE23 &amp; "_draw")</f>
        <v>0</v>
      </c>
      <c r="AH23" s="123">
        <f>COUNTIF($S$7:$T$78,"=" &amp; AE23 &amp; "_lose")</f>
        <v>3</v>
      </c>
      <c r="AI23" s="123">
        <f>SUMIF($E$7:$E$78,$AE23,$F$7:$F$78) + SUMIF($H$7:$H$78,$AE23,$G$7:$G$78)</f>
        <v>2</v>
      </c>
      <c r="AJ23" s="123">
        <f>SUMIF($E$7:$E$78,$AE23,$G$7:$G$78) + SUMIF($H$7:$H$78,$AE23,$F$7:$F$78)</f>
        <v>5</v>
      </c>
      <c r="AL23" s="123">
        <f>AI23-AJ23</f>
        <v>-3</v>
      </c>
      <c r="AM23" s="123">
        <f>AL23-AL24</f>
        <v>0</v>
      </c>
      <c r="AN23" s="123">
        <f>AF23*3+AG23</f>
        <v>0</v>
      </c>
      <c r="AO23" s="123">
        <f>AN23/AN24*10+BA23</f>
        <v>0</v>
      </c>
      <c r="AP23" s="123">
        <f>AO23*10000000+BI23*100+AM23/AM24*10+AI23/AI24*1++IF(AQ23=0,ROW(),AQ23)/2000000</f>
        <v>0.25074917499999999</v>
      </c>
      <c r="AQ23" s="126">
        <f>VLOOKUP(AE23,db_fifarank,2,FALSE)</f>
        <v>1498.35</v>
      </c>
      <c r="AR23" s="125">
        <f>AP23/AP24</f>
        <v>2.7861016112028712E-9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Morocco</v>
      </c>
      <c r="BM23" s="62">
        <v>0</v>
      </c>
      <c r="BN23" s="64">
        <v>2</v>
      </c>
      <c r="BO23" s="27">
        <v>6</v>
      </c>
      <c r="BP23" s="112">
        <f>IF(BP22="","",BM23*1000+BN23*10+BO23)</f>
        <v>26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2</v>
      </c>
      <c r="CI23" s="63">
        <v>2</v>
      </c>
      <c r="CJ23" s="25">
        <v>5</v>
      </c>
      <c r="CK23" s="112">
        <f>IF(OR(CH23="",CH24="",AND(CI23="",CI24&lt;&gt;""),AND(CI24="",CI23&lt;&gt;""),AND(CJ23="",CJ24&lt;&gt;""),AND(CJ24="",CJ23&lt;&gt;"")),"",CH23*1000+CI23*10+CJ23)</f>
        <v>2025</v>
      </c>
    </row>
    <row r="24" spans="1:95" x14ac:dyDescent="0.2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3</v>
      </c>
      <c r="H24" s="80" t="str">
        <f>AE59</f>
        <v>Norway</v>
      </c>
      <c r="J24" s="35" t="str">
        <f>VLOOKUP(4,AD20:AN23,2,FALSE)</f>
        <v>Scotland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2 - 5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8</v>
      </c>
      <c r="AL24" s="123">
        <f>MIN(AL20:AL23)</f>
        <v>-3</v>
      </c>
      <c r="AM24" s="123">
        <f>MAX(AM20:AM23)+1</f>
        <v>9</v>
      </c>
      <c r="AN24" s="123">
        <f>MAX(AN20:AN23)+1</f>
        <v>10</v>
      </c>
      <c r="AO24" s="123">
        <f>MAX(AO20:AO23)+1</f>
        <v>10</v>
      </c>
      <c r="AP24" s="123">
        <f>MAX(AP20:AP23)+1</f>
        <v>90000010.76476948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Uruguay</v>
      </c>
      <c r="CH24" s="62">
        <v>2</v>
      </c>
      <c r="CI24" s="64">
        <v>2</v>
      </c>
      <c r="CJ24" s="27">
        <v>4</v>
      </c>
      <c r="CK24" s="113">
        <f>IF(CK23="","",CH24*1000+CI24*10+CJ24)</f>
        <v>2024</v>
      </c>
    </row>
    <row r="25" spans="1:95" x14ac:dyDescent="0.2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3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3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1</v>
      </c>
      <c r="AH26" s="123">
        <f>COUNTIF($S$7:$T$78,"=" &amp; AE26 &amp; "_lose")</f>
        <v>1</v>
      </c>
      <c r="AI26" s="123">
        <f>SUMIF($E$7:$E$78,$AE26,$F$7:$F$78) + SUMIF($H$7:$H$78,$AE26,$G$7:$G$78)</f>
        <v>3</v>
      </c>
      <c r="AJ26" s="123">
        <f>SUMIF($E$7:$E$78,$AE26,$G$7:$G$78) + SUMIF($H$7:$H$78,$AE26,$F$7:$F$78)</f>
        <v>4</v>
      </c>
      <c r="AL26" s="123">
        <f>AI26-AJ26</f>
        <v>-1</v>
      </c>
      <c r="AM26" s="123">
        <f>AL26-AL30</f>
        <v>0</v>
      </c>
      <c r="AN26" s="123">
        <f>AF26*3+AG26</f>
        <v>4</v>
      </c>
      <c r="AO26" s="123">
        <f>AN26/AN30*10+BA26</f>
        <v>6.6948682385575582</v>
      </c>
      <c r="AP26" s="123">
        <f>AO26*10000000+BI26*100+AM26/AM30*10+AI26/AI30*1++IF(AQ26=0,ROW(),AQ26)/2000000</f>
        <v>66948780.944664575</v>
      </c>
      <c r="AQ26" s="126">
        <f>VLOOKUP(AE26,db_fifarank,2,FALSE)</f>
        <v>1673.13</v>
      </c>
      <c r="AR26" s="125">
        <f>AP26/AP30</f>
        <v>0.78106907152642024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1</v>
      </c>
      <c r="AW26" s="126" cm="1">
        <f t="array" ref="AW26">SUMPRODUCT(($E$7:$E$78=AE26)*($U$7:$U$78)*($G$7:$G$78))+SUMPRODUCT(($H$7:$H$78=AE26)*($U$7:$U$78)*($F$7:$F$78))</f>
        <v>1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50.5</v>
      </c>
      <c r="BA26" s="126">
        <f>AZ26/AZ30</f>
        <v>0.98058252427184467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1</v>
      </c>
      <c r="BE26" s="126" cm="1">
        <f t="array" ref="BE26">SUMPRODUCT(($E$7:$E$78=AE26)*($X$7:$X$78)*($G$7:$G$78))+SUMPRODUCT(($H$7:$H$78=AE26)*($X$7:$X$78)*($F$7:$F$78))</f>
        <v>1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50.5</v>
      </c>
      <c r="BI26" s="126">
        <f>BH26/BH30</f>
        <v>0.98058252427184467</v>
      </c>
      <c r="BK26" s="141">
        <v>83</v>
      </c>
      <c r="BL26" s="24" t="str">
        <f>AS69</f>
        <v>Portugal</v>
      </c>
      <c r="BM26" s="61">
        <v>1</v>
      </c>
      <c r="BN26" s="63">
        <v>2</v>
      </c>
      <c r="BO26" s="25"/>
      <c r="BP26" s="112">
        <f>IF(OR(BM26="",BM27="",AND(BN26="",BN27&lt;&gt;""),AND(BN27="",BN26&lt;&gt;""),AND(BO26="",BO27&lt;&gt;""),AND(BO27="",BO26&lt;&gt;"")),"",BM26*1000+BN26*10+BO26)</f>
        <v>1020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2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0</v>
      </c>
      <c r="N27" s="31">
        <f>VLOOKUP(1,AD26:AN29,5,FALSE)</f>
        <v>1</v>
      </c>
      <c r="O27" s="31" t="str">
        <f>VLOOKUP(1,AD26:AN29,6,FALSE) &amp; " - " &amp; VLOOKUP(1,AD26:AN29,7,FALSE)</f>
        <v>5 - 5</v>
      </c>
      <c r="P27" s="32">
        <f>L27*3+M27</f>
        <v>6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5</v>
      </c>
      <c r="AJ27" s="123">
        <f>SUMIF($E$7:$E$78,$AE27,$G$7:$G$78) + SUMIF($H$7:$H$78,$AE27,$F$7:$F$78)</f>
        <v>3</v>
      </c>
      <c r="AL27" s="123">
        <f>AI27-AJ27</f>
        <v>2</v>
      </c>
      <c r="AM27" s="123">
        <f>AL27-AL30</f>
        <v>3</v>
      </c>
      <c r="AN27" s="123">
        <f>AF27*3+AG27</f>
        <v>4</v>
      </c>
      <c r="AO27" s="123">
        <f>AN27/AN30*10+BA27</f>
        <v>6.6948682385575582</v>
      </c>
      <c r="AP27" s="123">
        <f>AO27*10000000+BI27*100+AM27/AM30*10+AI27/AI30*1++IF(AQ27=0,ROW(),AQ27)/2000000</f>
        <v>66948788.777913094</v>
      </c>
      <c r="AQ27" s="126">
        <f>VLOOKUP(AE27,db_fifarank,2,FALSE)</f>
        <v>1503.5</v>
      </c>
      <c r="AR27" s="125">
        <f>AP27/AP30</f>
        <v>0.78106916291431505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1</v>
      </c>
      <c r="AW27" s="126" cm="1">
        <f t="array" ref="AW27">SUMPRODUCT(($E$7:$E$78=AE27)*($U$7:$U$78)*($G$7:$G$78))+SUMPRODUCT(($H$7:$H$78=AE27)*($U$7:$U$78)*($F$7:$F$78))</f>
        <v>1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50.5</v>
      </c>
      <c r="BA27" s="126">
        <f>AZ27/AZ30</f>
        <v>0.98058252427184467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1</v>
      </c>
      <c r="BE27" s="126" cm="1">
        <f t="array" ref="BE27">SUMPRODUCT(($E$7:$E$78=AE27)*($X$7:$X$78)*($G$7:$G$78))+SUMPRODUCT(($H$7:$H$78=AE27)*($X$7:$X$78)*($F$7:$F$78))</f>
        <v>1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50.5</v>
      </c>
      <c r="BI27" s="126">
        <f>BH27/BH30</f>
        <v>0.98058252427184467</v>
      </c>
      <c r="BK27" s="142"/>
      <c r="BL27" s="26" t="str">
        <f>AS75</f>
        <v>Croatia</v>
      </c>
      <c r="BM27" s="62">
        <v>1</v>
      </c>
      <c r="BN27" s="64">
        <v>1</v>
      </c>
      <c r="BO27" s="27"/>
      <c r="BP27" s="113">
        <f>IF(BP26="","",BM27*1000+BN27*10+BO27)</f>
        <v>1010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5 - 3</v>
      </c>
      <c r="P28" s="34">
        <f>L28*3+M28</f>
        <v>4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0</v>
      </c>
      <c r="AH28" s="123">
        <f>COUNTIF($S$7:$T$78,"=" &amp; AE28 &amp; "_lose")</f>
        <v>2</v>
      </c>
      <c r="AI28" s="123">
        <f>SUMIF($E$7:$E$78,$AE28,$F$7:$F$78) + SUMIF($H$7:$H$78,$AE28,$G$7:$G$78)</f>
        <v>5</v>
      </c>
      <c r="AJ28" s="123">
        <f>SUMIF($E$7:$E$78,$AE28,$G$7:$G$78) + SUMIF($H$7:$H$78,$AE28,$F$7:$F$78)</f>
        <v>6</v>
      </c>
      <c r="AL28" s="123">
        <f>AI28-AJ28</f>
        <v>-1</v>
      </c>
      <c r="AM28" s="123">
        <f>AL28-AL30</f>
        <v>0</v>
      </c>
      <c r="AN28" s="123">
        <f>AF28*3+AG28</f>
        <v>3</v>
      </c>
      <c r="AO28" s="123">
        <f>AN28/AN30*10+BA28</f>
        <v>4.2857142857142856</v>
      </c>
      <c r="AP28" s="123">
        <f>AO28*10000000+BI28*100+AM28/AM30*10+AI28/AI30*1++IF(AQ28=0,ROW(),AQ28)/2000000</f>
        <v>42857143.691266529</v>
      </c>
      <c r="AQ28" s="126">
        <f>VLOOKUP(AE28,db_fifarank,2,FALSE)</f>
        <v>1580.67</v>
      </c>
      <c r="AR28" s="125">
        <f>AP28/AP30</f>
        <v>0.49999998444900201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Portugal</v>
      </c>
      <c r="BT28" s="61">
        <v>2</v>
      </c>
      <c r="BU28" s="63">
        <v>2</v>
      </c>
      <c r="BV28" s="25">
        <v>4</v>
      </c>
      <c r="BW28" s="112">
        <f>IF(OR(BT28="",BT29="",AND(BU28="",BU29&lt;&gt;""),AND(BU29="",BU28&lt;&gt;""),AND(BV28="",BV29&lt;&gt;""),AND(BV29="",BV28&lt;&gt;"")),"",BT28*1000+BU28*10+BV28)</f>
        <v>2024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United States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3 - 4</v>
      </c>
      <c r="P29" s="34">
        <f>L29*3+M29</f>
        <v>4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0</v>
      </c>
      <c r="AH29" s="123">
        <f>COUNTIF($S$7:$T$78,"=" &amp; AE29 &amp; "_lose")</f>
        <v>1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5</v>
      </c>
      <c r="AL29" s="123">
        <f>AI29-AJ29</f>
        <v>0</v>
      </c>
      <c r="AM29" s="123">
        <f>AL29-AL30</f>
        <v>1</v>
      </c>
      <c r="AN29" s="123">
        <f>AF29*3+AG29</f>
        <v>6</v>
      </c>
      <c r="AO29" s="123">
        <f>AN29/AN30*10+BA29</f>
        <v>8.5714285714285712</v>
      </c>
      <c r="AP29" s="123">
        <f>AO29*10000000+BI29*100+AM29/AM30*10+AI29/AI30*1++IF(AQ29=0,ROW(),AQ29)/2000000</f>
        <v>85714289.048418567</v>
      </c>
      <c r="AQ29" s="126">
        <f>VLOOKUP(AE29,db_fifarank,2,FALSE)</f>
        <v>1599.04</v>
      </c>
      <c r="AR29" s="125">
        <f>AP29/AP30</f>
        <v>0.99999998833333392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Uruguay</v>
      </c>
      <c r="BT29" s="62">
        <v>2</v>
      </c>
      <c r="BU29" s="64">
        <v>2</v>
      </c>
      <c r="BV29" s="27">
        <v>5</v>
      </c>
      <c r="BW29" s="113">
        <f>IF(BW28="","",BT29*1000+BU29*10+BV29)</f>
        <v>2025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1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1</v>
      </c>
      <c r="M30" s="36">
        <f>VLOOKUP(4,AD26:AN29,4,FALSE)</f>
        <v>0</v>
      </c>
      <c r="N30" s="36">
        <f>VLOOKUP(4,AD26:AN29,5,FALSE)</f>
        <v>2</v>
      </c>
      <c r="O30" s="36" t="str">
        <f>VLOOKUP(4,AD26:AN29,6,FALSE) &amp; " - " &amp; VLOOKUP(4,AD26:AN29,7,FALSE)</f>
        <v>5 - 6</v>
      </c>
      <c r="P30" s="37">
        <f>L30*3+M30</f>
        <v>3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2</v>
      </c>
      <c r="AG30" s="123">
        <f t="shared" si="15"/>
        <v>2</v>
      </c>
      <c r="AH30" s="123">
        <f t="shared" si="15"/>
        <v>2</v>
      </c>
      <c r="AI30" s="123">
        <f>MAX(AI26:AI29)+1</f>
        <v>6</v>
      </c>
      <c r="AL30" s="123">
        <f>MIN(AL26:AL29)</f>
        <v>-1</v>
      </c>
      <c r="AM30" s="123">
        <f>MAX(AM26:AM29)+1</f>
        <v>4</v>
      </c>
      <c r="AN30" s="123">
        <f>MAX(AN26:AN29)+1</f>
        <v>7</v>
      </c>
      <c r="AO30" s="123">
        <f>MAX(AO26:AO29)+1</f>
        <v>9.5714285714285712</v>
      </c>
      <c r="AP30" s="123">
        <f>MAX(AP26:AP29)+1</f>
        <v>85714290.048418567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41">
        <v>84</v>
      </c>
      <c r="BL30" s="24" t="str">
        <f>AS50</f>
        <v>Uruguay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2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Republic_lose</v>
      </c>
      <c r="T31" s="127" t="str">
        <f t="shared" si="2"/>
        <v>South Africa_win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-1</v>
      </c>
      <c r="BK31" s="14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3</v>
      </c>
      <c r="G32" s="20">
        <v>2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1</v>
      </c>
      <c r="AH32" s="123">
        <f>COUNTIF($S$7:$T$78,"=" &amp; AE32 &amp; "_lose")</f>
        <v>0</v>
      </c>
      <c r="AI32" s="123">
        <f>SUMIF($E$7:$E$78,$AE32,$F$7:$F$78) + SUMIF($H$7:$H$78,$AE32,$G$7:$G$78)</f>
        <v>5</v>
      </c>
      <c r="AJ32" s="123">
        <f>SUMIF($E$7:$E$78,$AE32,$G$7:$G$78) + SUMIF($H$7:$H$78,$AE32,$F$7:$F$78)</f>
        <v>2</v>
      </c>
      <c r="AL32" s="123">
        <f>AI32-AJ32</f>
        <v>3</v>
      </c>
      <c r="AM32" s="123">
        <f>AL32-AL36</f>
        <v>10</v>
      </c>
      <c r="AN32" s="123">
        <f>AF32*3+AG32</f>
        <v>7</v>
      </c>
      <c r="AO32" s="123">
        <f>AN32/AN36*10+BA32</f>
        <v>8.75</v>
      </c>
      <c r="AP32" s="123">
        <f>AO32*10000000+BI32*100+AM32/AM36*10+AI32/AI36*1++IF(AQ32=0,ROW(),AQ32)/2000000</f>
        <v>87500009.806060001</v>
      </c>
      <c r="AQ32" s="126">
        <f>VLOOKUP(AE32,db_fifarank,2,FALSE)</f>
        <v>1730.37</v>
      </c>
      <c r="AR32" s="125">
        <f>AP32/AP36</f>
        <v>0.99999998857143002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Uruguay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2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2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5 - 2</v>
      </c>
      <c r="P33" s="32">
        <f>L33*3+M33</f>
        <v>7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8</v>
      </c>
      <c r="AL33" s="123">
        <f>AI33-AJ33</f>
        <v>-7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0.14350446785714285</v>
      </c>
      <c r="AQ33" s="126">
        <f>VLOOKUP(AE33,db_fifarank,2,FALSE)</f>
        <v>1294.6500000000001</v>
      </c>
      <c r="AR33" s="125">
        <f>AP33/AP36</f>
        <v>1.6400508586817699E-9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Belgium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2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3</v>
      </c>
      <c r="G34" s="20">
        <v>2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6 - 4</v>
      </c>
      <c r="P34" s="34">
        <f>L34*3+M34</f>
        <v>6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2</v>
      </c>
      <c r="AG34" s="123">
        <f>COUNTIF($S$7:$T$78,"=" &amp; AE34 &amp; "_draw")</f>
        <v>0</v>
      </c>
      <c r="AH34" s="123">
        <f>COUNTIF($S$7:$T$78,"=" &amp; AE34 &amp; "_lose")</f>
        <v>1</v>
      </c>
      <c r="AI34" s="123">
        <f>SUMIF($E$7:$E$78,$AE34,$F$7:$F$78) + SUMIF($H$7:$H$78,$AE34,$G$7:$G$78)</f>
        <v>6</v>
      </c>
      <c r="AJ34" s="123">
        <f>SUMIF($E$7:$E$78,$AE34,$G$7:$G$78) + SUMIF($H$7:$H$78,$AE34,$F$7:$F$78)</f>
        <v>4</v>
      </c>
      <c r="AL34" s="123">
        <f>AI34-AJ34</f>
        <v>2</v>
      </c>
      <c r="AM34" s="123">
        <f>AL34-AL36</f>
        <v>9</v>
      </c>
      <c r="AN34" s="123">
        <f>AF34*3+AG34</f>
        <v>6</v>
      </c>
      <c r="AO34" s="123">
        <f>AN34/AN36*10+BA34</f>
        <v>7.5</v>
      </c>
      <c r="AP34" s="123">
        <f>AO34*10000000+BI34*100+AM34/AM36*10+AI34/AI36*1++IF(AQ34=0,ROW(),AQ34)/2000000</f>
        <v>75000009.039727524</v>
      </c>
      <c r="AQ34" s="126">
        <f>VLOOKUP(AE34,db_fifarank,2,FALSE)</f>
        <v>1532.98</v>
      </c>
      <c r="AR34" s="125">
        <f>AP34/AP36</f>
        <v>0.85714285459874751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Turkey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2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2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5 - 3</v>
      </c>
      <c r="P35" s="34">
        <f>L35*3+M35</f>
        <v>4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3</v>
      </c>
      <c r="AL35" s="123">
        <f>AI35-AJ35</f>
        <v>2</v>
      </c>
      <c r="AM35" s="123">
        <f>AL35-AL36</f>
        <v>9</v>
      </c>
      <c r="AN35" s="123">
        <f>AF35*3+AG35</f>
        <v>4</v>
      </c>
      <c r="AO35" s="123">
        <f>AN35/AN36*10+BA35</f>
        <v>5</v>
      </c>
      <c r="AP35" s="123">
        <f>AO35*10000000+BI35*100+AM35/AM36*10+AI35/AI36*1++IF(AQ35=0,ROW(),AQ35)/2000000</f>
        <v>50000008.896901287</v>
      </c>
      <c r="AQ35" s="126">
        <f>VLOOKUP(AE35,db_fifarank,2,FALSE)</f>
        <v>1594.78</v>
      </c>
      <c r="AR35" s="125">
        <f>AP35/AP36</f>
        <v>0.5714286025372517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Algeria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0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1 - 8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2</v>
      </c>
      <c r="AH36" s="123">
        <f t="shared" si="16"/>
        <v>4</v>
      </c>
      <c r="AI36" s="123">
        <f>MAX(AI32:AI35)+1</f>
        <v>7</v>
      </c>
      <c r="AL36" s="123">
        <f>MIN(AL32:AL35)</f>
        <v>-7</v>
      </c>
      <c r="AM36" s="123">
        <f>MAX(AM32:AM35)+1</f>
        <v>11</v>
      </c>
      <c r="AN36" s="123">
        <f>MAX(AN32:AN35)+1</f>
        <v>8</v>
      </c>
      <c r="AO36" s="123">
        <f>MAX(AO32:AO35)+1</f>
        <v>9.75</v>
      </c>
      <c r="AP36" s="123">
        <f>MAX(AP32:AP35)+1</f>
        <v>87500010.806060001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Turkey</v>
      </c>
      <c r="BT36" s="61">
        <v>2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2000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Belgium</v>
      </c>
      <c r="BT37" s="62">
        <v>3</v>
      </c>
      <c r="BU37" s="64"/>
      <c r="BV37" s="27"/>
      <c r="BW37" s="112">
        <f>IF(BW36="","",BT37*1000+BU37*10+BV37)</f>
        <v>3000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France</v>
      </c>
      <c r="CO37" s="61">
        <v>2</v>
      </c>
      <c r="CP37" s="63">
        <v>2</v>
      </c>
      <c r="CQ37" s="25"/>
      <c r="CR37" s="111">
        <f>IF(OR(CO37="",CO38="",AND(CP37="",CP38&lt;&gt;""),AND(CP38="",CP37&lt;&gt;""),AND(CQ37="",CQ38&lt;&gt;""),AND(CQ38="",CQ37&lt;&gt;"")),"",CO37*1000+CP37*10+CQ37)</f>
        <v>2020</v>
      </c>
    </row>
    <row r="38" spans="1:96" x14ac:dyDescent="0.2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0</v>
      </c>
      <c r="G38" s="20">
        <v>3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Turkey_lose</v>
      </c>
      <c r="T38" s="127" t="str">
        <f t="shared" si="2"/>
        <v>Paraguay_win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-1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1</v>
      </c>
      <c r="AL38" s="123">
        <f>AI38-AJ38</f>
        <v>6</v>
      </c>
      <c r="AM38" s="123">
        <f>AL38-AL42</f>
        <v>11</v>
      </c>
      <c r="AN38" s="123">
        <f>AF38*3+AG38</f>
        <v>7</v>
      </c>
      <c r="AO38" s="123">
        <f>AN38/AN42*10+BA38</f>
        <v>8.757846983815595</v>
      </c>
      <c r="AP38" s="123">
        <f>AO38*10000000+BI38*100+AM38/AM42*10+AI38/AI42*1++IF(AQ38=0,ROW(),AQ38)/2000000</f>
        <v>87578479.880701557</v>
      </c>
      <c r="AQ38" s="126">
        <f>VLOOKUP(AE38,db_fifarank,2,FALSE)</f>
        <v>1757.87</v>
      </c>
      <c r="AR38" s="125">
        <f>AP38/AP42</f>
        <v>0.99999998858166994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2</v>
      </c>
      <c r="AZ38" s="126">
        <f>AT38/AT42*1000+AU38/AU42*100+AY38/AY42*10+AV38/AV42</f>
        <v>4</v>
      </c>
      <c r="BA38" s="126">
        <f>AZ38/AZ42</f>
        <v>7.8469838155958808E-3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2</v>
      </c>
      <c r="BN38" s="63">
        <v>3</v>
      </c>
      <c r="BO38" s="25"/>
      <c r="BP38" s="116">
        <f>IF(OR(BM38="",BM39="",AND(BN38="",BN39&lt;&gt;""),AND(BN39="",BN38&lt;&gt;""),AND(BO38="",BO39&lt;&gt;""),AND(BO39="",BO38&lt;&gt;"")),"",BM38*1000+BN38*10+BO38)</f>
        <v>2030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Mexico</v>
      </c>
      <c r="CO38" s="62">
        <v>2</v>
      </c>
      <c r="CP38" s="64">
        <v>3</v>
      </c>
      <c r="CQ38" s="27"/>
      <c r="CR38" s="111">
        <f>IF(CR37="","",CO38*1000+CP38*10+CQ38)</f>
        <v>2030</v>
      </c>
    </row>
    <row r="39" spans="1:96" x14ac:dyDescent="0.2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2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7 - 1</v>
      </c>
      <c r="P39" s="32">
        <f>L39*3+M39</f>
        <v>7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6</v>
      </c>
      <c r="AL39" s="123">
        <f>AI39-AJ39</f>
        <v>-1</v>
      </c>
      <c r="AM39" s="123">
        <f>AL39-AL42</f>
        <v>4</v>
      </c>
      <c r="AN39" s="123">
        <f>AF39*3+AG39</f>
        <v>4</v>
      </c>
      <c r="AO39" s="123">
        <f>AN39/AN42*10+BA39</f>
        <v>5.9980382540461008</v>
      </c>
      <c r="AP39" s="123">
        <f>AO39*10000000+BI39*100+AM39/AM42*10+AI39/AI42*1++IF(AQ39=0,ROW(),AQ39)/2000000</f>
        <v>59980386.499624565</v>
      </c>
      <c r="AQ39" s="126">
        <f>VLOOKUP(AE39,db_fifarank,2,FALSE)</f>
        <v>1660.43</v>
      </c>
      <c r="AR39" s="125">
        <f>AP39/AP42</f>
        <v>0.68487584959745063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1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3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2</v>
      </c>
      <c r="AY39" s="126">
        <f>AX39-MIN(AX38:AX41)</f>
        <v>4</v>
      </c>
      <c r="AZ39" s="126">
        <f>AT39/AT42*1000+AU39/AU42*100+AY39/AY42*10+AV39/AV42</f>
        <v>508.75</v>
      </c>
      <c r="BA39" s="126">
        <f>AZ39/AZ42</f>
        <v>0.99803825404610103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Korea Republic</v>
      </c>
      <c r="BM39" s="62">
        <v>2</v>
      </c>
      <c r="BN39" s="64">
        <v>2</v>
      </c>
      <c r="BO39" s="27"/>
      <c r="BP39" s="112">
        <f>IF(BP38="","",BM39*1000+BN39*10+BO39)</f>
        <v>2020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5 - 6</v>
      </c>
      <c r="P40" s="34">
        <f>L40*3+M40</f>
        <v>4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4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1</v>
      </c>
      <c r="AH40" s="123">
        <f>COUNTIF($S$7:$T$78,"=" &amp; AE40 &amp; "_lose")</f>
        <v>2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7</v>
      </c>
      <c r="AL40" s="123">
        <f>AI40-AJ40</f>
        <v>-5</v>
      </c>
      <c r="AM40" s="123">
        <f>AL40-AL42</f>
        <v>0</v>
      </c>
      <c r="AN40" s="123">
        <f>AF40*3+AG40</f>
        <v>1</v>
      </c>
      <c r="AO40" s="123">
        <f>AN40/AN42*10+BA40</f>
        <v>1.2578469838155959</v>
      </c>
      <c r="AP40" s="123">
        <f>AO40*10000000+BI40*100+AM40/AM42*10+AI40/AI42*1++IF(AQ40=0,ROW(),AQ40)/2000000</f>
        <v>12578470.088913344</v>
      </c>
      <c r="AQ40" s="126">
        <f>VLOOKUP(AE40,db_fifarank,2,FALSE)</f>
        <v>1514.77</v>
      </c>
      <c r="AR40" s="125">
        <f>AP40/AP42</f>
        <v>0.1436251230030765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2</v>
      </c>
      <c r="AZ40" s="126">
        <f>AT40/AT42*1000+AU40/AU42*100+AY40/AY42*10+AV40/AV42</f>
        <v>4</v>
      </c>
      <c r="BA40" s="126">
        <f>AZ40/AZ42</f>
        <v>7.8469838155958808E-3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3</v>
      </c>
      <c r="G41" s="20">
        <v>0</v>
      </c>
      <c r="H41" s="80" t="str">
        <f>AE40</f>
        <v>Sweden</v>
      </c>
      <c r="J41" s="33" t="str">
        <f>VLOOKUP(3,AD38:AN41,2,FALSE)</f>
        <v>Tunisia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4 - 4</v>
      </c>
      <c r="P41" s="34">
        <f>L41*3+M41</f>
        <v>4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3</v>
      </c>
      <c r="AE41" s="124" t="str">
        <f>VLOOKUP("Tunisia",T,lang,FALSE)</f>
        <v>Tunisia</v>
      </c>
      <c r="AF41" s="123">
        <f>COUNTIF($S$7:$T$78,"=" &amp; AE41 &amp; "_win")</f>
        <v>1</v>
      </c>
      <c r="AG41" s="123">
        <f>COUNTIF($S$7:$T$78,"=" &amp; AE41 &amp; "_draw")</f>
        <v>1</v>
      </c>
      <c r="AH41" s="123">
        <f>COUNTIF($S$7:$T$78,"=" &amp; AE41 &amp; "_lose")</f>
        <v>1</v>
      </c>
      <c r="AI41" s="123">
        <f>SUMIF($E$7:$E$78,$AE41,$F$7:$F$78) + SUMIF($H$7:$H$78,$AE41,$G$7:$G$78)</f>
        <v>4</v>
      </c>
      <c r="AJ41" s="123">
        <f>SUMIF($E$7:$E$78,$AE41,$G$7:$G$78) + SUMIF($H$7:$H$78,$AE41,$F$7:$F$78)</f>
        <v>4</v>
      </c>
      <c r="AL41" s="123">
        <f>AI41-AJ41</f>
        <v>0</v>
      </c>
      <c r="AM41" s="123">
        <f>AL41-AL42</f>
        <v>5</v>
      </c>
      <c r="AN41" s="123">
        <f>AF41*3+AG41</f>
        <v>4</v>
      </c>
      <c r="AO41" s="123">
        <f>AN41/AN42*10+BA41</f>
        <v>5.0004904364884748</v>
      </c>
      <c r="AP41" s="123">
        <f>AO41*10000000+BI41*100+AM41/AM42*10+AI41/AI42*1++IF(AQ41=0,ROW(),AQ41)/2000000</f>
        <v>50004909.03229294</v>
      </c>
      <c r="AQ41" s="126">
        <f>VLOOKUP(AE41,db_fifarank,2,FALSE)</f>
        <v>1483.05</v>
      </c>
      <c r="AR41" s="125">
        <f>AP41/AP42</f>
        <v>0.5709725554660976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1</v>
      </c>
      <c r="AW41" s="126" cm="1">
        <f t="array" ref="AW41">SUMPRODUCT(($E$7:$E$78=AE41)*($U$7:$U$78)*($G$7:$G$78))+SUMPRODUCT(($H$7:$H$78=AE41)*($U$7:$U$78)*($F$7:$F$78))</f>
        <v>3</v>
      </c>
      <c r="AX41" s="126">
        <f>AV41-AW41</f>
        <v>-2</v>
      </c>
      <c r="AY41" s="126">
        <f>AX41-MIN(AX38:AX41)</f>
        <v>0</v>
      </c>
      <c r="AZ41" s="126">
        <f>AT41/AT42*1000+AU41/AU42*100+AY41/AY42*10+AV41/AV42</f>
        <v>0.25</v>
      </c>
      <c r="BA41" s="126">
        <f>AZ41/AZ42</f>
        <v>4.9043648847474255E-4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1</v>
      </c>
      <c r="G42" s="20">
        <v>3</v>
      </c>
      <c r="H42" s="80" t="str">
        <f>AE39</f>
        <v>Japan</v>
      </c>
      <c r="J42" s="35" t="str">
        <f>VLOOKUP(4,AD38:AN41,2,FALSE)</f>
        <v>Sweden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2 - 7</v>
      </c>
      <c r="P42" s="37">
        <f>L42*3+M42</f>
        <v>1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1</v>
      </c>
      <c r="V42" s="123">
        <f t="shared" si="3"/>
        <v>1</v>
      </c>
      <c r="W42" s="123">
        <f t="shared" si="4"/>
        <v>3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1</v>
      </c>
      <c r="AH42" s="123">
        <f t="shared" si="18"/>
        <v>3</v>
      </c>
      <c r="AI42" s="123">
        <f>MAX(AI38:AI41)+1</f>
        <v>8</v>
      </c>
      <c r="AL42" s="123">
        <f>MIN(AL38:AL41)</f>
        <v>-5</v>
      </c>
      <c r="AM42" s="123">
        <f>MAX(AM38:AM41)+1</f>
        <v>12</v>
      </c>
      <c r="AN42" s="123">
        <f>MAX(AN38:AN41)+1</f>
        <v>8</v>
      </c>
      <c r="AO42" s="123">
        <f>MAX(AO38:AO41)+1</f>
        <v>9.757846983815595</v>
      </c>
      <c r="AP42" s="123">
        <f>MAX(AP38:AP41)+1</f>
        <v>87578480.880701557</v>
      </c>
      <c r="AT42" s="126">
        <f>MAX(AT38:AT41)-MIN(AT38:AT41)+1</f>
        <v>2</v>
      </c>
      <c r="AU42" s="126">
        <f>MAX(AU38:AU41)-MIN(AU38:AU41)+1</f>
        <v>1</v>
      </c>
      <c r="AV42" s="126">
        <f>MAX(AV38:AV41)-MIN(AV38:AV41)+1</f>
        <v>4</v>
      </c>
      <c r="AW42" s="126">
        <f>MAX(AW38:AW41)-MIN(AW38:AW41)+1</f>
        <v>4</v>
      </c>
      <c r="AY42" s="126">
        <f>MAX(AY38:AY41)-MIN(AY38:AY41)+1</f>
        <v>5</v>
      </c>
      <c r="AZ42" s="126">
        <f>MAX(AZ38:AZ41)+1</f>
        <v>509.75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Brazil</v>
      </c>
      <c r="BM42" s="61">
        <v>1</v>
      </c>
      <c r="BN42" s="63">
        <v>3</v>
      </c>
      <c r="BO42" s="25">
        <v>5</v>
      </c>
      <c r="BP42" s="112">
        <f>IF(OR(BM42="",BM43="",AND(BN42="",BN43&lt;&gt;""),AND(BN43="",BN42&lt;&gt;""),AND(BO42="",BO43&lt;&gt;""),AND(BO43="",BO42&lt;&gt;"")),"",BM42*1000+BN42*10+BO42)</f>
        <v>1035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2</v>
      </c>
      <c r="G43" s="20">
        <v>1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1</v>
      </c>
      <c r="BN43" s="64">
        <v>3</v>
      </c>
      <c r="BO43" s="27">
        <v>4</v>
      </c>
      <c r="BP43" s="113">
        <f>IF(BP42="","",BM43*1000+BN43*10+BO43)</f>
        <v>1034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2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8</v>
      </c>
      <c r="AJ44" s="123">
        <f>SUMIF($E$7:$E$78,$AE44,$G$7:$G$78) + SUMIF($H$7:$H$78,$AE44,$F$7:$F$78)</f>
        <v>4</v>
      </c>
      <c r="AL44" s="123">
        <f>AI44-AJ44</f>
        <v>4</v>
      </c>
      <c r="AM44" s="123">
        <f>AL44-AL48</f>
        <v>9</v>
      </c>
      <c r="AN44" s="123">
        <f>AF44*3+AG44</f>
        <v>7</v>
      </c>
      <c r="AO44" s="123">
        <f>AN44/AN48*10+BA44</f>
        <v>8.75</v>
      </c>
      <c r="AP44" s="123">
        <f>AO44*10000000+BI44*100+AM44/AM48*10+AI44/AI48*1++IF(AQ44=0,ROW(),AQ44)/2000000</f>
        <v>87500009.889756247</v>
      </c>
      <c r="AQ44" s="126">
        <f>VLOOKUP(AE44,db_fifarank,2,FALSE)</f>
        <v>1734.71</v>
      </c>
      <c r="AR44" s="125">
        <f>AP44/AP48</f>
        <v>0.99999998857143002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2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1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8 - 4</v>
      </c>
      <c r="P45" s="32">
        <f>L45*3+M45</f>
        <v>7</v>
      </c>
      <c r="R45" s="123">
        <f>DATE(2026,6,21)+TIME(8,0,0)+gmt_delta</f>
        <v>46194.791666666672</v>
      </c>
      <c r="S45" s="127" t="str">
        <f t="shared" si="1"/>
        <v>Belgium_draw</v>
      </c>
      <c r="T45" s="127" t="str">
        <f t="shared" si="2"/>
        <v>Iran_draw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0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6</v>
      </c>
      <c r="AJ45" s="123">
        <f>SUMIF($E$7:$E$78,$AE45,$G$7:$G$78) + SUMIF($H$7:$H$78,$AE45,$F$7:$F$78)</f>
        <v>5</v>
      </c>
      <c r="AL45" s="123">
        <f>AI45-AJ45</f>
        <v>1</v>
      </c>
      <c r="AM45" s="123">
        <f>AL45-AL48</f>
        <v>6</v>
      </c>
      <c r="AN45" s="123">
        <f>AF45*3+AG45</f>
        <v>4</v>
      </c>
      <c r="AO45" s="123">
        <f>AN45/AN48*10+BA45</f>
        <v>5</v>
      </c>
      <c r="AP45" s="123">
        <f>AO45*10000000+BI45*100+AM45/AM48*10+AI45/AI48*1++IF(AQ45=0,ROW(),AQ45)/2000000</f>
        <v>50000006.667448282</v>
      </c>
      <c r="AQ45" s="126">
        <f>VLOOKUP(AE45,db_fifarank,2,FALSE)</f>
        <v>1563.24</v>
      </c>
      <c r="AR45" s="125">
        <f>AP45/AP48</f>
        <v>0.57142857651120427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Norway</v>
      </c>
      <c r="BT45" s="62">
        <v>2</v>
      </c>
      <c r="BU45" s="64"/>
      <c r="BV45" s="27"/>
      <c r="BW45" s="113">
        <f>IF(BW44="","",BT45*1000+BU45*10+BV45)</f>
        <v>2000</v>
      </c>
      <c r="CK45" s="114"/>
      <c r="CM45" s="147"/>
      <c r="CN45" s="148"/>
      <c r="CO45" s="148"/>
      <c r="CP45" s="148"/>
      <c r="CQ45" s="149"/>
    </row>
    <row r="46" spans="1:96" x14ac:dyDescent="0.2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1</v>
      </c>
      <c r="G46" s="20">
        <v>4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6 - 5</v>
      </c>
      <c r="P46" s="34">
        <f>L46*3+M46</f>
        <v>4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3</v>
      </c>
      <c r="AH46" s="123">
        <f>COUNTIF($S$7:$T$78,"=" &amp; AE46 &amp; "_lose")</f>
        <v>0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3</v>
      </c>
      <c r="AL46" s="123">
        <f>AI46-AJ46</f>
        <v>0</v>
      </c>
      <c r="AM46" s="123">
        <f>AL46-AL48</f>
        <v>5</v>
      </c>
      <c r="AN46" s="123">
        <f>AF46*3+AG46</f>
        <v>3</v>
      </c>
      <c r="AO46" s="123">
        <f>AN46/AN48*10+BA46</f>
        <v>3.75</v>
      </c>
      <c r="AP46" s="123">
        <f>AO46*10000000+BI46*100+AM46/AM48*10+AI46/AI48*1++IF(AQ46=0,ROW(),AQ46)/2000000</f>
        <v>37500005.334140986</v>
      </c>
      <c r="AQ46" s="126">
        <f>VLOOKUP(AE46,db_fifarank,2,FALSE)</f>
        <v>1615.3</v>
      </c>
      <c r="AR46" s="125">
        <f>AP46/AP48</f>
        <v>0.42857143619545729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Ivory Coast</v>
      </c>
      <c r="BM46" s="61">
        <v>1</v>
      </c>
      <c r="BN46" s="63">
        <v>1</v>
      </c>
      <c r="BO46" s="25"/>
      <c r="BP46" s="116">
        <f>IF(OR(BM46="",BM47="",AND(BN46="",BN47&lt;&gt;""),AND(BN47="",BN46&lt;&gt;""),AND(BO46="",BO47&lt;&gt;""),AND(BO47="",BO46&lt;&gt;"")),"",BM46*1000+BN46*10+BO46)</f>
        <v>1010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1</v>
      </c>
      <c r="G47" s="20">
        <v>0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3</v>
      </c>
      <c r="N47" s="23">
        <f>VLOOKUP(3,AD44:AN47,5,FALSE)</f>
        <v>0</v>
      </c>
      <c r="O47" s="23" t="str">
        <f>VLOOKUP(3,AD44:AN47,6,FALSE) &amp; " - " &amp; VLOOKUP(3,AD44:AN47,7,FALSE)</f>
        <v>3 - 3</v>
      </c>
      <c r="P47" s="34">
        <f>L47*3+M47</f>
        <v>3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4</v>
      </c>
      <c r="AJ47" s="123">
        <f>SUMIF($E$7:$E$78,$AE47,$G$7:$G$78) + SUMIF($H$7:$H$78,$AE47,$F$7:$F$78)</f>
        <v>9</v>
      </c>
      <c r="AL47" s="123">
        <f>AI47-AJ47</f>
        <v>-5</v>
      </c>
      <c r="AM47" s="123">
        <f>AL47-AL48</f>
        <v>0</v>
      </c>
      <c r="AN47" s="123">
        <f>AF47*3+AG47</f>
        <v>1</v>
      </c>
      <c r="AO47" s="123">
        <f>AN47/AN48*10+BA47</f>
        <v>1.25</v>
      </c>
      <c r="AP47" s="123">
        <f>AO47*10000000+BI47*100+AM47/AM48*10+AI47/AI48*1++IF(AQ47=0,ROW(),AQ47)/2000000</f>
        <v>12500000.445085229</v>
      </c>
      <c r="AQ47" s="126">
        <f>VLOOKUP(AE47,db_fifarank,2,FALSE)</f>
        <v>1281.57</v>
      </c>
      <c r="AR47" s="125">
        <f>AP47/AP48</f>
        <v>0.14285713016463891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Norway</v>
      </c>
      <c r="BM47" s="62">
        <v>1</v>
      </c>
      <c r="BN47" s="64">
        <v>2</v>
      </c>
      <c r="BO47" s="27"/>
      <c r="BP47" s="112">
        <f>IF(BP46="","",BM47*1000+BN47*10+BO47)</f>
        <v>1020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4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4 - 9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3</v>
      </c>
      <c r="AH48" s="123">
        <f t="shared" si="24"/>
        <v>3</v>
      </c>
      <c r="AI48" s="123">
        <f>MAX(AI44:AI47)+1</f>
        <v>9</v>
      </c>
      <c r="AL48" s="123">
        <f>MIN(AL44:AL47)</f>
        <v>-5</v>
      </c>
      <c r="AM48" s="123">
        <f>MAX(AM44:AM47)+1</f>
        <v>10</v>
      </c>
      <c r="AN48" s="123">
        <f>MAX(AN44:AN47)+1</f>
        <v>8</v>
      </c>
      <c r="AO48" s="123">
        <f>MAX(AO44:AO47)+1</f>
        <v>9.75</v>
      </c>
      <c r="AP48" s="123">
        <f>MAX(AP44:AP47)+1</f>
        <v>87500010.889756247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Norway</v>
      </c>
      <c r="CA48" s="61">
        <v>2</v>
      </c>
      <c r="CB48" s="63">
        <v>3</v>
      </c>
      <c r="CC48" s="25">
        <v>0</v>
      </c>
      <c r="CD48" s="112">
        <f>IF(OR(CA48="",CA49="",AND(CB48="",CB49&lt;&gt;""),AND(CB49="",CB48&lt;&gt;""),AND(CC48="",CC49&lt;&gt;""),AND(CC49="",CC48&lt;&gt;"")),"",CA48*1000+CB48*10+CC48)</f>
        <v>2030</v>
      </c>
      <c r="CK48" s="114"/>
      <c r="CL48" s="112"/>
      <c r="CM48" s="141">
        <v>103</v>
      </c>
      <c r="CN48" s="24" t="str">
        <f>IF(CK23&gt;CK24,CG24,IF(CK23&lt;CK24,CG23,""))</f>
        <v>Uruguay</v>
      </c>
      <c r="CO48" s="61">
        <v>0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0</v>
      </c>
    </row>
    <row r="49" spans="1:96" x14ac:dyDescent="0.2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2</v>
      </c>
      <c r="G49" s="20">
        <v>2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Argentina_draw</v>
      </c>
      <c r="T49" s="127" t="str">
        <f t="shared" si="20"/>
        <v>Austria_draw</v>
      </c>
      <c r="U49" s="123">
        <f t="shared" si="8"/>
        <v>1</v>
      </c>
      <c r="V49" s="123">
        <f t="shared" si="21"/>
        <v>2</v>
      </c>
      <c r="W49" s="123">
        <f t="shared" si="22"/>
        <v>2</v>
      </c>
      <c r="X49" s="123">
        <f t="shared" si="9"/>
        <v>1</v>
      </c>
      <c r="Y49" s="123">
        <f t="shared" si="10"/>
        <v>2</v>
      </c>
      <c r="Z49" s="123">
        <f t="shared" si="11"/>
        <v>2</v>
      </c>
      <c r="AA49" s="123">
        <f t="shared" si="17"/>
        <v>0</v>
      </c>
      <c r="AB49" s="123">
        <f t="shared" si="23"/>
        <v>0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Mexico</v>
      </c>
      <c r="CA49" s="62">
        <v>2</v>
      </c>
      <c r="CB49" s="64">
        <v>4</v>
      </c>
      <c r="CC49" s="27">
        <v>0</v>
      </c>
      <c r="CD49" s="113">
        <f>IF(CD48="","",CA49*1000+CB49*10+CC49)</f>
        <v>2040</v>
      </c>
      <c r="CK49" s="114"/>
      <c r="CL49" s="115"/>
      <c r="CM49" s="142"/>
      <c r="CN49" s="26" t="str">
        <f>IF(CK55&gt;CK56,CG56,IF(CK55&lt;CK56,CG55,""))</f>
        <v>Spain</v>
      </c>
      <c r="CO49" s="62">
        <v>2</v>
      </c>
      <c r="CP49" s="64"/>
      <c r="CQ49" s="27"/>
      <c r="CR49" s="111">
        <f>IF(CR48="","",CO49*1000+CP49*10+CQ49)</f>
        <v>2000</v>
      </c>
    </row>
    <row r="50" spans="1:96" x14ac:dyDescent="0.2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3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2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0</v>
      </c>
      <c r="AH50" s="123">
        <f>COUNTIF($S$7:$T$78,"=" &amp; AE50 &amp; "_lose")</f>
        <v>1</v>
      </c>
      <c r="AI50" s="123">
        <f>SUMIF($E$7:$E$78,$AE50,$F$7:$F$78) + SUMIF($H$7:$H$78,$AE50,$G$7:$G$78)</f>
        <v>7</v>
      </c>
      <c r="AJ50" s="123">
        <f>SUMIF($E$7:$E$78,$AE50,$G$7:$G$78) + SUMIF($H$7:$H$78,$AE50,$F$7:$F$78)</f>
        <v>4</v>
      </c>
      <c r="AL50" s="123">
        <f>AI50-AJ50</f>
        <v>3</v>
      </c>
      <c r="AM50" s="123">
        <f>AL50-AL54</f>
        <v>7</v>
      </c>
      <c r="AN50" s="123">
        <f>AF50*3+AG50</f>
        <v>6</v>
      </c>
      <c r="AO50" s="123">
        <f>AN50/AN54*10+BA50</f>
        <v>6</v>
      </c>
      <c r="AP50" s="123">
        <f>AO50*10000000+BI50*100+AM50/AM54*10+AI50/AI54*1++IF(AQ50=0,ROW(),AQ50)/2000000</f>
        <v>60000008.653715976</v>
      </c>
      <c r="AQ50" s="126">
        <f>VLOOKUP(AE50,db_fifarank,2,FALSE)</f>
        <v>1876.4</v>
      </c>
      <c r="AR50" s="125">
        <f>AP50/AP54</f>
        <v>0.66666668400628337</v>
      </c>
      <c r="AS50" s="125" t="str">
        <f>IF(SUM(AF50:AH53)=12,J51,"1H")</f>
        <v>Uruguay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1</v>
      </c>
      <c r="BN50" s="63">
        <v>3</v>
      </c>
      <c r="BO50" s="25"/>
      <c r="BP50" s="112">
        <f>IF(OR(BM50="",BM51="",AND(BN50="",BN51&lt;&gt;""),AND(BN51="",BN50&lt;&gt;""),AND(BO50="",BO51&lt;&gt;""),AND(BO51="",BO50&lt;&gt;"")),"",BM50*1000+BN50*10+BO50)</f>
        <v>1030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Uruguay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6 - 2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3</v>
      </c>
      <c r="AE51" s="124" t="str">
        <f>VLOOKUP("Cape Verde",T,lang,FALSE)</f>
        <v>Cape Verde</v>
      </c>
      <c r="AF51" s="123">
        <f>COUNTIF($S$7:$T$78,"=" &amp; AE51 &amp; "_win")</f>
        <v>1</v>
      </c>
      <c r="AG51" s="123">
        <f>COUNTIF($S$7:$T$78,"=" &amp; AE51 &amp; "_draw")</f>
        <v>0</v>
      </c>
      <c r="AH51" s="123">
        <f>COUNTIF($S$7:$T$78,"=" &amp; AE51 &amp; "_lose")</f>
        <v>2</v>
      </c>
      <c r="AI51" s="123">
        <f>SUMIF($E$7:$E$78,$AE51,$F$7:$F$78) + SUMIF($H$7:$H$78,$AE51,$G$7:$G$78)</f>
        <v>3</v>
      </c>
      <c r="AJ51" s="123">
        <f>SUMIF($E$7:$E$78,$AE51,$G$7:$G$78) + SUMIF($H$7:$H$78,$AE51,$F$7:$F$78)</f>
        <v>6</v>
      </c>
      <c r="AL51" s="123">
        <f>AI51-AJ51</f>
        <v>-3</v>
      </c>
      <c r="AM51" s="123">
        <f>AL51-AL54</f>
        <v>1</v>
      </c>
      <c r="AN51" s="123">
        <f>AF51*3+AG51</f>
        <v>3</v>
      </c>
      <c r="AO51" s="123">
        <f>AN51/AN54*10+BA51</f>
        <v>3</v>
      </c>
      <c r="AP51" s="123">
        <f>AO51*10000000+BI51*100+AM51/AM54*10+AI51/AI54*1++IF(AQ51=0,ROW(),AQ51)/2000000</f>
        <v>30000001.486794177</v>
      </c>
      <c r="AQ51" s="126">
        <f>VLOOKUP(AE51,db_fifarank,2,FALSE)</f>
        <v>1366.13</v>
      </c>
      <c r="AR51" s="125">
        <f>AP51/AP54</f>
        <v>0.33333331044688086</v>
      </c>
      <c r="AS51" s="125" t="str">
        <f>IF(SUM(AF50:AH53)=12,J52,"2H")</f>
        <v>Spain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Ecuador</v>
      </c>
      <c r="BM51" s="62">
        <v>1</v>
      </c>
      <c r="BN51" s="64">
        <v>2</v>
      </c>
      <c r="BO51" s="27"/>
      <c r="BP51" s="113">
        <f>IF(BP50="","",BM51*1000+BN51*10+BO51)</f>
        <v>1020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1</v>
      </c>
      <c r="H52" s="80" t="str">
        <f>AE75</f>
        <v>Croatia</v>
      </c>
      <c r="J52" s="33" t="str">
        <f>VLOOKUP(2,AD50:AN53,2,FALSE)</f>
        <v>Spain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7 - 4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0</v>
      </c>
      <c r="AH52" s="123">
        <f>COUNTIF($S$7:$T$78,"=" &amp; AE52 &amp; "_lose")</f>
        <v>3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5</v>
      </c>
      <c r="AL52" s="123">
        <f>AI52-AJ52</f>
        <v>-4</v>
      </c>
      <c r="AM52" s="123">
        <f>AL52-AL54</f>
        <v>0</v>
      </c>
      <c r="AN52" s="123">
        <f>AF52*3+AG52</f>
        <v>0</v>
      </c>
      <c r="AO52" s="123">
        <f>AN52/AN54*10+BA52</f>
        <v>0</v>
      </c>
      <c r="AP52" s="123">
        <f>AO52*10000000+BI52*100+AM52/AM54*10+AI52/AI54*1++IF(AQ52=0,ROW(),AQ52)/2000000</f>
        <v>0.125710715</v>
      </c>
      <c r="AQ52" s="126">
        <f>VLOOKUP(AE52,db_fifarank,2,FALSE)</f>
        <v>1421.43</v>
      </c>
      <c r="AR52" s="125">
        <f>AP52/AP54</f>
        <v>1.396785557095391E-9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2</v>
      </c>
      <c r="BU52" s="63">
        <v>4</v>
      </c>
      <c r="BV52" s="25"/>
      <c r="BW52" s="116">
        <f>IF(OR(BT52="",BT53="",AND(BU52="",BU53&lt;&gt;""),AND(BU53="",BU52&lt;&gt;""),AND(BV52="",BV53&lt;&gt;""),AND(BV53="",BV52&lt;&gt;"")),"",BT52*1000+BU52*10+BV52)</f>
        <v>2040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Cape Verde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3 - 6</v>
      </c>
      <c r="P53" s="34">
        <f>L53*3+M53</f>
        <v>3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1</v>
      </c>
      <c r="AE53" s="124" t="str">
        <f>VLOOKUP("Uruguay",T,lang,FALSE)</f>
        <v>Uruguay</v>
      </c>
      <c r="AF53" s="123">
        <f>COUNTIF($S$7:$T$78,"=" &amp; AE53 &amp; "_win")</f>
        <v>3</v>
      </c>
      <c r="AG53" s="123">
        <f>COUNTIF($S$7:$T$78,"=" &amp; AE53 &amp; "_draw")</f>
        <v>0</v>
      </c>
      <c r="AH53" s="123">
        <f>COUNTIF($S$7:$T$78,"=" &amp; AE53 &amp; "_lose")</f>
        <v>0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2</v>
      </c>
      <c r="AL53" s="123">
        <f>AI53-AJ53</f>
        <v>4</v>
      </c>
      <c r="AM53" s="123">
        <f>AL53-AL54</f>
        <v>8</v>
      </c>
      <c r="AN53" s="123">
        <f>AF53*3+AG53</f>
        <v>9</v>
      </c>
      <c r="AO53" s="123">
        <f>AN53/AN54*10+BA53</f>
        <v>9</v>
      </c>
      <c r="AP53" s="123">
        <f>AO53*10000000+BI53*100+AM53/AM54*10+AI53/AI54*1++IF(AQ53=0,ROW(),AQ53)/2000000</f>
        <v>90000009.639725432</v>
      </c>
      <c r="AQ53" s="126">
        <f>VLOOKUP(AE53,db_fifarank,2,FALSE)</f>
        <v>1673.07</v>
      </c>
      <c r="AR53" s="125">
        <f>AP53/AP54</f>
        <v>0.99999998888889019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England</v>
      </c>
      <c r="BT53" s="62">
        <v>2</v>
      </c>
      <c r="BU53" s="64">
        <v>3</v>
      </c>
      <c r="BV53" s="27"/>
      <c r="BW53" s="112">
        <f>IF(BW52="","",BT53*1000+BU53*10+BV53)</f>
        <v>2030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4</v>
      </c>
      <c r="G54" s="20">
        <v>1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1 - 5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8</v>
      </c>
      <c r="AL54" s="123">
        <f>MIN(AL50:AL53)</f>
        <v>-4</v>
      </c>
      <c r="AM54" s="123">
        <f>MAX(AM50:AM53)+1</f>
        <v>9</v>
      </c>
      <c r="AN54" s="123">
        <f>MAX(AN50:AN53)+1</f>
        <v>10</v>
      </c>
      <c r="AO54" s="123">
        <f>MAX(AO50:AO53)+1</f>
        <v>10</v>
      </c>
      <c r="AP54" s="123">
        <f>MAX(AP50:AP53)+1</f>
        <v>90000010.639725432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England</v>
      </c>
      <c r="BM54" s="61">
        <v>3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3000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2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Senegal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Mexico</v>
      </c>
      <c r="CH55" s="61">
        <v>1</v>
      </c>
      <c r="CI55" s="63">
        <v>3</v>
      </c>
      <c r="CJ55" s="25"/>
      <c r="CK55" s="116">
        <f>IF(OR(CH55="",CH56="",AND(CI55="",CI56&lt;&gt;""),AND(CI56="",CI55&lt;&gt;""),AND(CJ55="",CJ56&lt;&gt;""),AND(CJ56="",CJ55&lt;&gt;"")),"",CH55*1000+CI55*10+CJ55)</f>
        <v>1030</v>
      </c>
      <c r="CL55" s="112"/>
    </row>
    <row r="56" spans="1:96" x14ac:dyDescent="0.2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2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2</v>
      </c>
      <c r="AL56" s="123">
        <f>AI56-AJ56</f>
        <v>7</v>
      </c>
      <c r="AM56" s="123">
        <f>AL56-AL60</f>
        <v>16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90000010.312703371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Spain</v>
      </c>
      <c r="CH56" s="62">
        <v>1</v>
      </c>
      <c r="CI56" s="64">
        <v>2</v>
      </c>
      <c r="CJ56" s="27"/>
      <c r="CK56" s="112">
        <f>IF(CK55="","",CH56*1000+CI56*10+CJ56)</f>
        <v>1020</v>
      </c>
      <c r="CL56" s="112"/>
    </row>
    <row r="57" spans="1:96" x14ac:dyDescent="0.2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2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9 - 2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3</v>
      </c>
      <c r="AJ57" s="123">
        <f>SUMIF($E$7:$E$78,$AE57,$G$7:$G$78) + SUMIF($H$7:$H$78,$AE57,$F$7:$F$78)</f>
        <v>4</v>
      </c>
      <c r="AL57" s="123">
        <f>AI57-AJ57</f>
        <v>-1</v>
      </c>
      <c r="AM57" s="123">
        <f>AL57-AL60</f>
        <v>8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30000005.006726846</v>
      </c>
      <c r="AQ57" s="126">
        <f>VLOOKUP(AE57,db_fifarank,2,FALSE)</f>
        <v>1688.99</v>
      </c>
      <c r="AR57" s="125">
        <f>AP57/AP60</f>
        <v>0.3333333470647285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2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5 - 2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9</v>
      </c>
      <c r="AL58" s="123">
        <f>AI58-AJ58</f>
        <v>-9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8.0396656561071921E-12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1</v>
      </c>
      <c r="BN58" s="63">
        <v>2</v>
      </c>
      <c r="BO58" s="25">
        <v>3</v>
      </c>
      <c r="BP58" s="112">
        <f>IF(OR(BM58="",BM59="",AND(BN58="",BN59&lt;&gt;""),AND(BN59="",BN58&lt;&gt;""),AND(BO58="",BO59&lt;&gt;""),AND(BO59="",BO58&lt;&gt;"")),"",BM58*1000+BN58*10+BO58)</f>
        <v>1023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3 - 4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2</v>
      </c>
      <c r="AL59" s="123">
        <f>AI59-AJ59</f>
        <v>3</v>
      </c>
      <c r="AM59" s="123">
        <f>AL59-AL60</f>
        <v>12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60000007.559598997</v>
      </c>
      <c r="AQ59" s="126">
        <f>VLOOKUP(AE59,db_fifarank,2,FALSE)</f>
        <v>1550.94</v>
      </c>
      <c r="AR59" s="125">
        <f>AP59/AP60</f>
        <v>0.66666666686440834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Spain</v>
      </c>
      <c r="BM59" s="62">
        <v>1</v>
      </c>
      <c r="BN59" s="64">
        <v>2</v>
      </c>
      <c r="BO59" s="27">
        <v>4</v>
      </c>
      <c r="BP59" s="113">
        <f>IF(BP58="","",BM59*1000+BN59*10+BO59)</f>
        <v>1024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0 - 9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1</v>
      </c>
      <c r="V60" s="123">
        <f t="shared" si="21"/>
        <v>1</v>
      </c>
      <c r="W60" s="123">
        <f t="shared" si="22"/>
        <v>2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10</v>
      </c>
      <c r="AL60" s="123">
        <f>MIN(AL56:AL59)</f>
        <v>-9</v>
      </c>
      <c r="AM60" s="123">
        <f>MAX(AM56:AM59)+1</f>
        <v>17</v>
      </c>
      <c r="AN60" s="123">
        <f>MAX(AN56:AN59)+1</f>
        <v>10</v>
      </c>
      <c r="AO60" s="123">
        <f>MAX(AO56:AO59)+1</f>
        <v>10</v>
      </c>
      <c r="AP60" s="123">
        <f>MAX(AP56:AP59)+1</f>
        <v>90000011.312703371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Spain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2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1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Paraguay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Ecuador_draw</v>
      </c>
      <c r="T62" s="127" t="str">
        <f t="shared" si="20"/>
        <v>Germany_draw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0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2</v>
      </c>
      <c r="AG62" s="123">
        <f>COUNTIF($S$7:$T$78,"=" &amp; AE62 &amp; "_draw")</f>
        <v>1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2</v>
      </c>
      <c r="AL62" s="123">
        <f>AI62-AJ62</f>
        <v>5</v>
      </c>
      <c r="AM62" s="123">
        <f>AL62-AL66</f>
        <v>14</v>
      </c>
      <c r="AN62" s="123">
        <f>AF62*3+AG62</f>
        <v>7</v>
      </c>
      <c r="AO62" s="123">
        <f>AN62/AN66*10+BA62</f>
        <v>9.7306451612903224</v>
      </c>
      <c r="AP62" s="123">
        <f>AO62*10000000+BI62*100+AM62/AM66*10+AI62/AI66*1++IF(AQ62=0,ROW(),AQ62)/2000000</f>
        <v>97306559.886690095</v>
      </c>
      <c r="AQ62" s="126">
        <f>VLOOKUP(AE62,db_fifarank,2,FALSE)</f>
        <v>1874.82</v>
      </c>
      <c r="AR62" s="125">
        <f>AP62/AP66</f>
        <v>0.9999999897232007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1</v>
      </c>
      <c r="AV62" s="126" cm="1">
        <f t="array" ref="AV62">SUMPRODUCT(($E$7:$E$78=AE62)*($U$7:$U$78)*($F$7:$F$78))+SUMPRODUCT(($H$7:$H$78=AE62)*($U$7:$U$78)*($G$7:$G$78))</f>
        <v>2</v>
      </c>
      <c r="AW62" s="126" cm="1">
        <f t="array" ref="AW62">SUMPRODUCT(($E$7:$E$78=AE62)*($U$7:$U$78)*($G$7:$G$78))+SUMPRODUCT(($H$7:$H$78=AE62)*($U$7:$U$78)*($F$7:$F$78))</f>
        <v>2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50.666666666666664</v>
      </c>
      <c r="BA62" s="126">
        <f>AZ62/AZ66</f>
        <v>0.98064516129032253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1</v>
      </c>
      <c r="BD62" s="126" cm="1">
        <f t="array" ref="BD62">SUMPRODUCT(($E$7:$E$78=AE62)*($X$7:$X$78)*($F$7:$F$78))+SUMPRODUCT(($H$7:$H$78=AE62)*($X$7:$X$78)*($G$7:$G$78))</f>
        <v>2</v>
      </c>
      <c r="BE62" s="126" cm="1">
        <f t="array" ref="BE62">SUMPRODUCT(($E$7:$E$78=AE62)*($X$7:$X$78)*($G$7:$G$78))+SUMPRODUCT(($H$7:$H$78=AE62)*($X$7:$X$78)*($F$7:$F$78))</f>
        <v>2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50.666666666666664</v>
      </c>
      <c r="BI62" s="126">
        <f>BH62/BH66</f>
        <v>0.98064516129032253</v>
      </c>
      <c r="BK62" s="141">
        <v>88</v>
      </c>
      <c r="BL62" s="24" t="str">
        <f>AS27</f>
        <v>Paraguay</v>
      </c>
      <c r="BM62" s="61">
        <v>1</v>
      </c>
      <c r="BN62" s="63">
        <v>2</v>
      </c>
      <c r="BO62" s="25"/>
      <c r="BP62" s="116">
        <f>IF(OR(BM62="",BM63="",AND(BN62="",BN63&lt;&gt;""),AND(BN63="",BN62&lt;&gt;""),AND(BO62="",BO63&lt;&gt;""),AND(BO63="",BO62&lt;&gt;"")),"",BM62*1000+BN62*10+BO62)</f>
        <v>1020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2</v>
      </c>
      <c r="G63" s="20">
        <v>2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2</v>
      </c>
      <c r="M63" s="31">
        <f>VLOOKUP(1,AD62:AN65,4,FALSE)</f>
        <v>1</v>
      </c>
      <c r="N63" s="31">
        <f>VLOOKUP(1,AD62:AN65,5,FALSE)</f>
        <v>0</v>
      </c>
      <c r="O63" s="31" t="str">
        <f>VLOOKUP(1,AD62:AN65,6,FALSE) &amp; " - " &amp; VLOOKUP(1,AD62:AN65,7,FALSE)</f>
        <v>7 - 2</v>
      </c>
      <c r="P63" s="32">
        <f>L63*3+M63</f>
        <v>7</v>
      </c>
      <c r="R63" s="123">
        <f>DATE(2026,6,25)+TIME(12,0,0)+gmt_delta</f>
        <v>46198.958333333336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4</v>
      </c>
      <c r="AJ63" s="123">
        <f>SUMIF($E$7:$E$78,$AE63,$G$7:$G$78) + SUMIF($H$7:$H$78,$AE63,$F$7:$F$78)</f>
        <v>4</v>
      </c>
      <c r="AL63" s="123">
        <f>AI63-AJ63</f>
        <v>0</v>
      </c>
      <c r="AM63" s="123">
        <f>AL63-AL66</f>
        <v>9</v>
      </c>
      <c r="AN63" s="123">
        <f>AF63*3+AG63</f>
        <v>3</v>
      </c>
      <c r="AO63" s="123">
        <f>AN63/AN66*10+BA63</f>
        <v>3.75</v>
      </c>
      <c r="AP63" s="123">
        <f>AO63*10000000+BI63*100+AM63/AM66*10+AI63/AI66*1++IF(AQ63=0,ROW(),AQ63)/2000000</f>
        <v>37500006.500782132</v>
      </c>
      <c r="AQ63" s="126">
        <f>VLOOKUP(AE63,db_fifarank,2,FALSE)</f>
        <v>1564.26</v>
      </c>
      <c r="AR63" s="125">
        <f>AP63/AP66</f>
        <v>0.38538004178823571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Egypt</v>
      </c>
      <c r="BM63" s="62">
        <v>1</v>
      </c>
      <c r="BN63" s="64">
        <v>1</v>
      </c>
      <c r="BO63" s="27"/>
      <c r="BP63" s="112">
        <f>IF(BP62="","",BM63*1000+BN63*10+BO63)</f>
        <v>1010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1</v>
      </c>
      <c r="G64" s="20">
        <v>1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1</v>
      </c>
      <c r="N64" s="23">
        <f>VLOOKUP(2,AD62:AN65,5,FALSE)</f>
        <v>0</v>
      </c>
      <c r="O64" s="23" t="str">
        <f>VLOOKUP(2,AD62:AN65,6,FALSE) &amp; " - " &amp; VLOOKUP(2,AD62:AN65,7,FALSE)</f>
        <v>7 - 3</v>
      </c>
      <c r="P64" s="34">
        <f>L64*3+M64</f>
        <v>7</v>
      </c>
      <c r="R64" s="123">
        <f>DATE(2026,6,25)+TIME(12,0,0)+gmt_delta</f>
        <v>46198.958333333336</v>
      </c>
      <c r="S64" s="127" t="str">
        <f t="shared" si="19"/>
        <v>Tunisia_draw</v>
      </c>
      <c r="T64" s="127" t="str">
        <f t="shared" si="20"/>
        <v>Netherlands_draw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0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1</v>
      </c>
      <c r="AH64" s="123">
        <f>COUNTIF($S$7:$T$78,"=" &amp; AE64 &amp; "_lose")</f>
        <v>0</v>
      </c>
      <c r="AI64" s="123">
        <f>SUMIF($E$7:$E$78,$AE64,$F$7:$F$78) + SUMIF($H$7:$H$78,$AE64,$G$7:$G$78)</f>
        <v>7</v>
      </c>
      <c r="AJ64" s="123">
        <f>SUMIF($E$7:$E$78,$AE64,$G$7:$G$78) + SUMIF($H$7:$H$78,$AE64,$F$7:$F$78)</f>
        <v>3</v>
      </c>
      <c r="AL64" s="123">
        <f>AI64-AJ64</f>
        <v>4</v>
      </c>
      <c r="AM64" s="123">
        <f>AL64-AL66</f>
        <v>13</v>
      </c>
      <c r="AN64" s="123">
        <f>AF64*3+AG64</f>
        <v>7</v>
      </c>
      <c r="AO64" s="123">
        <f>AN64/AN66*10+BA64</f>
        <v>9.7306451612903224</v>
      </c>
      <c r="AP64" s="123">
        <f>AO64*10000000+BI64*100+AM64/AM66*10+AI64/AI66*1++IF(AQ64=0,ROW(),AQ64)/2000000</f>
        <v>97306559.219882742</v>
      </c>
      <c r="AQ64" s="126">
        <f>VLOOKUP(AE64,db_fifarank,2,FALSE)</f>
        <v>1593.45</v>
      </c>
      <c r="AR64" s="125">
        <f>AP64/AP66</f>
        <v>0.99999998287055525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2</v>
      </c>
      <c r="AW64" s="126" cm="1">
        <f t="array" ref="AW64">SUMPRODUCT(($E$7:$E$78=AE64)*($U$7:$U$78)*($G$7:$G$78))+SUMPRODUCT(($H$7:$H$78=AE64)*($U$7:$U$78)*($F$7:$F$78))</f>
        <v>2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50.666666666666664</v>
      </c>
      <c r="BA64" s="126">
        <f>AZ64/AZ66</f>
        <v>0.98064516129032253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2</v>
      </c>
      <c r="BE64" s="126" cm="1">
        <f t="array" ref="BE64">SUMPRODUCT(($E$7:$E$78=AE64)*($X$7:$X$78)*($G$7:$G$78))+SUMPRODUCT(($H$7:$H$78=AE64)*($X$7:$X$78)*($F$7:$F$78))</f>
        <v>2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50.666666666666664</v>
      </c>
      <c r="BI64" s="126">
        <f>BH64/BH66</f>
        <v>0.98064516129032253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Spain</v>
      </c>
      <c r="CA64" s="61">
        <v>3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3000</v>
      </c>
    </row>
    <row r="65" spans="1:95" x14ac:dyDescent="0.2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2</v>
      </c>
      <c r="G65" s="20">
        <v>0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4 - 4</v>
      </c>
      <c r="P65" s="34">
        <f>L65*3+M65</f>
        <v>3</v>
      </c>
      <c r="R65" s="123">
        <f>DATE(2026,6,25)+TIME(15,0,0)+gmt_delta</f>
        <v>46199.083333333336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9</v>
      </c>
      <c r="AL65" s="123">
        <f>AI65-AJ65</f>
        <v>-9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7.149826215830874E-12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Ghana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1</v>
      </c>
      <c r="G66" s="20">
        <v>2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0 - 9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Paraguay_lose</v>
      </c>
      <c r="T66" s="127" t="str">
        <f t="shared" si="20"/>
        <v>Australia_win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-1</v>
      </c>
      <c r="AF66" s="123">
        <f t="shared" ref="AF66:AH66" si="28">MAX(AF62:AF65)-MIN(AF62:AF65)+1</f>
        <v>3</v>
      </c>
      <c r="AG66" s="123">
        <f t="shared" si="28"/>
        <v>2</v>
      </c>
      <c r="AH66" s="123">
        <f t="shared" si="28"/>
        <v>4</v>
      </c>
      <c r="AI66" s="123">
        <f>MAX(AI62:AI65)+1</f>
        <v>8</v>
      </c>
      <c r="AL66" s="123">
        <f>MIN(AL62:AL65)</f>
        <v>-9</v>
      </c>
      <c r="AM66" s="123">
        <f>MAX(AM62:AM65)+1</f>
        <v>15</v>
      </c>
      <c r="AN66" s="123">
        <f>MAX(AN62:AN65)+1</f>
        <v>8</v>
      </c>
      <c r="AO66" s="123">
        <f>MAX(AO62:AO65)+1</f>
        <v>10.730645161290322</v>
      </c>
      <c r="AP66" s="123">
        <f>MAX(AP62:AP65)+1</f>
        <v>97306560.886690095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3</v>
      </c>
      <c r="AW66" s="126">
        <f>MAX(AW62:AW65)-MIN(AW62:AW65)+1</f>
        <v>3</v>
      </c>
      <c r="AY66" s="126">
        <f>MAX(AY62:AY65)-MIN(AY62:AY65)+1</f>
        <v>1</v>
      </c>
      <c r="AZ66" s="126">
        <f>MAX(AZ62:AZ65)+1</f>
        <v>51.666666666666664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3</v>
      </c>
      <c r="BE66" s="126">
        <f>MAX(BE62:BE65)-MIN(BE62:BE65)+1</f>
        <v>3</v>
      </c>
      <c r="BG66" s="126">
        <f>MAX(BG62:BG65)-MIN(BG62:BG65)+1</f>
        <v>1</v>
      </c>
      <c r="BH66" s="126">
        <f>MAX(BH62:BH65)+1</f>
        <v>51.666666666666664</v>
      </c>
      <c r="BK66" s="141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2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Iran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2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0</v>
      </c>
      <c r="AH68" s="123">
        <f>COUNTIF($S$7:$T$78,"=" &amp; AE68 &amp; "_lose")</f>
        <v>1</v>
      </c>
      <c r="AI68" s="123">
        <f>SUMIF($E$7:$E$78,$AE68,$F$7:$F$78) + SUMIF($H$7:$H$78,$AE68,$G$7:$G$78)</f>
        <v>5</v>
      </c>
      <c r="AJ68" s="123">
        <f>SUMIF($E$7:$E$78,$AE68,$G$7:$G$78) + SUMIF($H$7:$H$78,$AE68,$F$7:$F$78)</f>
        <v>2</v>
      </c>
      <c r="AL68" s="123">
        <f>AI68-AJ68</f>
        <v>3</v>
      </c>
      <c r="AM68" s="123">
        <f>AL68-AL72</f>
        <v>7</v>
      </c>
      <c r="AN68" s="123">
        <f>AF68*3+AG68</f>
        <v>6</v>
      </c>
      <c r="AO68" s="123">
        <f>AN68/AN72*10+BA68</f>
        <v>6</v>
      </c>
      <c r="AP68" s="123">
        <f>AO68*10000000+BI68*100+AM68/AM72*10+AI68/AI72*1++IF(AQ68=0,ROW(),AQ68)/2000000</f>
        <v>60000007.55643747</v>
      </c>
      <c r="AQ68" s="126">
        <f>VLOOKUP(AE68,db_fifarank,2,FALSE)</f>
        <v>1763.83</v>
      </c>
      <c r="AR68" s="125">
        <f>AP68/AP72</f>
        <v>0.66666666996237556</v>
      </c>
      <c r="AS68" s="125" t="str">
        <f>IF(SUM(AF68:AH71)=12,J69,"1K")</f>
        <v>Colombia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2</v>
      </c>
      <c r="BU68" s="63">
        <v>2</v>
      </c>
      <c r="BV68" s="25"/>
      <c r="BW68" s="116">
        <f>IF(OR(BT68="",BT69="",AND(BU68="",BU69&lt;&gt;""),AND(BU69="",BU68&lt;&gt;""),AND(BV68="",BV69&lt;&gt;""),AND(BV69="",BV68&lt;&gt;"")),"",BT68*1000+BU68*10+BV68)</f>
        <v>2020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Mexico</v>
      </c>
      <c r="CL68" s="131"/>
      <c r="CM68" s="131"/>
      <c r="CN68" s="131"/>
      <c r="CO68" s="131"/>
      <c r="CP68" s="131"/>
      <c r="CQ68" s="131"/>
    </row>
    <row r="69" spans="1:95" x14ac:dyDescent="0.2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Colombia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8 - 3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3</v>
      </c>
      <c r="AJ69" s="123">
        <f>SUMIF($E$7:$E$78,$AE69,$G$7:$G$78) + SUMIF($H$7:$H$78,$AE69,$F$7:$F$78)</f>
        <v>7</v>
      </c>
      <c r="AL69" s="123">
        <f>AI69-AJ69</f>
        <v>-4</v>
      </c>
      <c r="AM69" s="123">
        <f>AL69-AL72</f>
        <v>0</v>
      </c>
      <c r="AN69" s="123">
        <f>AF69*3+AG69</f>
        <v>3</v>
      </c>
      <c r="AO69" s="123">
        <f>AN69/AN72*10+BA69</f>
        <v>3</v>
      </c>
      <c r="AP69" s="123">
        <f>AO69*10000000+BI69*100+AM69/AM72*10+AI69/AI72*1++IF(AQ69=0,ROW(),AQ69)/2000000</f>
        <v>30000000.334072508</v>
      </c>
      <c r="AQ69" s="126">
        <f>VLOOKUP(AE69,db_fifarank,2,FALSE)</f>
        <v>1478.35</v>
      </c>
      <c r="AR69" s="125">
        <f>AP69/AP72</f>
        <v>0.33333329671290102</v>
      </c>
      <c r="AS69" s="125" t="str">
        <f>IF(SUM(AF68:AH71)=12,J70,"2K")</f>
        <v>Portugal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Ghana</v>
      </c>
      <c r="BT69" s="62">
        <v>2</v>
      </c>
      <c r="BU69" s="64">
        <v>3</v>
      </c>
      <c r="BV69" s="27"/>
      <c r="BW69" s="112">
        <f>IF(BW68="","",BT69*1000+BU69*10+BV69)</f>
        <v>2030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2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2</v>
      </c>
      <c r="G70" s="20">
        <v>4</v>
      </c>
      <c r="H70" s="80" t="str">
        <f>AE44</f>
        <v>Belgium</v>
      </c>
      <c r="I70" s="69"/>
      <c r="J70" s="33" t="str">
        <f>VLOOKUP(2,AD68:AN71,2,FALSE)</f>
        <v>Portugal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5 - 2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6</v>
      </c>
      <c r="AL70" s="123">
        <f>AI70-AJ70</f>
        <v>-4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0.2229548922222222</v>
      </c>
      <c r="AQ70" s="126">
        <f>VLOOKUP(AE70,db_fifarank,2,FALSE)</f>
        <v>1465.34</v>
      </c>
      <c r="AR70" s="125">
        <f>AP70/AP72</f>
        <v>2.4772762805037653E-9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41">
        <v>87</v>
      </c>
      <c r="BL70" s="24" t="str">
        <f>AS68</f>
        <v>Colombia</v>
      </c>
      <c r="BM70" s="61">
        <v>2</v>
      </c>
      <c r="BN70" s="63">
        <v>2</v>
      </c>
      <c r="BO70" s="25"/>
      <c r="BP70" s="116">
        <f>IF(OR(BM70="",BM71="",AND(BN70="",BN71&lt;&gt;""),AND(BN71="",BN70&lt;&gt;""),AND(BO70="",BO71&lt;&gt;""),AND(BO71="",BO70&lt;&gt;"")),"",BM70*1000+BN70*10+BO70)</f>
        <v>2020</v>
      </c>
      <c r="BQ70" s="112"/>
      <c r="BW70" s="112"/>
    </row>
    <row r="71" spans="1:95" x14ac:dyDescent="0.2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1</v>
      </c>
      <c r="G71" s="20">
        <v>0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3 - 7</v>
      </c>
      <c r="P71" s="34">
        <f>L71*3+M71</f>
        <v>3</v>
      </c>
      <c r="R71" s="123">
        <f>DATE(2026,6,26)+TIME(13,0,0)+gmt_delta</f>
        <v>46200</v>
      </c>
      <c r="S71" s="127" t="str">
        <f t="shared" si="19"/>
        <v>Cape Verde_win</v>
      </c>
      <c r="T71" s="127" t="str">
        <f t="shared" si="20"/>
        <v>Saudi Arabia_lose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1</v>
      </c>
      <c r="AD71" s="123">
        <f>COUNTIF(AR68:AR71,CONCATENATE("&gt;=",AR71))</f>
        <v>1</v>
      </c>
      <c r="AE71" s="124" t="str">
        <f>VLOOKUP("Colombia",T,lang,FALSE)</f>
        <v>Colombia</v>
      </c>
      <c r="AF71" s="123">
        <f>COUNTIF($S$7:$T$78,"=" &amp; AE71 &amp; "_win")</f>
        <v>3</v>
      </c>
      <c r="AG71" s="123">
        <f>COUNTIF($S$7:$T$78,"=" &amp; AE71 &amp; "_draw")</f>
        <v>0</v>
      </c>
      <c r="AH71" s="123">
        <f>COUNTIF($S$7:$T$78,"=" &amp; AE71 &amp; "_lose")</f>
        <v>0</v>
      </c>
      <c r="AI71" s="123">
        <f>SUMIF($E$7:$E$78,$AE71,$F$7:$F$78) + SUMIF($H$7:$H$78,$AE71,$G$7:$G$78)</f>
        <v>8</v>
      </c>
      <c r="AJ71" s="123">
        <f>SUMIF($E$7:$E$78,$AE71,$G$7:$G$78) + SUMIF($H$7:$H$78,$AE71,$F$7:$F$78)</f>
        <v>3</v>
      </c>
      <c r="AL71" s="123">
        <f>AI71-AJ71</f>
        <v>5</v>
      </c>
      <c r="AM71" s="123">
        <f>AL71-AL72</f>
        <v>9</v>
      </c>
      <c r="AN71" s="123">
        <f>AF71*3+AG71</f>
        <v>9</v>
      </c>
      <c r="AO71" s="123">
        <f>AN71/AN72*10+BA71</f>
        <v>9</v>
      </c>
      <c r="AP71" s="123">
        <f>AO71*10000000+BI71*100+AM71/AM72*10+AI71/AI72*1++IF(AQ71=0,ROW(),AQ71)/2000000</f>
        <v>90000009.889735445</v>
      </c>
      <c r="AQ71" s="126">
        <f>VLOOKUP(AE71,db_fifarank,2,FALSE)</f>
        <v>1693.09</v>
      </c>
      <c r="AR71" s="125">
        <f>AP71/AP72</f>
        <v>0.99999998888889019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Ghana</v>
      </c>
      <c r="BM71" s="62">
        <v>2</v>
      </c>
      <c r="BN71" s="64">
        <v>3</v>
      </c>
      <c r="BO71" s="27"/>
      <c r="BP71" s="112">
        <f>IF(BP70="","",BM71*1000+BN71*10+BO71)</f>
        <v>2030</v>
      </c>
      <c r="BQ71" s="112"/>
    </row>
    <row r="72" spans="1:95" x14ac:dyDescent="0.2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2</v>
      </c>
      <c r="G72" s="20">
        <v>1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2 - 6</v>
      </c>
      <c r="P72" s="37">
        <f>L72*3+M72</f>
        <v>0</v>
      </c>
      <c r="R72" s="123">
        <f>DATE(2026,6,26)+TIME(13,0,0)+gmt_delta</f>
        <v>46200</v>
      </c>
      <c r="S72" s="127" t="str">
        <f t="shared" si="19"/>
        <v>Uruguay_win</v>
      </c>
      <c r="T72" s="127" t="str">
        <f t="shared" si="20"/>
        <v>Spain_lose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1</v>
      </c>
      <c r="AF72" s="123">
        <f t="shared" ref="AF72:AH72" si="35">MAX(AF68:AF71)-MIN(AF68:AF71)+1</f>
        <v>4</v>
      </c>
      <c r="AG72" s="123">
        <f t="shared" si="35"/>
        <v>1</v>
      </c>
      <c r="AH72" s="123">
        <f t="shared" si="35"/>
        <v>4</v>
      </c>
      <c r="AI72" s="123">
        <f>MAX(AI68:AI71)+1</f>
        <v>9</v>
      </c>
      <c r="AL72" s="123">
        <f>MIN(AL68:AL71)</f>
        <v>-4</v>
      </c>
      <c r="AM72" s="123">
        <f>MAX(AM68:AM71)+1</f>
        <v>10</v>
      </c>
      <c r="AN72" s="123">
        <f>MAX(AN68:AN71)+1</f>
        <v>10</v>
      </c>
      <c r="AO72" s="123">
        <f>MAX(AO68:AO71)+1</f>
        <v>10</v>
      </c>
      <c r="AP72" s="123">
        <f>MAX(AP68:AP71)+1</f>
        <v>90000010.889735445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1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3</v>
      </c>
      <c r="AL74" s="123">
        <f>AI74-AJ74</f>
        <v>3</v>
      </c>
      <c r="AM74" s="123">
        <f>AL74-AL78</f>
        <v>6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90000009.429484397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6 - 3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3</v>
      </c>
      <c r="AL75" s="123">
        <f>AI75-AJ75</f>
        <v>1</v>
      </c>
      <c r="AM75" s="123">
        <f>AL75-AL78</f>
        <v>4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60000006.286572829</v>
      </c>
      <c r="AQ75" s="126">
        <f>VLOOKUP(AE75,db_fifarank,2,FALSE)</f>
        <v>1717.07</v>
      </c>
      <c r="AR75" s="125">
        <f>AP75/AP78</f>
        <v>0.66666665926203672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4 - 3</v>
      </c>
      <c r="P76" s="34">
        <f>L76*3+M76</f>
        <v>6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4</v>
      </c>
      <c r="AJ76" s="123">
        <f>SUMIF($E$7:$E$78,$AE76,$G$7:$G$78) + SUMIF($H$7:$H$78,$AE76,$F$7:$F$78)</f>
        <v>5</v>
      </c>
      <c r="AL76" s="123">
        <f>AI76-AJ76</f>
        <v>-1</v>
      </c>
      <c r="AM76" s="123">
        <f>AL76-AL78</f>
        <v>2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30000003.429244585</v>
      </c>
      <c r="AQ76" s="126">
        <f>VLOOKUP(AE76,db_fifarank,2,FALSE)</f>
        <v>1346.31</v>
      </c>
      <c r="AR76" s="125">
        <f>AP76/AP78</f>
        <v>0.333333332808331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2</v>
      </c>
      <c r="G77" s="20">
        <v>1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4 - 5</v>
      </c>
      <c r="P77" s="34">
        <f>L77*3+M77</f>
        <v>3</v>
      </c>
      <c r="R77" s="123">
        <f>DATE(2026,6,27)+TIME(12,30,0)+gmt_delta</f>
        <v>46200.979166666672</v>
      </c>
      <c r="S77" s="127" t="str">
        <f t="shared" si="19"/>
        <v>Colombia_win</v>
      </c>
      <c r="T77" s="127" t="str">
        <f t="shared" si="20"/>
        <v>Portugal_lose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2</v>
      </c>
      <c r="AJ77" s="123">
        <f>SUMIF($E$7:$E$78,$AE77,$G$7:$G$78) + SUMIF($H$7:$H$78,$AE77,$F$7:$F$78)</f>
        <v>5</v>
      </c>
      <c r="AL77" s="123">
        <f>AI77-AJ77</f>
        <v>-3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0.28648460571428569</v>
      </c>
      <c r="AQ77" s="126">
        <f>VLOOKUP(AE77,db_fifarank,2,FALSE)</f>
        <v>1540.64</v>
      </c>
      <c r="AR77" s="125">
        <f>AP77/AP78</f>
        <v>3.1831619168394238E-9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2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2 - 5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7</v>
      </c>
      <c r="AL78" s="123">
        <f>MIN(AL74:AL77)</f>
        <v>-3</v>
      </c>
      <c r="AM78" s="123">
        <f>MAX(AM74:AM77)+1</f>
        <v>7</v>
      </c>
      <c r="AN78" s="123">
        <f>MAX(AN74:AN77)+1</f>
        <v>10</v>
      </c>
      <c r="AO78" s="123">
        <f>MAX(AO74:AO77)+1</f>
        <v>10</v>
      </c>
      <c r="AP78" s="123">
        <f>MAX(AP74:AP77)+1</f>
        <v>90000010.429484397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6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5</v>
      </c>
      <c r="AJ80" s="123">
        <f>VLOOKUP($AE80,$AE$8:$AQ$78,6,FALSE)</f>
        <v>6</v>
      </c>
      <c r="AK80" s="123" t="s">
        <v>3180</v>
      </c>
      <c r="AL80" s="123">
        <f>VLOOKUP($AE80,$AE$8:$AQ$78,8,FALSE)</f>
        <v>-1</v>
      </c>
      <c r="AM80" s="123">
        <f>AL80-$AL$92</f>
        <v>3</v>
      </c>
      <c r="AN80" s="123">
        <f>VLOOKUP($AE80,$AE$8:$AQ$78,10,FALSE)</f>
        <v>3</v>
      </c>
      <c r="AP80" s="123">
        <f>AN80/AN92*10000+AM80/AM92*1000+AI80/AI92*100+IF(AQ80=0,ROW(),AQ80)/2000000</f>
        <v>6511.9055562347612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2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Ⓔ Ecuador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5 - 3</v>
      </c>
      <c r="P81" s="98">
        <f>L81*3+M81</f>
        <v>4</v>
      </c>
      <c r="AD81" s="123">
        <f t="shared" ref="AD81:AD91" si="38">COUNTIF($AP$80:$AP$91,CONCATENATE("&gt;=",AP81))</f>
        <v>11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5</v>
      </c>
      <c r="AK81" s="123" t="s">
        <v>3181</v>
      </c>
      <c r="AL81" s="123">
        <f t="shared" ref="AL81:AL90" si="43">VLOOKUP($AE81,$AE$8:$AQ$78,8,FALSE)</f>
        <v>-3</v>
      </c>
      <c r="AM81" s="123">
        <f t="shared" ref="AM81:AM91" si="44">AL81-$AL$92</f>
        <v>1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6176.191254430476</v>
      </c>
      <c r="AQ81" s="126">
        <f t="shared" si="37"/>
        <v>1556.48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Canada</v>
      </c>
    </row>
    <row r="82" spans="1:46" ht="15" customHeight="1" x14ac:dyDescent="0.2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Ⓕ Tunisia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4 - 4</v>
      </c>
      <c r="P82" s="101">
        <f t="shared" ref="P82:P92" si="48">L82*3+M82</f>
        <v>4</v>
      </c>
      <c r="AD82" s="123">
        <f t="shared" si="38"/>
        <v>9</v>
      </c>
      <c r="AE82" s="124" t="str">
        <f>J23</f>
        <v>Haiti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2</v>
      </c>
      <c r="AJ82" s="123">
        <f t="shared" si="42"/>
        <v>4</v>
      </c>
      <c r="AK82" s="123" t="s">
        <v>3182</v>
      </c>
      <c r="AL82" s="123">
        <f t="shared" si="43"/>
        <v>-2</v>
      </c>
      <c r="AM82" s="123">
        <f t="shared" si="44"/>
        <v>2</v>
      </c>
      <c r="AN82" s="123">
        <f t="shared" si="45"/>
        <v>3</v>
      </c>
      <c r="AP82" s="123">
        <f>AN82/AN92*10000+AM82/AM92*1000+AI82/AI92*100+IF(AQ82=0,ROW(),AQ82)/2000000</f>
        <v>6319.048264902618</v>
      </c>
      <c r="AQ82" s="126">
        <f t="shared" si="37"/>
        <v>1291.71</v>
      </c>
      <c r="AR82" s="125" t="str">
        <f t="shared" ref="AR82:AR91" si="50">AR81&amp;IF(AD82&lt;=8,RIGHT(AK82,1),"")</f>
        <v>A</v>
      </c>
      <c r="AS82" s="129" t="str">
        <f t="shared" si="46"/>
        <v/>
      </c>
      <c r="AT82" s="130" t="str">
        <f>"Ⓒ "&amp;AE82</f>
        <v>Ⓒ Haiti</v>
      </c>
    </row>
    <row r="83" spans="1:46" ht="15" customHeight="1" x14ac:dyDescent="0.2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Ⓓ United States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3 - 4</v>
      </c>
      <c r="P83" s="101">
        <f t="shared" si="48"/>
        <v>4</v>
      </c>
      <c r="AD83" s="123">
        <f t="shared" si="38"/>
        <v>3</v>
      </c>
      <c r="AE83" s="124" t="str">
        <f>J29</f>
        <v>United States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3</v>
      </c>
      <c r="AJ83" s="123">
        <f t="shared" si="42"/>
        <v>4</v>
      </c>
      <c r="AK83" s="123" t="s">
        <v>3184</v>
      </c>
      <c r="AL83" s="123">
        <f t="shared" si="43"/>
        <v>-1</v>
      </c>
      <c r="AM83" s="123">
        <f t="shared" si="44"/>
        <v>3</v>
      </c>
      <c r="AN83" s="123">
        <f t="shared" si="45"/>
        <v>4</v>
      </c>
      <c r="AP83" s="123">
        <f>AN83/AN92*10000+AM83/AM92*1000+AI83/AI92*100+IF(AQ83=0,ROW(),AQ83)/2000000</f>
        <v>8478.5722651364285</v>
      </c>
      <c r="AQ83" s="126">
        <f t="shared" si="37"/>
        <v>1673.13</v>
      </c>
      <c r="AR83" s="125" t="str">
        <f t="shared" si="50"/>
        <v>AD</v>
      </c>
      <c r="AS83" s="129" t="str">
        <f t="shared" si="46"/>
        <v>United States</v>
      </c>
      <c r="AT83" s="130" t="str">
        <f>"Ⓓ "&amp;AE83</f>
        <v>Ⓓ United States</v>
      </c>
    </row>
    <row r="84" spans="1:46" ht="15" customHeight="1" x14ac:dyDescent="0.2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Ⓙ Algeria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4 - 4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</v>
      </c>
      <c r="AE84" s="124" t="str">
        <f>J35</f>
        <v>Ecuador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5</v>
      </c>
      <c r="AJ84" s="123">
        <f t="shared" si="42"/>
        <v>3</v>
      </c>
      <c r="AK84" s="123" t="s">
        <v>3185</v>
      </c>
      <c r="AL84" s="123">
        <f t="shared" si="43"/>
        <v>2</v>
      </c>
      <c r="AM84" s="123">
        <f t="shared" si="44"/>
        <v>6</v>
      </c>
      <c r="AN84" s="123">
        <f t="shared" si="45"/>
        <v>4</v>
      </c>
      <c r="AP84" s="123">
        <f>AN84/AN92*10000+AM84/AM92*1000+AI84/AI92*100+IF(AQ84=0,ROW(),AQ84)/2000000</f>
        <v>8940.47698786619</v>
      </c>
      <c r="AQ84" s="126">
        <f t="shared" si="37"/>
        <v>1594.78</v>
      </c>
      <c r="AR84" s="125" t="str">
        <f t="shared" si="50"/>
        <v>ADE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2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Ⓖ Iran</v>
      </c>
      <c r="K85" s="100">
        <f t="shared" si="47"/>
        <v>3</v>
      </c>
      <c r="L85" s="100">
        <f>VLOOKUP(5,$AD$80:$AN$91,3,FALSE)</f>
        <v>0</v>
      </c>
      <c r="M85" s="100">
        <f>VLOOKUP(5,$AD$80:$AN$91,4,FALSE)</f>
        <v>3</v>
      </c>
      <c r="N85" s="100">
        <f>VLOOKUP(5,$AD$80:$AN$91,5,FALSE)</f>
        <v>0</v>
      </c>
      <c r="O85" s="100" t="str">
        <f>VLOOKUP(5,$AD$80:$AN$91,6,FALSE) &amp; " - " &amp; VLOOKUP(5,$AD$80:$AN$91,7,FALSE)</f>
        <v>3 - 3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2</v>
      </c>
      <c r="AE85" s="124" t="str">
        <f>J41</f>
        <v>Tunisia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4</v>
      </c>
      <c r="AJ85" s="123">
        <f t="shared" si="42"/>
        <v>4</v>
      </c>
      <c r="AK85" s="123" t="s">
        <v>3186</v>
      </c>
      <c r="AL85" s="123">
        <f t="shared" si="43"/>
        <v>0</v>
      </c>
      <c r="AM85" s="123">
        <f t="shared" si="44"/>
        <v>4</v>
      </c>
      <c r="AN85" s="123">
        <f t="shared" si="45"/>
        <v>4</v>
      </c>
      <c r="AP85" s="123">
        <f>AN85/AN92*10000+AM85/AM92*1000+AI85/AI92*100+IF(AQ85=0,ROW(),AQ85)/2000000</f>
        <v>8638.0959796202369</v>
      </c>
      <c r="AQ85" s="126">
        <f t="shared" si="37"/>
        <v>1483.05</v>
      </c>
      <c r="AR85" s="125" t="str">
        <f t="shared" si="50"/>
        <v>ADEF</v>
      </c>
      <c r="AS85" s="129" t="str">
        <f t="shared" si="46"/>
        <v>Tunisia</v>
      </c>
      <c r="AT85" s="130" t="str">
        <f>"Ⓕ "&amp;AE85</f>
        <v>Ⓕ Tunisia</v>
      </c>
    </row>
    <row r="86" spans="1:46" ht="15" customHeight="1" x14ac:dyDescent="0.2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Ⓐ Korea Republic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5 - 6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Portugal</v>
      </c>
      <c r="T86" s="127" t="str" cm="1">
        <f t="array" ref="T86">IF(OR(S86="",S86="draw"),INDEX(T,88,lang),S86)</f>
        <v>Portugal</v>
      </c>
      <c r="AD86" s="123">
        <f t="shared" si="38"/>
        <v>5</v>
      </c>
      <c r="AE86" s="124" t="str">
        <f>J47</f>
        <v>Iran</v>
      </c>
      <c r="AF86" s="123">
        <f t="shared" si="39"/>
        <v>0</v>
      </c>
      <c r="AG86" s="123">
        <f t="shared" si="49"/>
        <v>3</v>
      </c>
      <c r="AH86" s="123">
        <f t="shared" si="40"/>
        <v>0</v>
      </c>
      <c r="AI86" s="123">
        <f t="shared" si="41"/>
        <v>3</v>
      </c>
      <c r="AJ86" s="123">
        <f t="shared" si="42"/>
        <v>3</v>
      </c>
      <c r="AK86" s="123" t="s">
        <v>3187</v>
      </c>
      <c r="AL86" s="123">
        <f t="shared" si="43"/>
        <v>0</v>
      </c>
      <c r="AM86" s="123">
        <f t="shared" si="44"/>
        <v>4</v>
      </c>
      <c r="AN86" s="123">
        <f t="shared" si="45"/>
        <v>3</v>
      </c>
      <c r="AP86" s="123">
        <f>AN86/AN92*10000+AM86/AM92*1000+AI86/AI92*100+IF(AQ86=0,ROW(),AQ86)/2000000</f>
        <v>6621.4293790785714</v>
      </c>
      <c r="AQ86" s="126">
        <f t="shared" si="37"/>
        <v>1615.3</v>
      </c>
      <c r="AR86" s="125" t="str">
        <f t="shared" si="50"/>
        <v>ADEFG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2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Ⓛ Ghana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4 - 5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Uruguay</v>
      </c>
      <c r="T87" s="127" t="str" cm="1">
        <f t="array" ref="T87">IF(OR(S87="",S87="draw"),INDEX(T,89,lang),S87)</f>
        <v>Uruguay</v>
      </c>
      <c r="AD87" s="123">
        <f t="shared" si="38"/>
        <v>10</v>
      </c>
      <c r="AE87" s="124" t="str">
        <f>J53</f>
        <v>Cape Verde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3</v>
      </c>
      <c r="AJ87" s="123">
        <f t="shared" si="42"/>
        <v>6</v>
      </c>
      <c r="AK87" s="123" t="s">
        <v>3188</v>
      </c>
      <c r="AL87" s="123">
        <f t="shared" si="43"/>
        <v>-3</v>
      </c>
      <c r="AM87" s="123">
        <f t="shared" si="44"/>
        <v>1</v>
      </c>
      <c r="AN87" s="123">
        <f t="shared" si="45"/>
        <v>3</v>
      </c>
      <c r="AP87" s="123">
        <f>AN87/AN92*10000+AM87/AM92*1000+AI87/AI92*100+IF(AQ87=0,ROW(),AQ87)/2000000</f>
        <v>6192.8578259221431</v>
      </c>
      <c r="AQ87" s="126">
        <f t="shared" si="37"/>
        <v>1366.13</v>
      </c>
      <c r="AR87" s="125" t="str">
        <f t="shared" si="50"/>
        <v>ADEFG</v>
      </c>
      <c r="AS87" s="129" t="str">
        <f t="shared" si="46"/>
        <v/>
      </c>
      <c r="AT87" s="130" t="str">
        <f>"Ⓗ "&amp;AE87</f>
        <v>Ⓗ Cape Verde</v>
      </c>
    </row>
    <row r="88" spans="1:46" ht="15" customHeight="1" x14ac:dyDescent="0.2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Ⓘ Senegal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3 - 4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Bosnia and Herzegovina</v>
      </c>
      <c r="T88" s="127" t="str" cm="1">
        <f t="array" ref="T88">IF(OR(S88="",S88="draw"),INDEX(T,90,lang),S88)</f>
        <v>Bosnia and Herzegovina</v>
      </c>
      <c r="AD88" s="123">
        <f t="shared" si="38"/>
        <v>8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3</v>
      </c>
      <c r="AJ88" s="123">
        <f t="shared" si="42"/>
        <v>4</v>
      </c>
      <c r="AK88" s="123" t="s">
        <v>3189</v>
      </c>
      <c r="AL88" s="123">
        <f t="shared" si="43"/>
        <v>-1</v>
      </c>
      <c r="AM88" s="123">
        <f t="shared" si="44"/>
        <v>3</v>
      </c>
      <c r="AN88" s="123">
        <f t="shared" si="45"/>
        <v>3</v>
      </c>
      <c r="AP88" s="123">
        <f>AN88/AN92*10000+AM88/AM92*1000+AI88/AI92*100+IF(AQ88=0,ROW(),AQ88)/2000000</f>
        <v>6478.5722730664284</v>
      </c>
      <c r="AQ88" s="126">
        <f t="shared" si="37"/>
        <v>1688.99</v>
      </c>
      <c r="AR88" s="125" t="str">
        <f t="shared" si="50"/>
        <v>ADEFGI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Ⓒ Haiti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2 - 4</v>
      </c>
      <c r="P89" s="104">
        <f t="shared" si="48"/>
        <v>3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4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4</v>
      </c>
      <c r="AJ89" s="123">
        <f t="shared" si="42"/>
        <v>4</v>
      </c>
      <c r="AK89" s="123" t="s">
        <v>3190</v>
      </c>
      <c r="AL89" s="123">
        <f t="shared" si="43"/>
        <v>0</v>
      </c>
      <c r="AM89" s="123">
        <f t="shared" si="44"/>
        <v>4</v>
      </c>
      <c r="AN89" s="123">
        <f t="shared" si="45"/>
        <v>3</v>
      </c>
      <c r="AP89" s="123">
        <f>AN89/AN92*10000+AM89/AM92*1000+AI89/AI92*100+IF(AQ89=0,ROW(),AQ89)/2000000</f>
        <v>6638.0960202252381</v>
      </c>
      <c r="AQ89" s="126">
        <f t="shared" si="37"/>
        <v>1564.26</v>
      </c>
      <c r="AR89" s="125" t="str">
        <f t="shared" si="50"/>
        <v>ADEFGIJ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Ⓗ Cape Verde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3 - 6</v>
      </c>
      <c r="P90" s="104">
        <f t="shared" si="48"/>
        <v>3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12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3</v>
      </c>
      <c r="AJ90" s="123">
        <f t="shared" si="42"/>
        <v>7</v>
      </c>
      <c r="AK90" s="123" t="s">
        <v>3191</v>
      </c>
      <c r="AL90" s="123">
        <f t="shared" si="43"/>
        <v>-4</v>
      </c>
      <c r="AM90" s="123">
        <f t="shared" si="44"/>
        <v>0</v>
      </c>
      <c r="AN90" s="123">
        <f t="shared" si="45"/>
        <v>3</v>
      </c>
      <c r="AP90" s="123">
        <f>AN90/AN92*10000+AM90/AM92*1000+AI90/AI92*100+IF(AQ90=0,ROW(),AQ90)/2000000</f>
        <v>6050.0007391749996</v>
      </c>
      <c r="AQ90" s="126">
        <f t="shared" si="37"/>
        <v>1478.35</v>
      </c>
      <c r="AR90" s="125" t="str">
        <f t="shared" si="50"/>
        <v>ADEFGIJ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Ⓑ Canada</v>
      </c>
      <c r="K91" s="103">
        <f t="shared" si="47"/>
        <v>3</v>
      </c>
      <c r="L91" s="103">
        <f>VLOOKUP(11,$AD$80:$AN$91,3,FALSE)</f>
        <v>1</v>
      </c>
      <c r="M91" s="103">
        <f>VLOOKUP(11,$AD$80:$AN$91,4,FALSE)</f>
        <v>0</v>
      </c>
      <c r="N91" s="103">
        <f>VLOOKUP(11,$AD$80:$AN$91,5,FALSE)</f>
        <v>2</v>
      </c>
      <c r="O91" s="103" t="str">
        <f>VLOOKUP(11,$AD$80:$AN$91,6,FALSE) &amp; " - " &amp; VLOOKUP(11,$AD$80:$AN$91,7,FALSE)</f>
        <v>2 - 5</v>
      </c>
      <c r="P91" s="104">
        <f t="shared" si="48"/>
        <v>3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7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4</v>
      </c>
      <c r="AJ91" s="123">
        <f>VLOOKUP($AE91,$AE$8:$AQ$78,6,FALSE)</f>
        <v>5</v>
      </c>
      <c r="AK91" s="123" t="s">
        <v>3192</v>
      </c>
      <c r="AL91" s="123">
        <f>VLOOKUP($AE91,$AE$8:$AQ$78,8,FALSE)</f>
        <v>-1</v>
      </c>
      <c r="AM91" s="123">
        <f t="shared" si="44"/>
        <v>3</v>
      </c>
      <c r="AN91" s="123">
        <f>VLOOKUP($AE91,$AE$8:$AQ$78,10,FALSE)</f>
        <v>3</v>
      </c>
      <c r="AP91" s="123">
        <f>AN91/AN92*10000+AM91/AM92*1000+AI91/AI92*100+IF(AQ91=0,ROW(),AQ91)/2000000</f>
        <v>6495.2387683930956</v>
      </c>
      <c r="AQ91" s="126">
        <f t="shared" si="37"/>
        <v>1346.31</v>
      </c>
      <c r="AR91" s="125" t="str">
        <f t="shared" si="50"/>
        <v>ADEFGIJL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1</v>
      </c>
      <c r="M92" s="106">
        <f>VLOOKUP(12,$AD$80:$AN$91,4,FALSE)</f>
        <v>0</v>
      </c>
      <c r="N92" s="106">
        <f>VLOOKUP(12,$AD$80:$AN$91,5,FALSE)</f>
        <v>2</v>
      </c>
      <c r="O92" s="106" t="str">
        <f>VLOOKUP(12,$AD$80:$AN$91,6,FALSE) &amp; " - " &amp; VLOOKUP(12,$AD$80:$AN$91,7,FALSE)</f>
        <v>3 - 7</v>
      </c>
      <c r="P92" s="107">
        <f t="shared" si="48"/>
        <v>3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6</v>
      </c>
      <c r="AJ92" s="123">
        <f>MAX(AJ80:AJ91)+1</f>
        <v>8</v>
      </c>
      <c r="AL92" s="123">
        <f>MIN(AL80:AL91)</f>
        <v>-4</v>
      </c>
      <c r="AM92" s="123">
        <f>MAX(AM80:AM91)+1</f>
        <v>7</v>
      </c>
      <c r="AN92" s="123">
        <f>MAX(AN80:AN91)+1</f>
        <v>5</v>
      </c>
      <c r="AS92" s="126" t="b">
        <f>SUM(K9:K78)=144</f>
        <v>1</v>
      </c>
    </row>
    <row r="93" spans="1:46" x14ac:dyDescent="0.2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Bosnia and Herzegovina</v>
      </c>
      <c r="T96" s="127" t="str" cm="1">
        <f t="array" ref="T96">IF(OR(S96="",S96="draw"),INDEX(T,95,lang),S96)</f>
        <v>Bosnia and Herzegovina</v>
      </c>
    </row>
    <row r="97" spans="18:29" ht="12.75" customHeight="1" x14ac:dyDescent="0.2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Uruguay</v>
      </c>
      <c r="T97" s="127" t="str" cm="1">
        <f t="array" ref="T97">IF(OR(S97="",S97="draw"),INDEX(T,96,lang),S97)</f>
        <v>Uruguay</v>
      </c>
    </row>
    <row r="98" spans="18:29" x14ac:dyDescent="0.2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Bosnia and Herzegovina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Bosnia and Herzegovina</v>
      </c>
    </row>
    <row r="103" spans="18:29" x14ac:dyDescent="0.2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Uruguay</v>
      </c>
      <c r="T103" s="127" t="str" cm="1">
        <f t="array" ref="T103">IF(OR(S103="",S103="draw"),INDEX(T,99,lang),S103)</f>
        <v>Uruguay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6">
      <formula>IF(AND(AA7=0,AB7=-1),1,0)</formula>
    </cfRule>
    <cfRule type="expression" dxfId="226" priority="347">
      <formula>IF(AND(AA7=1,AB7=-1),1,0)</formula>
    </cfRule>
    <cfRule type="expression" dxfId="225" priority="348">
      <formula>IF(AND(AA7=0,AB7=1),1,0)</formula>
    </cfRule>
    <cfRule type="expression" dxfId="224" priority="349">
      <formula>IF(AND(AA7=1,AB7=1),1,0)</formula>
    </cfRule>
    <cfRule type="expression" dxfId="223" priority="350">
      <formula>IF(AND(AA7=0,AB7=0),1,0)</formula>
    </cfRule>
    <cfRule type="expression" dxfId="222" priority="351">
      <formula>IF(AND(AA7=1,AB7=0),1,0)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40">
      <formula>IF(AND(AA7=0,AB7=-1),1,0)</formula>
    </cfRule>
    <cfRule type="expression" dxfId="218" priority="341">
      <formula>IF(AND(AA7=1,AB7=-1),1,0)</formula>
    </cfRule>
    <cfRule type="expression" dxfId="217" priority="342">
      <formula>IF(AND(AA7=0,AB7=1),1,0)</formula>
    </cfRule>
    <cfRule type="expression" dxfId="216" priority="343">
      <formula>IF(AND(AA7=1,AB7=1),1,0)</formula>
    </cfRule>
    <cfRule type="expression" dxfId="215" priority="344">
      <formula>IF(AND(AA7=0,AB7=0),1,0)</formula>
    </cfRule>
    <cfRule type="expression" dxfId="214" priority="345">
      <formula>IF(AND(AA7=1,AB7=0),1,0)</formula>
    </cfRule>
    <cfRule type="expression" dxfId="213" priority="352">
      <formula>IF(AND(AA7=1,AB7=""),1,0)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18">
      <formula>IF(BP10&lt;BP11,1,0)</formula>
    </cfRule>
    <cfRule type="expression" dxfId="191" priority="220">
      <formula>IF(BP10&gt;BP11,1,0)</formula>
    </cfRule>
  </conditionalFormatting>
  <conditionalFormatting sqref="BL11">
    <cfRule type="expression" dxfId="190" priority="217">
      <formula>IF(BP10&lt;BP11,1,0)</formula>
    </cfRule>
    <cfRule type="expression" dxfId="189" priority="219">
      <formula>IF(BP10&gt;BP11,1,0)</formula>
    </cfRule>
  </conditionalFormatting>
  <conditionalFormatting sqref="BL14">
    <cfRule type="expression" dxfId="188" priority="182">
      <formula>IF(BP14&lt;BP15,1,0)</formula>
    </cfRule>
    <cfRule type="expression" dxfId="187" priority="184">
      <formula>IF(BP14&gt;BP15,1,0)</formula>
    </cfRule>
  </conditionalFormatting>
  <conditionalFormatting sqref="BL15">
    <cfRule type="expression" dxfId="186" priority="181">
      <formula>IF(BP14&lt;BP15,1,0)</formula>
    </cfRule>
    <cfRule type="expression" dxfId="185" priority="183">
      <formula>IF(BP14&gt;BP15,1,0)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5">
      <formula>IF(BP18&lt;BP19,1,0)</formula>
    </cfRule>
    <cfRule type="expression" dxfId="181" priority="177">
      <formula>IF(BP18&gt;BP19,1,0)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6">
      <formula>IF(BP38&lt;BP39,1,0)</formula>
    </cfRule>
    <cfRule type="expression" dxfId="163" priority="148">
      <formula>IF(BP38&gt;BP39,1,0)</formula>
    </cfRule>
  </conditionalFormatting>
  <conditionalFormatting sqref="BL39">
    <cfRule type="expression" dxfId="162" priority="145">
      <formula>IF(BP38&lt;BP39,1,0)</formula>
    </cfRule>
    <cfRule type="expression" dxfId="161" priority="147">
      <formula>IF(BP38&gt;BP39,1,0)</formula>
    </cfRule>
  </conditionalFormatting>
  <conditionalFormatting sqref="BL42">
    <cfRule type="expression" dxfId="160" priority="140">
      <formula>IF(BP42&lt;BP43,1,0)</formula>
    </cfRule>
    <cfRule type="expression" dxfId="159" priority="142">
      <formula>IF(BP42&gt;BP43,1,0)</formula>
    </cfRule>
  </conditionalFormatting>
  <conditionalFormatting sqref="BL43">
    <cfRule type="expression" dxfId="158" priority="139">
      <formula>IF(BP42&lt;BP43,1,0)</formula>
    </cfRule>
    <cfRule type="expression" dxfId="157" priority="141">
      <formula>IF(BP42&gt;BP43,1,0)</formula>
    </cfRule>
  </conditionalFormatting>
  <conditionalFormatting sqref="BL46">
    <cfRule type="expression" dxfId="156" priority="134">
      <formula>IF(BP46&lt;BP47,1,0)</formula>
    </cfRule>
    <cfRule type="expression" dxfId="155" priority="136">
      <formula>IF(BP46&gt;BP47,1,0)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6">
      <formula>IF(BP58&lt;BP59,1,0)</formula>
    </cfRule>
    <cfRule type="expression" dxfId="143" priority="118">
      <formula>IF(BP58&gt;BP59,1,0)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4">
      <formula>IF(BP66&lt;BP67,1,0)</formula>
    </cfRule>
    <cfRule type="expression" dxfId="135" priority="106">
      <formula>IF(BP66&gt;BP67,1,0)</formula>
    </cfRule>
  </conditionalFormatting>
  <conditionalFormatting sqref="BL67">
    <cfRule type="expression" dxfId="134" priority="103">
      <formula>IF(BP66&lt;BP67,1,0)</formula>
    </cfRule>
    <cfRule type="expression" dxfId="133" priority="105">
      <formula>IF(BP66&gt;BP67,1,0)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0">
      <formula>IF(BW12&lt;BW13,1,0)</formula>
    </cfRule>
    <cfRule type="expression" dxfId="95" priority="52">
      <formula>IF(BW12&gt;BW13,1,0)</formula>
    </cfRule>
  </conditionalFormatting>
  <conditionalFormatting sqref="BS13">
    <cfRule type="expression" dxfId="94" priority="49">
      <formula>IF(BW12&lt;BW13,1,0)</formula>
    </cfRule>
    <cfRule type="expression" dxfId="93" priority="51">
      <formula>IF(BW12&gt;BW13,1,0)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68">
      <formula>IF(BW36&lt;BW37,1,0)</formula>
    </cfRule>
    <cfRule type="expression" dxfId="83" priority="70">
      <formula>IF(BW36&gt;BW37,1,0)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3">
      <formula>IF(BW44&lt;BW45,1,0)</formula>
    </cfRule>
    <cfRule type="expression" dxfId="77" priority="75">
      <formula>IF(BW44&gt;BW45,1,0)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5">
      <formula>IF(BW60&lt;BW61,1,0)</formula>
    </cfRule>
    <cfRule type="expression" dxfId="69" priority="87">
      <formula>IF(BW60&gt;BW61,1,0)</formula>
    </cfRule>
  </conditionalFormatting>
  <conditionalFormatting sqref="BS68">
    <cfRule type="expression" dxfId="68" priority="92">
      <formula>IF(BW68&lt;BW69,1,0)</formula>
    </cfRule>
    <cfRule type="expression" dxfId="67" priority="94">
      <formula>IF(BW68&gt;BW69,1,0)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4">
      <formula>IF(CD16&lt;CD17,1,0)</formula>
    </cfRule>
    <cfRule type="expression" dxfId="47" priority="46">
      <formula>IF(CD16&gt;CD17,1,0)</formula>
    </cfRule>
  </conditionalFormatting>
  <conditionalFormatting sqref="BZ17">
    <cfRule type="expression" dxfId="46" priority="43">
      <formula>IF(CD16&lt;CD17,1,0)</formula>
    </cfRule>
    <cfRule type="expression" dxfId="45" priority="45">
      <formula>IF(CD16&gt;CD17,1,0)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2">
      <formula>IF(CD48&lt;CD49,1,0)</formula>
    </cfRule>
    <cfRule type="expression" dxfId="39" priority="34">
      <formula>IF(CD48&gt;CD49,1,0)</formula>
    </cfRule>
  </conditionalFormatting>
  <conditionalFormatting sqref="BZ49">
    <cfRule type="expression" dxfId="38" priority="31">
      <formula>IF(CD48&lt;CD49,1,0)</formula>
    </cfRule>
    <cfRule type="expression" dxfId="37" priority="33">
      <formula>IF(CD48&gt;CD49,1,0)</formula>
    </cfRule>
  </conditionalFormatting>
  <conditionalFormatting sqref="BZ64">
    <cfRule type="expression" dxfId="36" priority="26">
      <formula>IF(CD64&lt;CD65,1,0)</formula>
    </cfRule>
    <cfRule type="expression" dxfId="35" priority="28">
      <formula>IF(CD64&gt;CD65,1,0)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4">
      <formula>IF(CK23&lt;CK24,1,0)</formula>
    </cfRule>
    <cfRule type="expression" dxfId="23" priority="16">
      <formula>IF(CK23&gt;CK24,1,0)</formula>
    </cfRule>
  </conditionalFormatting>
  <conditionalFormatting sqref="CG24">
    <cfRule type="expression" dxfId="22" priority="13">
      <formula>IF(CK23&lt;CK24,1,0)</formula>
    </cfRule>
    <cfRule type="expression" dxfId="21" priority="15">
      <formula>IF(CK23&gt;CK24,1,0)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19">
      <formula>IF(CK55&lt;CK56,1,0)</formula>
    </cfRule>
    <cfRule type="expression" dxfId="17" priority="21">
      <formula>IF(CK55&gt;CK56,1,0)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8">
      <formula>IF(CR37&lt;CR38,1,0)</formula>
    </cfRule>
    <cfRule type="expression" dxfId="11" priority="10">
      <formula>IF(CR37&gt;CR38,1,0)</formula>
    </cfRule>
  </conditionalFormatting>
  <conditionalFormatting sqref="CN38">
    <cfRule type="expression" dxfId="10" priority="7">
      <formula>IF(CR37&lt;CR38,1,0)</formula>
    </cfRule>
    <cfRule type="expression" dxfId="9" priority="9">
      <formula>IF(CR37&gt;CR38,1,0)</formula>
    </cfRule>
  </conditionalFormatting>
  <conditionalFormatting sqref="CN48">
    <cfRule type="expression" dxfId="8" priority="2">
      <formula>IF(CR48&lt;CR49,1,0)</formula>
    </cfRule>
    <cfRule type="expression" dxfId="7" priority="4">
      <formula>IF(CR48&gt;CR49,1,0)</formula>
    </cfRule>
  </conditionalFormatting>
  <conditionalFormatting sqref="CN49">
    <cfRule type="expression" dxfId="6" priority="1">
      <formula>IF(CR48&lt;CR49,1,0)</formula>
    </cfRule>
    <cfRule type="expression" dxfId="5" priority="3">
      <formula>IF(CR48&gt;CR49,1,0)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640625" defaultRowHeight="15" x14ac:dyDescent="0.2"/>
  <cols>
    <col min="1" max="1" width="2.5" style="82" customWidth="1"/>
    <col min="2" max="2" width="9.1640625" style="81"/>
    <col min="3" max="3" width="13.6640625" style="81" customWidth="1"/>
    <col min="4" max="11" width="9.5" style="81" customWidth="1"/>
    <col min="12" max="16384" width="9.1640625" style="82"/>
  </cols>
  <sheetData>
    <row r="1" spans="2:11" ht="8.25" customHeight="1" x14ac:dyDescent="0.2"/>
    <row r="2" spans="2:11" ht="21" x14ac:dyDescent="0.2">
      <c r="B2" s="108" t="s">
        <v>3193</v>
      </c>
    </row>
    <row r="3" spans="2:11" x14ac:dyDescent="0.2">
      <c r="B3" s="109">
        <f>MATCH(C3,C6:C500,0)</f>
        <v>194</v>
      </c>
      <c r="C3" s="121" t="str">
        <f>'2026 World Cup'!AR91</f>
        <v>ADEFGIJL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3J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Jana Blahak</cp:lastModifiedBy>
  <cp:revision/>
  <dcterms:created xsi:type="dcterms:W3CDTF">2017-12-27T19:32:51Z</dcterms:created>
  <dcterms:modified xsi:type="dcterms:W3CDTF">2026-06-10T07:21:54Z</dcterms:modified>
  <cp:category>Sports</cp:category>
  <cp:contentStatus/>
</cp:coreProperties>
</file>
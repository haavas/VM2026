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dagfinha_uio_no/Documents/"/>
    </mc:Choice>
  </mc:AlternateContent>
  <xr:revisionPtr revIDLastSave="210" documentId="8_{4A715496-27C1-4B1E-851D-5CA002F887F1}" xr6:coauthVersionLast="47" xr6:coauthVersionMax="47" xr10:uidLastSave="{5B24CFCF-02F0-431A-B18B-03FA4307A9F5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T43" i="3" s="1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30" i="3"/>
  <c r="S50" i="3"/>
  <c r="S76" i="3"/>
  <c r="S47" i="3"/>
  <c r="S67" i="3"/>
  <c r="T48" i="3"/>
  <c r="S72" i="3"/>
  <c r="T44" i="3"/>
  <c r="S70" i="3"/>
  <c r="S42" i="3"/>
  <c r="S64" i="3"/>
  <c r="T41" i="3"/>
  <c r="S40" i="3"/>
  <c r="S62" i="3"/>
  <c r="T61" i="3"/>
  <c r="T16" i="3"/>
  <c r="T39" i="3"/>
  <c r="S38" i="3"/>
  <c r="S65" i="3"/>
  <c r="S55" i="3"/>
  <c r="T56" i="3"/>
  <c r="T32" i="3"/>
  <c r="S57" i="3"/>
  <c r="T60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J75" i="3" l="1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S89" i="3" l="1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S90" i="3" l="1"/>
  <c r="T90" i="3" s="1" a="1"/>
  <c r="T90" i="3" s="1"/>
  <c r="BS36" i="3"/>
  <c r="K89" i="3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BS53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2" i="3"/>
  <c r="BS69" i="3"/>
  <c r="BZ65" i="3" s="1"/>
  <c r="CG56" i="3" s="1"/>
  <c r="CN38" i="3" s="1"/>
  <c r="BS68" i="3"/>
  <c r="BZ49" i="3" l="1"/>
  <c r="CG55" i="3" s="1"/>
  <c r="CN49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<sst xmlns="http://schemas.openxmlformats.org/spreadsheetml/2006/main" count="9786" uniqueCount="3698">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</sst>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BZ41" sqref="BZ41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9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87500009.857983366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7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0.28642915071428571</v>
      </c>
      <c r="AQ9" s="126">
        <f>VLOOKUP(AE9,db_fifarank,2,FALSE)</f>
        <v>1429.73</v>
      </c>
      <c r="AR9" s="125">
        <f>AP9/AP12</f>
        <v>3.2734756019536236E-9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50000005.572222903</v>
      </c>
      <c r="AQ10" s="126">
        <f>VLOOKUP(AE10,db_fifarank,2,FALSE)</f>
        <v>1588.66</v>
      </c>
      <c r="AR10" s="125">
        <f>AP10/AP12</f>
        <v>0.57142856420184063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6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62500006.572179265</v>
      </c>
      <c r="AQ11" s="126">
        <f>VLOOKUP(AE11,db_fifarank,2,FALSE)</f>
        <v>1501.38</v>
      </c>
      <c r="AR11" s="125">
        <f>AP11/AP12</f>
        <v>0.71428570075973719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2 - 7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3</v>
      </c>
      <c r="AN14" s="123">
        <f>AF14*3+AG14</f>
        <v>3</v>
      </c>
      <c r="AO14" s="123">
        <f>AN14/AN18*10+BA14</f>
        <v>3.75</v>
      </c>
      <c r="AP14" s="123">
        <f>AO14*10000000+BI14*100+AM14/AM18*10+AI14/AI18*1++IF(AQ14=0,ROW(),AQ14)/2000000</f>
        <v>37500003.762683004</v>
      </c>
      <c r="AQ14" s="126">
        <f>VLOOKUP(AE14,db_fifarank,2,FALSE)</f>
        <v>1556.48</v>
      </c>
      <c r="AR14" s="125">
        <f>AP14/AP18</f>
        <v>0.42857141893585698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2</v>
      </c>
      <c r="W15" s="123">
        <f t="shared" si="4"/>
        <v>2</v>
      </c>
      <c r="X15" s="123">
        <f t="shared" si="9"/>
        <v>1</v>
      </c>
      <c r="Y15" s="123">
        <f t="shared" si="10"/>
        <v>2</v>
      </c>
      <c r="Z15" s="123">
        <f t="shared" si="11"/>
        <v>2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5</v>
      </c>
      <c r="AN15" s="123">
        <f>AF15*3+AG15</f>
        <v>5</v>
      </c>
      <c r="AO15" s="123">
        <f>AN15/AN18*10+BA15</f>
        <v>6.25</v>
      </c>
      <c r="AP15" s="123">
        <f>AO15*10000000+BI15*100+AM15/AM18*10+AI15/AI18*1++IF(AQ15=0,ROW(),AQ15)/2000000</f>
        <v>62500006.127677046</v>
      </c>
      <c r="AQ15" s="126">
        <f>VLOOKUP(AE15,db_fifarank,2,FALSE)</f>
        <v>1385.84</v>
      </c>
      <c r="AR15" s="125">
        <f>AP15/AP18</f>
        <v>0.7142856965868708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12500000.143584624</v>
      </c>
      <c r="AQ16" s="126">
        <f>VLOOKUP(AE16,db_fifarank,2,FALSE)</f>
        <v>1454.96</v>
      </c>
      <c r="AR16" s="125">
        <f>AP16/AP18</f>
        <v>0.14285712695222386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>
        <v>1</v>
      </c>
      <c r="CC16" s="25"/>
      <c r="CD16" s="112">
        <f>IF(OR(CA16="",CA17="",AND(CB16="",CB17&lt;&gt;""),AND(CB17="",CB16&lt;&gt;""),AND(CC16="",CC17&lt;&gt;""),AND(CC17="",CC16&lt;&gt;"")),"",CA16*1000+CB16*10+CC16)</f>
        <v>2010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8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87500009.746856451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>
        <v>0</v>
      </c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-4</v>
      </c>
      <c r="AM18" s="123">
        <f>MAX(AM14:AM17)+1</f>
        <v>9</v>
      </c>
      <c r="AN18" s="123">
        <f>MAX(AN14:AN17)+1</f>
        <v>8</v>
      </c>
      <c r="AO18" s="123">
        <f>MAX(AO14:AO17)+1</f>
        <v>9.75</v>
      </c>
      <c r="AP18" s="123">
        <f>MAX(AP14:AP17)+1</f>
        <v>87500010.746856451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>
        <v>1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1015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20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90000010.424690112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60000008.219925553</v>
      </c>
      <c r="AQ21" s="126">
        <f>VLOOKUP(AE21,db_fifarank,2,FALSE)</f>
        <v>1755.87</v>
      </c>
      <c r="AR21" s="125">
        <f>AP21/AP24</f>
        <v>0.66666667337183783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12</v>
      </c>
      <c r="AL22" s="123">
        <f>AI22-AJ22</f>
        <v>-12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7.1761657557170003E-12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12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30000006.115034886</v>
      </c>
      <c r="AQ23" s="126">
        <f>VLOOKUP(AE23,db_fifarank,2,FALSE)</f>
        <v>1498.35</v>
      </c>
      <c r="AR23" s="125">
        <f>AP23/AP24</f>
        <v>0.33333335896449506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0 - 12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-12</v>
      </c>
      <c r="AM24" s="123">
        <f>MAX(AM20:AM23)+1</f>
        <v>21</v>
      </c>
      <c r="AN24" s="123">
        <f>MAX(AN20:AN23)+1</f>
        <v>10</v>
      </c>
      <c r="AO24" s="123">
        <f>MAX(AO20:AO23)+1</f>
        <v>10</v>
      </c>
      <c r="AP24" s="123">
        <f>MAX(AP20:AP23)+1</f>
        <v>90000011.424690112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7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97305932.885140777</v>
      </c>
      <c r="AQ26" s="126">
        <f>VLOOKUP(AE26,db_fifarank,2,FALSE)</f>
        <v>1673.13</v>
      </c>
      <c r="AR26" s="125">
        <f>AP26/AP30</f>
        <v>0.99999998972313442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3</v>
      </c>
      <c r="AL27" s="123">
        <f>AI27-AJ27</f>
        <v>-1</v>
      </c>
      <c r="AM27" s="123">
        <f>AL27-AL30</f>
        <v>3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37500004.084085084</v>
      </c>
      <c r="AQ27" s="126">
        <f>VLOOKUP(AE27,db_fifarank,2,FALSE)</f>
        <v>1503.5</v>
      </c>
      <c r="AR27" s="125">
        <f>AP27/AP30</f>
        <v>0.38538250019109643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4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8.1221665364509612E-12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1</v>
      </c>
      <c r="BU28" s="63">
        <v>1</v>
      </c>
      <c r="BV28" s="25">
        <v>3</v>
      </c>
      <c r="BW28" s="112">
        <f>IF(OR(BT28="",BT29="",AND(BU28="",BU29&lt;&gt;""),AND(BU29="",BU28&lt;&gt;""),AND(BV28="",BV29&lt;&gt;""),AND(BV29="",BV28&lt;&gt;"")),"",BT28*1000+BU28*10+BV28)</f>
        <v>1013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1</v>
      </c>
      <c r="AL29" s="123">
        <f>AI29-AJ29</f>
        <v>2</v>
      </c>
      <c r="AM29" s="123">
        <f>AL29-AL30</f>
        <v>6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97305931.301770404</v>
      </c>
      <c r="AQ29" s="126">
        <f>VLOOKUP(AE29,db_fifarank,2,FALSE)</f>
        <v>1599.04</v>
      </c>
      <c r="AR29" s="125">
        <f>AP29/AP30</f>
        <v>0.99999997345104996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1</v>
      </c>
      <c r="BU29" s="64">
        <v>1</v>
      </c>
      <c r="BV29" s="27">
        <v>5</v>
      </c>
      <c r="BW29" s="113">
        <f>IF(BW28="","",BT29*1000+BU29*10+BV29)</f>
        <v>1015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97305933.885140777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2</v>
      </c>
      <c r="AL32" s="123">
        <f>AI32-AJ32</f>
        <v>9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90000010.441341385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7.1924990856462505E-12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Korea Republic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5</v>
      </c>
      <c r="AL34" s="123">
        <f>AI34-AJ34</f>
        <v>0</v>
      </c>
      <c r="AM34" s="123">
        <f>AL34-AL36</f>
        <v>11</v>
      </c>
      <c r="AN34" s="123">
        <f>AF34*3+AG34</f>
        <v>4</v>
      </c>
      <c r="AO34" s="123">
        <f>AN34/AN36*10+BA34</f>
        <v>4.9806451612903224</v>
      </c>
      <c r="AP34" s="123">
        <f>AO34*10000000+BI34*100+AM34/AM36*10+AI34/AI36*1++IF(AQ34=0,ROW(),AQ34)/2000000</f>
        <v>49806555.332947746</v>
      </c>
      <c r="AQ34" s="126">
        <f>VLOOKUP(AE34,db_fifarank,2,FALSE)</f>
        <v>1532.98</v>
      </c>
      <c r="AR34" s="125">
        <f>AP34/AP36</f>
        <v>0.55340610001377366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50.666666666666664</v>
      </c>
      <c r="BA34" s="126">
        <f>AZ34/AZ36</f>
        <v>0.98064516129032253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50.666666666666664</v>
      </c>
      <c r="BI34" s="126">
        <f>BH34/BH36</f>
        <v>0.98064516129032253</v>
      </c>
      <c r="BK34" s="131">
        <v>81</v>
      </c>
      <c r="BL34" s="24" t="str">
        <f>AS26</f>
        <v>United States</v>
      </c>
      <c r="BM34" s="61">
        <v>1</v>
      </c>
      <c r="BN34" s="63">
        <v>0</v>
      </c>
      <c r="BO34" s="25">
        <v>3</v>
      </c>
      <c r="BP34" s="112">
        <f>IF(OR(BM34="",BM35="",AND(BN34="",BN35&lt;&gt;""),AND(BN35="",BN34&lt;&gt;""),AND(BO34="",BO35&lt;&gt;""),AND(BO35="",BO34&lt;&gt;"")),"",BM34*1000+BN34*10+BO34)</f>
        <v>1003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5 - 5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13</v>
      </c>
      <c r="AN35" s="123">
        <f>AF35*3+AG35</f>
        <v>4</v>
      </c>
      <c r="AO35" s="123">
        <f>AN35/AN36*10+BA35</f>
        <v>4.9806451612903224</v>
      </c>
      <c r="AP35" s="123">
        <f>AO35*10000000+BI35*100+AM35/AM36*10+AI35/AI36*1++IF(AQ35=0,ROW(),AQ35)/2000000</f>
        <v>49806556.368692935</v>
      </c>
      <c r="AQ35" s="126">
        <f>VLOOKUP(AE35,db_fifarank,2,FALSE)</f>
        <v>1594.78</v>
      </c>
      <c r="AR35" s="125">
        <f>AP35/AP36</f>
        <v>0.5534061115220521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50.666666666666664</v>
      </c>
      <c r="BA35" s="126">
        <f>AZ35/AZ36</f>
        <v>0.98064516129032253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50.666666666666664</v>
      </c>
      <c r="BI35" s="126">
        <f>BH35/BH36</f>
        <v>0.98064516129032253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>
        <v>0</v>
      </c>
      <c r="BO35" s="27">
        <v>5</v>
      </c>
      <c r="BP35" s="113">
        <f>IF(BP34="","",BM35*1000+BN35*10+BO35)</f>
        <v>1005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12</v>
      </c>
      <c r="AL36" s="123">
        <f>MIN(AL32:AL35)</f>
        <v>-11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90000011.441341385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Canada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Korea Republic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3</v>
      </c>
      <c r="AL38" s="123">
        <f>AI38-AJ38</f>
        <v>5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90000010.056434497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>
        <v>0</v>
      </c>
      <c r="BO38" s="25">
        <v>3</v>
      </c>
      <c r="BP38" s="116">
        <f>IF(OR(BM38="",BM39="",AND(BN38="",BN39&lt;&gt;""),AND(BN39="",BN38&lt;&gt;""),AND(BO38="",BO39&lt;&gt;""),AND(BO39="",BO38&lt;&gt;"")),"",BM38*1000+BN38*10+BO38)</f>
        <v>1003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60000007.223052435</v>
      </c>
      <c r="AQ39" s="126">
        <f>VLOOKUP(AE39,db_fifarank,2,FALSE)</f>
        <v>1660.43</v>
      </c>
      <c r="AR39" s="125">
        <f>AP39/AP42</f>
        <v>0.66666666502329019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>
        <v>0</v>
      </c>
      <c r="BO39" s="27">
        <v>4</v>
      </c>
      <c r="BP39" s="112">
        <f>IF(BP38="","",BM39*1000+BN39*10+BO39)</f>
        <v>1004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5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30000004.611868497</v>
      </c>
      <c r="AQ40" s="126">
        <f>VLOOKUP(AE40,db_fifarank,2,FALSE)</f>
        <v>1514.77</v>
      </c>
      <c r="AR40" s="125">
        <f>AP40/AP42</f>
        <v>0.33333334362655798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8.2391656544911612E-12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9</v>
      </c>
      <c r="AL42" s="123">
        <f>MIN(AL38:AL41)</f>
        <v>-6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90000011.056434497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4</v>
      </c>
      <c r="AL44" s="123">
        <f>AI44-AJ44</f>
        <v>2</v>
      </c>
      <c r="AM44" s="123">
        <f>AL44-AL48</f>
        <v>7</v>
      </c>
      <c r="AN44" s="123">
        <f>AF44*3+AG44</f>
        <v>7</v>
      </c>
      <c r="AO44" s="123">
        <f>AN44/AN48*10+BA44</f>
        <v>9.7306451612903224</v>
      </c>
      <c r="AP44" s="123">
        <f>AO44*10000000+BI44*100+AM44/AM48*10+AI44/AI48*1++IF(AQ44=0,ROW(),AQ44)/2000000</f>
        <v>97306557.535429552</v>
      </c>
      <c r="AQ44" s="126">
        <f>VLOOKUP(AE44,db_fifarank,2,FALSE)</f>
        <v>1734.71</v>
      </c>
      <c r="AR44" s="125">
        <f>AP44/AP48</f>
        <v>0.99999996917048284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50.666666666666664</v>
      </c>
      <c r="BA44" s="126">
        <f>AZ44/AZ48</f>
        <v>0.98064516129032253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50.666666666666664</v>
      </c>
      <c r="BI44" s="126">
        <f>BH44/BH48</f>
        <v>0.98064516129032253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2</v>
      </c>
      <c r="AL45" s="123">
        <f>AI45-AJ45</f>
        <v>4</v>
      </c>
      <c r="AM45" s="123">
        <f>AL45-AL48</f>
        <v>9</v>
      </c>
      <c r="AN45" s="123">
        <f>AF45*3+AG45</f>
        <v>7</v>
      </c>
      <c r="AO45" s="123">
        <f>AN45/AN48*10+BA45</f>
        <v>9.7306451612903224</v>
      </c>
      <c r="AP45" s="123">
        <f>AO45*10000000+BI45*100+AM45/AM48*10+AI45/AI48*1++IF(AQ45=0,ROW(),AQ45)/2000000</f>
        <v>97306559.535343826</v>
      </c>
      <c r="AQ45" s="126">
        <f>VLOOKUP(AE45,db_fifarank,2,FALSE)</f>
        <v>1563.24</v>
      </c>
      <c r="AR45" s="125">
        <f>AP45/AP48</f>
        <v>0.99999998972320059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50.666666666666664</v>
      </c>
      <c r="BA45" s="126">
        <f>AZ45/AZ48</f>
        <v>0.98064516129032253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6 - 4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4</v>
      </c>
      <c r="AL46" s="123">
        <f>AI46-AJ46</f>
        <v>-1</v>
      </c>
      <c r="AM46" s="123">
        <f>AL46-AL48</f>
        <v>4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37500004.429379076</v>
      </c>
      <c r="AQ46" s="126">
        <f>VLOOKUP(AE46,db_fifarank,2,FALSE)</f>
        <v>1615.3</v>
      </c>
      <c r="AR46" s="125">
        <f>AP46/AP48</f>
        <v>0.38538002189233966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2</v>
      </c>
      <c r="BN46" s="63">
        <v>0</v>
      </c>
      <c r="BO46" s="25">
        <v>3</v>
      </c>
      <c r="BP46" s="116">
        <f>IF(OR(BM46="",BM47="",AND(BN46="",BN47&lt;&gt;""),AND(BN47="",BN46&lt;&gt;""),AND(BO46="",BO47&lt;&gt;""),AND(BO47="",BO46&lt;&gt;"")),"",BM46*1000+BN46*10+BO46)</f>
        <v>2003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1.4746994145890228E-9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2</v>
      </c>
      <c r="BN47" s="64">
        <v>0</v>
      </c>
      <c r="BO47" s="27">
        <v>4</v>
      </c>
      <c r="BP47" s="112">
        <f>IF(BP46="","",BM47*1000+BN47*10+BO47)</f>
        <v>2004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10</v>
      </c>
      <c r="AN48" s="123">
        <f>MAX(AN44:AN47)+1</f>
        <v>8</v>
      </c>
      <c r="AO48" s="123">
        <f>MAX(AO44:AO47)+1</f>
        <v>10.730645161290322</v>
      </c>
      <c r="AP48" s="123">
        <f>MAX(AP44:AP47)+1</f>
        <v>97306560.535343826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3</v>
      </c>
      <c r="CC48" s="25"/>
      <c r="CD48" s="112">
        <f>IF(OR(CA48="",CA49="",AND(CB48="",CB49&lt;&gt;""),AND(CB49="",CB48&lt;&gt;""),AND(CC48="",CC49&lt;&gt;""),AND(CC49="",CC48&lt;&gt;"")),"",CA48*1000+CB48*10+CC48)</f>
        <v>1030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Norway</v>
      </c>
      <c r="CA49" s="62">
        <v>1</v>
      </c>
      <c r="CB49" s="64">
        <v>2</v>
      </c>
      <c r="CC49" s="27"/>
      <c r="CD49" s="113">
        <f>IF(CD48="","",CA49*1000+CB49*10+CC49)</f>
        <v>1020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1</v>
      </c>
      <c r="AL50" s="123">
        <f>AI50-AJ50</f>
        <v>10</v>
      </c>
      <c r="AM50" s="123">
        <f>AL50-AL54</f>
        <v>18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90000010.391289085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10</v>
      </c>
      <c r="AL51" s="123">
        <f>AI51-AJ51</f>
        <v>-8</v>
      </c>
      <c r="AM51" s="123">
        <f>AL51-AL54</f>
        <v>0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30000000.167349733</v>
      </c>
      <c r="AQ51" s="126">
        <f>VLOOKUP(AE51,db_fifarank,2,FALSE)</f>
        <v>1366.13</v>
      </c>
      <c r="AR51" s="125">
        <f>AP51/AP54</f>
        <v>0.33333329300282033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8</v>
      </c>
      <c r="AL52" s="123">
        <f>AI52-AJ52</f>
        <v>-7</v>
      </c>
      <c r="AM52" s="123">
        <f>AL52-AL54</f>
        <v>1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0.61035983780701752</v>
      </c>
      <c r="AQ52" s="126">
        <f>VLOOKUP(AE52,db_fifarank,2,FALSE)</f>
        <v>1421.43</v>
      </c>
      <c r="AR52" s="125">
        <f>AP52/AP54</f>
        <v>6.7817751172650736E-9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2 - 10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2</v>
      </c>
      <c r="AL53" s="123">
        <f>AI53-AJ53</f>
        <v>5</v>
      </c>
      <c r="AM53" s="123">
        <f>AL53-AL54</f>
        <v>13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60000007.426275134</v>
      </c>
      <c r="AQ53" s="126">
        <f>VLOOKUP(AE53,db_fifarank,2,FALSE)</f>
        <v>1673.07</v>
      </c>
      <c r="AR53" s="125">
        <f>AP53/AP54</f>
        <v>0.66666666480091596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Norway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-8</v>
      </c>
      <c r="AM54" s="123">
        <f>MAX(AM50:AM53)+1</f>
        <v>19</v>
      </c>
      <c r="AN54" s="123">
        <f>MAX(AN50:AN53)+1</f>
        <v>10</v>
      </c>
      <c r="AO54" s="123">
        <f>MAX(AO50:AO53)+1</f>
        <v>10</v>
      </c>
      <c r="AP54" s="123">
        <f>MAX(AP50:AP53)+1</f>
        <v>90000011.391289085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0</v>
      </c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16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87500010.312703371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>
        <v>1</v>
      </c>
      <c r="CJ56" s="27"/>
      <c r="CK56" s="112">
        <f>IF(CK55="","",CH56*1000+CI56*10+CJ56)</f>
        <v>2010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12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62500007.559668019</v>
      </c>
      <c r="AQ57" s="126">
        <f>VLOOKUP(AE57,db_fifarank,2,FALSE)</f>
        <v>1688.99</v>
      </c>
      <c r="AR57" s="125">
        <f>AP57/AP60</f>
        <v>0.71428570833332206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5 - 3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10</v>
      </c>
      <c r="AL58" s="123">
        <f>AI58-AJ58</f>
        <v>-10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8.2693703594407554E-12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12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50000007.659598999</v>
      </c>
      <c r="AQ59" s="126">
        <f>VLOOKUP(AE59,db_fifarank,2,FALSE)</f>
        <v>1550.94</v>
      </c>
      <c r="AR59" s="125">
        <f>AP59/AP60</f>
        <v>0.57142858508796479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10</v>
      </c>
      <c r="AL60" s="123">
        <f>MIN(AL56:AL59)</f>
        <v>-10</v>
      </c>
      <c r="AM60" s="123">
        <f>MAX(AM56:AM59)+1</f>
        <v>17</v>
      </c>
      <c r="AN60" s="123">
        <f>MAX(AN56:AN59)+1</f>
        <v>8</v>
      </c>
      <c r="AO60" s="123">
        <f>MAX(AO56:AO59)+1</f>
        <v>9.75</v>
      </c>
      <c r="AP60" s="123">
        <f>MAX(AP56:AP59)+1</f>
        <v>87500011.312703371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0</v>
      </c>
      <c r="AL62" s="123">
        <f>AI62-AJ62</f>
        <v>5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90000010.000937417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30000003.500782128</v>
      </c>
      <c r="AQ63" s="126">
        <f>VLOOKUP(AE63,db_fifarank,2,FALSE)</f>
        <v>1564.26</v>
      </c>
      <c r="AR63" s="125">
        <f>AP63/AP66</f>
        <v>0.33333333148670014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4 - 1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1</v>
      </c>
      <c r="AL64" s="123">
        <f>AI64-AJ64</f>
        <v>3</v>
      </c>
      <c r="AM64" s="123">
        <f>AL64-AL66</f>
        <v>9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60000008.167463392</v>
      </c>
      <c r="AQ64" s="126">
        <f>VLOOKUP(AE64,db_fifarank,2,FALSE)</f>
        <v>1593.45</v>
      </c>
      <c r="AR64" s="125">
        <f>AP64/AP66</f>
        <v>0.66666667592783346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0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2003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7.7302768328856479E-12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0</v>
      </c>
      <c r="CC65" s="27">
        <v>4</v>
      </c>
      <c r="CD65" s="112">
        <f>IF(CD64="","",CA65*1000+CB65*10+CC65)</f>
        <v>2004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6</v>
      </c>
      <c r="AL66" s="123">
        <f>MIN(AL62:AL65)</f>
        <v>-6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90000011.000937417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>
        <v>0</v>
      </c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30000000.091648266</v>
      </c>
      <c r="AQ69" s="126">
        <f>VLOOKUP(AE69,db_fifarank,2,FALSE)</f>
        <v>1478.35</v>
      </c>
      <c r="AR69" s="125">
        <f>AP69/AP72</f>
        <v>0.33333329255545691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>
        <v>2</v>
      </c>
      <c r="BV69" s="27"/>
      <c r="BW69" s="112">
        <f>IF(BW68="","",BT69*1000+BU69*10+BV69)</f>
        <v>1020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8.140776757017283E-12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2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60000006.080391996</v>
      </c>
      <c r="AQ71" s="126">
        <f>VLOOKUP(AE71,db_fifarank,2,FALSE)</f>
        <v>1693.09</v>
      </c>
      <c r="AR71" s="125">
        <f>AP71/AP72</f>
        <v>0.66666665063418851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10</v>
      </c>
      <c r="AN74" s="123">
        <f>AF74*3+AG74</f>
        <v>6</v>
      </c>
      <c r="AO74" s="123">
        <f>AN74/AN78*10+BA74</f>
        <v>7.5</v>
      </c>
      <c r="AP74" s="123">
        <f>AO74*10000000+BI74*100+AM74/AM78*10+AI74/AI78*1++IF(AQ74=0,ROW(),AQ74)/2000000</f>
        <v>75000009.948964924</v>
      </c>
      <c r="AQ74" s="126">
        <f>VLOOKUP(AE74,db_fifarank,2,FALSE)</f>
        <v>1825.97</v>
      </c>
      <c r="AR74" s="125">
        <f>AP74/AP78</f>
        <v>0.85714288420027196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8</v>
      </c>
      <c r="AN75" s="123">
        <f>AF75*3+AG75</f>
        <v>7</v>
      </c>
      <c r="AO75" s="123">
        <f>AN75/AN78*10+BA75</f>
        <v>8.75</v>
      </c>
      <c r="AP75" s="123">
        <f>AO75*10000000+BI75*100+AM75/AM78*10+AI75/AI78*1++IF(AQ75=0,ROW(),AQ75)/2000000</f>
        <v>87500007.845014364</v>
      </c>
      <c r="AQ75" s="126">
        <f>VLOOKUP(AE75,db_fifarank,2,FALSE)</f>
        <v>1717.07</v>
      </c>
      <c r="AR75" s="125">
        <f>AP75/AP78</f>
        <v>0.99999998857142969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6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50000005.883790031</v>
      </c>
      <c r="AQ76" s="126">
        <f>VLOOKUP(AE76,db_fifarank,2,FALSE)</f>
        <v>1346.31</v>
      </c>
      <c r="AR76" s="125">
        <f>AP76/AP78</f>
        <v>0.571428580908526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3 - 3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8.8036562529318176E-12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11</v>
      </c>
      <c r="AN78" s="123">
        <f>MAX(AN74:AN77)+1</f>
        <v>8</v>
      </c>
      <c r="AO78" s="123">
        <f>MAX(AO74:AO77)+1</f>
        <v>9.75</v>
      </c>
      <c r="AP78" s="123">
        <f>MAX(AP74:AP77)+1</f>
        <v>87500008.845014364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8</v>
      </c>
      <c r="AN80" s="123">
        <f>VLOOKUP($AE80,$AE$8:$AQ$78,10,FALSE)</f>
        <v>4</v>
      </c>
      <c r="AP80" s="123">
        <f>AN80/AN92*10000+AM80/AM92*1000+AI80/AI92*100+IF(AQ80=0,ROW(),AQ80)/2000000</f>
        <v>8784.4163787455855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6 - 4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7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6679.221557460779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8</v>
      </c>
      <c r="AN82" s="123">
        <f t="shared" si="45"/>
        <v>3</v>
      </c>
      <c r="AP82" s="123">
        <f>AN82/AN92*10000+AM82/AM92*1000+AI82/AI92*100+IF(AQ82=0,ROW(),AQ82)/2000000</f>
        <v>6784.4163335905841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9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7</v>
      </c>
      <c r="AN83" s="123">
        <f t="shared" si="45"/>
        <v>3</v>
      </c>
      <c r="AP83" s="123">
        <f>AN83/AN92*10000+AM83/AM92*1000+AI83/AI92*100+IF(AQ83=0,ROW(),AQ83)/2000000</f>
        <v>6664.9358166850643</v>
      </c>
      <c r="AQ83" s="126">
        <f t="shared" si="37"/>
        <v>1503.5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3 - 3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8</v>
      </c>
      <c r="AN84" s="123">
        <f t="shared" si="45"/>
        <v>4</v>
      </c>
      <c r="AP84" s="123">
        <f>AN84/AN92*10000+AM84/AM92*1000+AI84/AI92*100+IF(AQ84=0,ROW(),AQ84)/2000000</f>
        <v>8798.702065191299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7</v>
      </c>
      <c r="AN85" s="123">
        <f t="shared" si="45"/>
        <v>3</v>
      </c>
      <c r="AP85" s="123">
        <f>AN85/AN92*10000+AM85/AM92*1000+AI85/AI92*100+IF(AQ85=0,ROW(),AQ85)/2000000</f>
        <v>6693.5072508914927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7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7</v>
      </c>
      <c r="AN86" s="123">
        <f t="shared" si="45"/>
        <v>3</v>
      </c>
      <c r="AP86" s="123">
        <f>AN86/AN92*10000+AM86/AM92*1000+AI86/AI92*100+IF(AQ86=0,ROW(),AQ86)/2000000</f>
        <v>6679.221586870779</v>
      </c>
      <c r="AQ86" s="126">
        <f t="shared" si="37"/>
        <v>1615.3</v>
      </c>
      <c r="AR86" s="125" t="str">
        <f t="shared" si="50"/>
        <v>ABCEFG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Iran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10</v>
      </c>
      <c r="AK87" s="123" t="s">
        <v>3188</v>
      </c>
      <c r="AL87" s="123">
        <f t="shared" si="43"/>
        <v>-8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6028.5721116364284</v>
      </c>
      <c r="AQ87" s="126">
        <f t="shared" si="37"/>
        <v>1366.13</v>
      </c>
      <c r="AR87" s="125" t="str">
        <f t="shared" si="50"/>
        <v>ABCEFG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Canada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4</v>
      </c>
      <c r="AK88" s="123" t="s">
        <v>3189</v>
      </c>
      <c r="AL88" s="123">
        <f t="shared" si="43"/>
        <v>2</v>
      </c>
      <c r="AM88" s="123">
        <f t="shared" si="44"/>
        <v>10</v>
      </c>
      <c r="AN88" s="123">
        <f t="shared" si="45"/>
        <v>4</v>
      </c>
      <c r="AP88" s="123">
        <f>AN88/AN92*10000+AM88/AM92*1000+AI88/AI92*100+IF(AQ88=0,ROW(),AQ88)/2000000</f>
        <v>8994.8059702751943</v>
      </c>
      <c r="AQ88" s="126">
        <f t="shared" si="37"/>
        <v>1550.94</v>
      </c>
      <c r="AR88" s="125" t="str">
        <f t="shared" si="50"/>
        <v>ABCEFGI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2 - 3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6</v>
      </c>
      <c r="AN89" s="123">
        <f t="shared" si="45"/>
        <v>3</v>
      </c>
      <c r="AP89" s="123">
        <f>AN89/AN92*10000+AM89/AM92*1000+AI89/AI92*100+IF(AQ89=0,ROW(),AQ89)/2000000</f>
        <v>6559.7410418702593</v>
      </c>
      <c r="AQ89" s="126">
        <f t="shared" si="37"/>
        <v>1564.26</v>
      </c>
      <c r="AR89" s="125" t="str">
        <f t="shared" si="50"/>
        <v>ABCEFGI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Canada</v>
      </c>
      <c r="T90" s="127" t="str" cm="1">
        <f t="array" ref="T90">IF(OR(S90="",S90="draw"),INDEX(T,92,lang),S90)</f>
        <v>Canada</v>
      </c>
      <c r="AD90" s="123">
        <f t="shared" si="38"/>
        <v>11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3191</v>
      </c>
      <c r="AL90" s="123">
        <f t="shared" si="43"/>
        <v>-6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6196.1046352788962</v>
      </c>
      <c r="AQ90" s="126">
        <f t="shared" si="37"/>
        <v>1478.35</v>
      </c>
      <c r="AR90" s="125" t="str">
        <f t="shared" si="50"/>
        <v>ABCEFGI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1 - 7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8</v>
      </c>
      <c r="AN91" s="123">
        <f>VLOOKUP($AE91,$AE$8:$AQ$78,10,FALSE)</f>
        <v>4</v>
      </c>
      <c r="AP91" s="123">
        <f>AN91/AN92*10000+AM91/AM92*1000+AI91/AI92*100+IF(AQ91=0,ROW(),AQ91)/2000000</f>
        <v>8770.1305432848712</v>
      </c>
      <c r="AQ91" s="126">
        <f t="shared" si="37"/>
        <v>1346.31</v>
      </c>
      <c r="AR91" s="125" t="str">
        <f t="shared" si="50"/>
        <v>ABCEFGIL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2 - 10</v>
      </c>
      <c r="P92" s="107">
        <f t="shared" si="48"/>
        <v>3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11</v>
      </c>
      <c r="AL92" s="123">
        <f>MIN(AL80:AL91)</f>
        <v>-8</v>
      </c>
      <c r="AM92" s="123">
        <f>MAX(AM80:AM91)+1</f>
        <v>11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Korea Republic</v>
      </c>
      <c r="T98" s="127" t="str" cm="1">
        <f t="array" ref="T98">IF(OR(S98="",S98="draw"),INDEX(T,97,lang),S98)</f>
        <v>Korea Republic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Korea Republic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Korea Republic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419</v>
      </c>
      <c r="C3" s="121" t="str">
        <f>'2026 World Cup'!AR91</f>
        <v>ABCEFGIL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Dagfinn Hagen</cp:lastModifiedBy>
  <cp:revision/>
  <dcterms:created xsi:type="dcterms:W3CDTF">2017-12-27T19:32:51Z</dcterms:created>
  <dcterms:modified xsi:type="dcterms:W3CDTF">2026-06-09T11:32:00Z</dcterms:modified>
  <cp:category>Sports</cp:category>
  <cp:contentStatus/>
</cp:coreProperties>
</file>
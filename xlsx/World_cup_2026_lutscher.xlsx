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iplu/Downloads/"/>
    </mc:Choice>
  </mc:AlternateContent>
  <xr:revisionPtr revIDLastSave="0" documentId="8_{D162E414-E861-214C-AA44-C25F6E316746}" xr6:coauthVersionLast="47" xr6:coauthVersionMax="47" xr10:uidLastSave="{00000000-0000-0000-0000-000000000000}"/>
  <bookViews>
    <workbookView xWindow="800" yWindow="660" windowWidth="25180" windowHeight="16880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9" i="3"/>
  <c r="T107" i="3"/>
  <c r="J80" i="3"/>
  <c r="BP11" i="3" l="1"/>
  <c r="CR38" i="3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9" i="3" a="1"/>
  <c r="T89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S28" i="3"/>
  <c r="T28" i="3" s="1"/>
  <c r="S51" i="3"/>
  <c r="S30" i="3"/>
  <c r="T30" i="3" s="1"/>
  <c r="S78" i="3"/>
  <c r="S26" i="3"/>
  <c r="T26" i="3" s="1"/>
  <c r="S75" i="3"/>
  <c r="S25" i="3"/>
  <c r="T25" i="3" s="1"/>
  <c r="S49" i="3"/>
  <c r="S68" i="3"/>
  <c r="S23" i="3"/>
  <c r="T23" i="3" s="1"/>
  <c r="S48" i="3"/>
  <c r="S43" i="3"/>
  <c r="S19" i="3"/>
  <c r="T19" i="3" s="1"/>
  <c r="S20" i="3"/>
  <c r="T20" i="3" s="1"/>
  <c r="S44" i="3"/>
  <c r="S46" i="3"/>
  <c r="S21" i="3"/>
  <c r="T21" i="3" s="1"/>
  <c r="S45" i="3"/>
  <c r="S18" i="3"/>
  <c r="T18" i="3" s="1"/>
  <c r="S63" i="3"/>
  <c r="S17" i="3"/>
  <c r="T17" i="3" s="1"/>
  <c r="S41" i="3"/>
  <c r="S15" i="3"/>
  <c r="T15" i="3" s="1"/>
  <c r="S61" i="3"/>
  <c r="S16" i="3"/>
  <c r="S39" i="3"/>
  <c r="S66" i="3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S29" i="3"/>
  <c r="T29" i="3" s="1"/>
  <c r="S53" i="3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78" i="3" l="1"/>
  <c r="T75" i="3"/>
  <c r="T74" i="3"/>
  <c r="T68" i="3"/>
  <c r="T66" i="3"/>
  <c r="T63" i="3"/>
  <c r="T61" i="3"/>
  <c r="T60" i="3"/>
  <c r="T56" i="3"/>
  <c r="T53" i="3"/>
  <c r="T51" i="3"/>
  <c r="T49" i="3"/>
  <c r="T48" i="3"/>
  <c r="T46" i="3"/>
  <c r="T45" i="3"/>
  <c r="T44" i="3"/>
  <c r="T43" i="3"/>
  <c r="T41" i="3"/>
  <c r="T39" i="3"/>
  <c r="T34" i="3"/>
  <c r="T16" i="3"/>
  <c r="T12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l="1"/>
  <c r="U102" i="3" s="1"/>
  <c r="AC102" i="3" s="1" a="1"/>
  <c r="AC102" i="3" s="1"/>
  <c r="S96" i="3"/>
  <c r="T96" i="3" s="1" a="1"/>
  <c r="T96" i="3" s="1"/>
  <c r="AF77" i="3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7" i="3" l="1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7" i="3" l="1"/>
  <c r="AP57" i="3" s="1"/>
  <c r="BI59" i="3"/>
  <c r="AP59" i="3" s="1"/>
  <c r="BI58" i="3"/>
  <c r="AP58" i="3" s="1"/>
  <c r="BI20" i="3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R57" i="3" s="1"/>
  <c r="AP12" i="3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P42" i="3"/>
  <c r="AR38" i="3" s="1"/>
  <c r="AP66" i="3"/>
  <c r="AR62" i="3" s="1"/>
  <c r="AP48" i="3"/>
  <c r="AR44" i="3" s="1"/>
  <c r="AP18" i="3"/>
  <c r="AR14" i="3" s="1"/>
  <c r="AP54" i="3"/>
  <c r="AR50" i="3" s="1"/>
  <c r="AR59" i="3" l="1"/>
  <c r="AR58" i="3"/>
  <c r="AR56" i="3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58" i="3" l="1"/>
  <c r="AD59" i="3"/>
  <c r="AD56" i="3"/>
  <c r="AD11" i="3"/>
  <c r="AD9" i="3"/>
  <c r="AD8" i="3"/>
  <c r="AD10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AD35" i="3"/>
  <c r="AD63" i="3"/>
  <c r="AD53" i="3"/>
  <c r="AD44" i="3"/>
  <c r="AD22" i="3"/>
  <c r="AD41" i="3"/>
  <c r="AD62" i="3"/>
  <c r="AD21" i="3"/>
  <c r="AD47" i="3"/>
  <c r="AD39" i="3"/>
  <c r="AD64" i="3"/>
  <c r="AD16" i="3"/>
  <c r="AD46" i="3"/>
  <c r="AD23" i="3"/>
  <c r="AD65" i="3"/>
  <c r="AD51" i="3"/>
  <c r="AD45" i="3"/>
  <c r="AD40" i="3"/>
  <c r="AD52" i="3"/>
  <c r="AD38" i="3"/>
  <c r="N39" i="3" s="1"/>
  <c r="AD50" i="3"/>
  <c r="AD17" i="3"/>
  <c r="O69" i="3" l="1"/>
  <c r="L60" i="3"/>
  <c r="M60" i="3"/>
  <c r="L58" i="3"/>
  <c r="J57" i="3"/>
  <c r="AS56" i="3" s="1"/>
  <c r="BL14" i="3" s="1"/>
  <c r="J59" i="3"/>
  <c r="AE88" i="3" s="1"/>
  <c r="AQ88" i="3" s="1"/>
  <c r="N58" i="3"/>
  <c r="M58" i="3"/>
  <c r="O60" i="3"/>
  <c r="M59" i="3"/>
  <c r="L59" i="3"/>
  <c r="L57" i="3"/>
  <c r="O57" i="3"/>
  <c r="N60" i="3"/>
  <c r="M57" i="3"/>
  <c r="O58" i="3"/>
  <c r="N57" i="3"/>
  <c r="J60" i="3"/>
  <c r="J58" i="3"/>
  <c r="AS57" i="3" s="1"/>
  <c r="BL47" i="3" s="1"/>
  <c r="O59" i="3"/>
  <c r="N59" i="3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M76" i="3"/>
  <c r="M18" i="3"/>
  <c r="M77" i="3"/>
  <c r="J78" i="3"/>
  <c r="O77" i="3"/>
  <c r="N76" i="3"/>
  <c r="O78" i="3"/>
  <c r="N18" i="3"/>
  <c r="L78" i="3"/>
  <c r="N77" i="3"/>
  <c r="N78" i="3"/>
  <c r="L17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BS44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N35" i="3"/>
  <c r="M35" i="3"/>
  <c r="J36" i="3"/>
  <c r="O28" i="3"/>
  <c r="N27" i="3"/>
  <c r="N66" i="3"/>
  <c r="L24" i="3"/>
  <c r="O39" i="3"/>
  <c r="J39" i="3"/>
  <c r="AS38" i="3" s="1"/>
  <c r="BL22" i="3" s="1"/>
  <c r="O36" i="3"/>
  <c r="N28" i="3"/>
  <c r="O29" i="3"/>
  <c r="N46" i="3"/>
  <c r="M47" i="3"/>
  <c r="N17" i="3"/>
  <c r="L47" i="3"/>
  <c r="N65" i="3"/>
  <c r="L63" i="3"/>
  <c r="L45" i="3"/>
  <c r="J45" i="3"/>
  <c r="AS44" i="3" s="1"/>
  <c r="BL38" i="3" s="1"/>
  <c r="O17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N53" i="3"/>
  <c r="M41" i="3"/>
  <c r="M65" i="3"/>
  <c r="J47" i="3"/>
  <c r="AE86" i="3" s="1"/>
  <c r="AQ86" i="3" s="1"/>
  <c r="O66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N15" i="3"/>
  <c r="N42" i="3"/>
  <c r="M15" i="3"/>
  <c r="O15" i="3"/>
  <c r="J15" i="3"/>
  <c r="AS14" i="3" s="1"/>
  <c r="BL66" i="3" s="1"/>
  <c r="BS45" i="3" l="1"/>
  <c r="BZ48" i="3" s="1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7" i="3"/>
  <c r="T87" i="3" s="1" a="1"/>
  <c r="T87" i="3" s="1"/>
  <c r="BS29" i="3"/>
  <c r="S88" i="3"/>
  <c r="T88" i="3" s="1" a="1"/>
  <c r="T88" i="3" s="1"/>
  <c r="BS20" i="3"/>
  <c r="AT88" i="3"/>
  <c r="P59" i="3"/>
  <c r="AJ88" i="3"/>
  <c r="AI88" i="3"/>
  <c r="AG88" i="3"/>
  <c r="AH88" i="3"/>
  <c r="P58" i="3"/>
  <c r="K58" i="3"/>
  <c r="AL88" i="3"/>
  <c r="AN88" i="3"/>
  <c r="K57" i="3"/>
  <c r="AF88" i="3"/>
  <c r="P57" i="3"/>
  <c r="P60" i="3"/>
  <c r="K60" i="3"/>
  <c r="K59" i="3"/>
  <c r="AF91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CN48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K68" i="3" s="1"/>
  <c r="S111" i="3"/>
  <c r="T111" i="3" s="1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G3" i="4"/>
  <c r="BL11" i="3" s="1"/>
  <c r="H3" i="4"/>
  <c r="BL39" i="3" s="1"/>
  <c r="B3" i="4"/>
  <c r="I3" i="4"/>
  <c r="BL15" i="3" s="1"/>
  <c r="K3" i="4"/>
  <c r="E3" i="4"/>
  <c r="D3" i="4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S69" i="3"/>
  <c r="BS68" i="3"/>
  <c r="BZ65" i="3" s="1"/>
  <c r="CG56" i="3" s="1"/>
  <c r="CN49" i="3" s="1"/>
  <c r="BZ49" i="3" l="1"/>
  <c r="CG55" i="3" s="1"/>
  <c r="CN38" i="3" s="1"/>
  <c r="BL55" i="3"/>
  <c r="BL51" i="3"/>
  <c r="BL71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<sst xmlns="http://schemas.openxmlformats.org/spreadsheetml/2006/main" count="9786" uniqueCount="3698">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</sst>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5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0" fillId="0" borderId="0" xfId="0" applyAlignment="1" applyProtection="1">
      <alignment vertical="center"/>
      <protection locked="0" hidden="1"/>
    </xf>
  </cellXfs>
  <cellStyles count="3">
    <cellStyle name="Hyperlink" xfId="1" builtinId="8"/>
    <cellStyle name="Normal" xfId="0" builtinId="0"/>
    <cellStyle name="Note" xfId="2" builtinId="10"/>
  </cellStyles>
  <dxfs count="228">
    <dxf>
      <font>
        <b/>
        <i val="0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"/>
  <cols>
    <col min="1" max="1" width="24.1640625" bestFit="1" customWidth="1"/>
    <col min="2" max="42" width="14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640625" defaultRowHeight="15" x14ac:dyDescent="0.2"/>
  <cols>
    <col min="1" max="1" width="1.1640625" style="10" customWidth="1"/>
    <col min="2" max="2" width="18.83203125" style="10" bestFit="1" customWidth="1"/>
    <col min="3" max="3" width="20.33203125" style="10" customWidth="1"/>
    <col min="4" max="4" width="9.1640625" style="10"/>
    <col min="5" max="5" width="1.1640625" style="10" customWidth="1"/>
    <col min="6" max="6" width="9.1640625" style="10"/>
    <col min="7" max="7" width="27.5" style="10" bestFit="1" customWidth="1"/>
    <col min="8" max="8" width="2.6640625" style="10" customWidth="1"/>
    <col min="9" max="9" width="1.1640625" style="10" customWidth="1"/>
    <col min="10" max="16384" width="9.1640625" style="10"/>
  </cols>
  <sheetData>
    <row r="1" spans="2:27" ht="7.5" customHeight="1" x14ac:dyDescent="0.2"/>
    <row r="2" spans="2:27" ht="17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6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41" zoomScaleNormal="100" workbookViewId="0">
      <selection activeCell="L96" sqref="L96"/>
    </sheetView>
  </sheetViews>
  <sheetFormatPr baseColWidth="10" defaultColWidth="9.1640625" defaultRowHeight="15" x14ac:dyDescent="0.2"/>
  <cols>
    <col min="1" max="1" width="4.83203125" style="3" customWidth="1"/>
    <col min="2" max="2" width="6.1640625" style="3" customWidth="1"/>
    <col min="3" max="3" width="11.6640625" style="3" bestFit="1" customWidth="1"/>
    <col min="4" max="4" width="9" style="4" customWidth="1"/>
    <col min="5" max="5" width="22.5" style="5" customWidth="1"/>
    <col min="6" max="7" width="4.33203125" style="6" customWidth="1"/>
    <col min="8" max="8" width="22.5" style="7" customWidth="1"/>
    <col min="9" max="9" width="3.5" style="2" customWidth="1"/>
    <col min="10" max="10" width="19.5" style="8" customWidth="1"/>
    <col min="11" max="14" width="5.5" style="9" customWidth="1"/>
    <col min="15" max="15" width="7.6640625" style="9" customWidth="1"/>
    <col min="16" max="16" width="6.6640625" style="9" customWidth="1"/>
    <col min="17" max="17" width="3.5" style="68" customWidth="1"/>
    <col min="18" max="18" width="15.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5" style="123" hidden="1" customWidth="1"/>
    <col min="31" max="31" width="13.5" style="124" hidden="1" customWidth="1"/>
    <col min="32" max="36" width="5.5" style="123" hidden="1" customWidth="1"/>
    <col min="37" max="39" width="6" style="123" hidden="1" customWidth="1"/>
    <col min="40" max="40" width="5.5" style="123" hidden="1" customWidth="1"/>
    <col min="41" max="42" width="6" style="123" hidden="1" customWidth="1"/>
    <col min="43" max="43" width="7.164062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640625" style="125" hidden="1" customWidth="1"/>
    <col min="52" max="61" width="9.1640625" style="126" hidden="1" customWidth="1"/>
    <col min="62" max="62" width="9.164062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320312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640625" style="2"/>
  </cols>
  <sheetData>
    <row r="1" spans="1:95" ht="47" x14ac:dyDescent="0.2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0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Mexico_draw</v>
      </c>
      <c r="T7" s="127" t="str">
        <f t="shared" ref="T7:T46" si="2">IF(S7="","",IF(F7&lt;G7,H7&amp;"_win",IF(F7&gt;G7,H7&amp;"_lose",H7&amp;"_draw")))</f>
        <v>South Africa_draw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0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1</v>
      </c>
      <c r="V8" s="123">
        <f t="shared" si="3"/>
        <v>2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3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1</v>
      </c>
      <c r="AH8" s="123">
        <f>COUNTIF($S$7:$T$78,"=" &amp; AE8 &amp; "_lose")</f>
        <v>1</v>
      </c>
      <c r="AI8" s="123">
        <f>SUMIF($E$7:$E$78,$AE8,$F$7:$F$78) + SUMIF($H$7:$H$78,$AE8,$G$7:$G$78)</f>
        <v>3</v>
      </c>
      <c r="AJ8" s="123">
        <f>SUMIF($E$7:$E$78,$AE8,$G$7:$G$78) + SUMIF($H$7:$H$78,$AE8,$F$7:$F$78)</f>
        <v>3</v>
      </c>
      <c r="AL8" s="123">
        <f>AI8-AJ8</f>
        <v>0</v>
      </c>
      <c r="AM8" s="123">
        <f>AL8-AL12</f>
        <v>4</v>
      </c>
      <c r="AN8" s="123">
        <f>AF8*3+AG8</f>
        <v>4</v>
      </c>
      <c r="AO8" s="123">
        <f>AN8/AN12*10+BA8</f>
        <v>5.7221339811267864</v>
      </c>
      <c r="AP8" s="123">
        <f>AO8*10000000+BI8*100+AM8/AM12*10+AI8/AI12*1++IF(AQ8=0,ROW(),AQ8)/2000000</f>
        <v>57221345.312108375</v>
      </c>
      <c r="AQ8" s="126">
        <f>VLOOKUP(AE8,db_fifarank,2,FALSE)</f>
        <v>1681.03</v>
      </c>
      <c r="AR8" s="125">
        <f>AP8/AP12</f>
        <v>0.59795746142208472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2</v>
      </c>
      <c r="AZ8" s="126">
        <f>AT8/AT12*1000+AU8/AU12*100+AY8/AY12*10+AV8/AV12</f>
        <v>4</v>
      </c>
      <c r="BA8" s="126">
        <f>AZ8/AZ12</f>
        <v>7.8482668410725966E-3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2</v>
      </c>
      <c r="G9" s="20">
        <v>0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2</v>
      </c>
      <c r="M9" s="31">
        <f>VLOOKUP(1,AD8:AN11,4,FALSE)</f>
        <v>0</v>
      </c>
      <c r="N9" s="31">
        <f>VLOOKUP(1,AD8:AN11,5,FALSE)</f>
        <v>1</v>
      </c>
      <c r="O9" s="31" t="str">
        <f>VLOOKUP(1,AD8:AN11,6,FALSE) &amp; " - " &amp; VLOOKUP(1,AD8:AN11,7,FALSE)</f>
        <v>5 - 2</v>
      </c>
      <c r="P9" s="32">
        <f>L9*3+M9</f>
        <v>6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0</v>
      </c>
      <c r="AJ9" s="123">
        <f>SUMIF($E$7:$E$78,$AE9,$G$7:$G$78) + SUMIF($H$7:$H$78,$AE9,$F$7:$F$78)</f>
        <v>4</v>
      </c>
      <c r="AL9" s="123">
        <f>AI9-AJ9</f>
        <v>-4</v>
      </c>
      <c r="AM9" s="123">
        <f>AL9-AL12</f>
        <v>0</v>
      </c>
      <c r="AN9" s="123">
        <f>AF9*3+AG9</f>
        <v>1</v>
      </c>
      <c r="AO9" s="123">
        <f>AN9/AN12*10+BA9</f>
        <v>1.436419695412501</v>
      </c>
      <c r="AP9" s="123">
        <f>AO9*10000000+BI9*100+AM9/AM12*10+AI9/AI12*1++IF(AQ9=0,ROW(),AQ9)/2000000</f>
        <v>14364196.954839874</v>
      </c>
      <c r="AQ9" s="126">
        <f>VLOOKUP(AE9,db_fifarank,2,FALSE)</f>
        <v>1429.73</v>
      </c>
      <c r="AR9" s="125">
        <f>AP9/AP12</f>
        <v>0.15010445314827942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2</v>
      </c>
      <c r="AZ9" s="126">
        <f>AT9/AT12*1000+AU9/AU12*100+AY9/AY12*10+AV9/AV12</f>
        <v>4</v>
      </c>
      <c r="BA9" s="126">
        <f>AZ9/AZ12</f>
        <v>7.8482668410725966E-3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4 - 3</v>
      </c>
      <c r="P10" s="34">
        <f>L10*3+M10</f>
        <v>6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2</v>
      </c>
      <c r="AL10" s="123">
        <f>AI10-AJ10</f>
        <v>3</v>
      </c>
      <c r="AM10" s="123">
        <f>AL10-AL12</f>
        <v>7</v>
      </c>
      <c r="AN10" s="123">
        <f>AF10*3+AG10</f>
        <v>6</v>
      </c>
      <c r="AO10" s="123">
        <f>AN10/AN12*10+BA10</f>
        <v>9.569466504718303</v>
      </c>
      <c r="AP10" s="123">
        <f>AO10*10000000+BI10*100+AM10/AM12*10+AI10/AI12*1++IF(AQ10=0,ROW(),AQ10)/2000000</f>
        <v>95694674.631310701</v>
      </c>
      <c r="AQ10" s="126">
        <f>VLOOKUP(AE10,db_fifarank,2,FALSE)</f>
        <v>1588.66</v>
      </c>
      <c r="AR10" s="125">
        <f>AP10/AP12</f>
        <v>0.99999998955009783</v>
      </c>
      <c r="AT10" s="126" cm="1">
        <f t="array" ref="AT10">SUMPRODUCT(($S$7:$S$78=AE10&amp;"_win")*($U$7:$U$78))+SUMPRODUCT(($T$7:$T$78=AE10&amp;"_win")*($U$7:$U$78))</f>
        <v>1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2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2</v>
      </c>
      <c r="AY10" s="126">
        <f>AX10-MIN(AX8:AX11)</f>
        <v>4</v>
      </c>
      <c r="AZ10" s="126">
        <f>AT10/AT12*1000+AU10/AU12*100+AY10/AY12*10+AV10/AV12</f>
        <v>508.66666666666669</v>
      </c>
      <c r="BA10" s="126">
        <f>AZ10/AZ12</f>
        <v>0.99803793328973189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Mexico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3 - 3</v>
      </c>
      <c r="P11" s="34">
        <f>L11*3+M11</f>
        <v>4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0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5</v>
      </c>
      <c r="AN11" s="123">
        <f>AF11*3+AG11</f>
        <v>6</v>
      </c>
      <c r="AO11" s="123">
        <f>AN11/AN12*10+BA11</f>
        <v>8.5714285714285712</v>
      </c>
      <c r="AP11" s="123">
        <f>AO11*10000000+BI11*100+AM11/AM12*10+AI11/AI12*1++IF(AQ11=0,ROW(),AQ11)/2000000</f>
        <v>85714292.631703079</v>
      </c>
      <c r="AQ11" s="126">
        <f>VLOOKUP(AE11,db_fifarank,2,FALSE)</f>
        <v>1501.38</v>
      </c>
      <c r="AR11" s="125">
        <f>AP11/AP12</f>
        <v>0.89570597388239537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2</v>
      </c>
      <c r="AX11" s="126">
        <f>AV11-AW11</f>
        <v>-2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Turkey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0 - 4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2</v>
      </c>
      <c r="AI12" s="123">
        <f>MAX(AI8:AI11)+1</f>
        <v>6</v>
      </c>
      <c r="AL12" s="123">
        <f>MIN(AL8:AL11)</f>
        <v>-4</v>
      </c>
      <c r="AM12" s="123">
        <f>MAX(AM8:AM11)+1</f>
        <v>8</v>
      </c>
      <c r="AN12" s="123">
        <f>MAX(AN8:AN11)+1</f>
        <v>7</v>
      </c>
      <c r="AO12" s="123">
        <f>MAX(AO8:AO11)+1</f>
        <v>10.569466504718303</v>
      </c>
      <c r="AP12" s="123">
        <f>MAX(AP8:AP11)+1</f>
        <v>95694675.631310701</v>
      </c>
      <c r="AT12" s="126">
        <f>MAX(AT8:AT11)-MIN(AT8:AT11)+1</f>
        <v>2</v>
      </c>
      <c r="AU12" s="126">
        <f>MAX(AU8:AU11)-MIN(AU8:AU11)+1</f>
        <v>1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5</v>
      </c>
      <c r="AZ12" s="126">
        <f>MAX(AZ8:AZ11)+1</f>
        <v>509.66666666666669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0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2</v>
      </c>
      <c r="AL14" s="123">
        <f>AI14-AJ14</f>
        <v>1</v>
      </c>
      <c r="AM14" s="123">
        <f>AL14-AL18</f>
        <v>5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60000004.974804215</v>
      </c>
      <c r="AQ14" s="126">
        <f>VLOOKUP(AE14,db_fifarank,2,FALSE)</f>
        <v>1556.48</v>
      </c>
      <c r="AR14" s="125">
        <f>AP14/AP18</f>
        <v>0.66666664083948224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6 - 0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4</v>
      </c>
      <c r="AL15" s="123">
        <f>AI15-AJ15</f>
        <v>-3</v>
      </c>
      <c r="AM15" s="123">
        <f>AL15-AL18</f>
        <v>1</v>
      </c>
      <c r="AN15" s="123">
        <f>AF15*3+AG15</f>
        <v>3</v>
      </c>
      <c r="AO15" s="123">
        <f>AN15/AN18*10+BA15</f>
        <v>3</v>
      </c>
      <c r="AP15" s="123">
        <f>AO15*10000000+BI15*100+AM15/AM18*10+AI15/AI18*1++IF(AQ15=0,ROW(),AQ15)/2000000</f>
        <v>30000001.052640971</v>
      </c>
      <c r="AQ15" s="126">
        <f>VLOOKUP(AE15,db_fifarank,2,FALSE)</f>
        <v>1385.84</v>
      </c>
      <c r="AR15" s="125">
        <f>AP15/AP18</f>
        <v>0.33333330447795262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3 - 2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4</v>
      </c>
      <c r="AL16" s="123">
        <f>AI16-AJ16</f>
        <v>-4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8.0831101277669361E-12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1 - 4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0</v>
      </c>
      <c r="AL17" s="123">
        <f>AI17-AJ17</f>
        <v>6</v>
      </c>
      <c r="AM17" s="123">
        <f>AL17-AL18</f>
        <v>10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90000009.948876649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e">
        <f>IF(BW20&gt;BW21,BS20,IF(BW20&lt;BW21,BS21,""))</f>
        <v>#REF!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0 - 4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7</v>
      </c>
      <c r="AL18" s="123">
        <f>MIN(AL14:AL17)</f>
        <v>-4</v>
      </c>
      <c r="AM18" s="123">
        <f>MAX(AM14:AM17)+1</f>
        <v>11</v>
      </c>
      <c r="AN18" s="123">
        <f>MAX(AN14:AN17)+1</f>
        <v>10</v>
      </c>
      <c r="AO18" s="123">
        <f>MAX(AO14:AO17)+1</f>
        <v>10</v>
      </c>
      <c r="AP18" s="123">
        <f>MAX(AP14:AP17)+1</f>
        <v>90000010.948876649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0</v>
      </c>
      <c r="BN18" s="63">
        <v>1</v>
      </c>
      <c r="BO18" s="25"/>
      <c r="BP18" s="112">
        <f>IF(OR(BM18="",BM19="",AND(BN18="",BN19&lt;&gt;""),AND(BN19="",BN18&lt;&gt;""),AND(BO18="",BO19&lt;&gt;""),AND(BO19="",BO18&lt;&gt;"")),"",BM18*1000+BN18*10+BO18)</f>
        <v>10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>
        <v>0</v>
      </c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0</v>
      </c>
      <c r="AL20" s="123">
        <f>AI20-AJ20</f>
        <v>6</v>
      </c>
      <c r="AM20" s="123">
        <f>AL20-AL24</f>
        <v>11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90000010.024690107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6 - 0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3</v>
      </c>
      <c r="AJ21" s="123">
        <f>SUMIF($E$7:$E$78,$AE21,$G$7:$G$78) + SUMIF($H$7:$H$78,$AE21,$F$7:$F$78)</f>
        <v>3</v>
      </c>
      <c r="AL21" s="123">
        <f>AI21-AJ21</f>
        <v>0</v>
      </c>
      <c r="AM21" s="123">
        <f>AL21-AL24</f>
        <v>5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49805927.897086889</v>
      </c>
      <c r="AQ21" s="126">
        <f>VLOOKUP(AE21,db_fifarank,2,FALSE)</f>
        <v>1755.87</v>
      </c>
      <c r="AR21" s="125">
        <f>AP21/AP24</f>
        <v>0.55339913106703298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e">
        <f>IF(BP22&gt;BP23,BL22,IF(BP22&lt;BP23,BL23,""))</f>
        <v>#REF!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3 - 3</v>
      </c>
      <c r="P22" s="34">
        <f>L22*3+M22</f>
        <v>4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5</v>
      </c>
      <c r="AL22" s="123">
        <f>AI22-AJ22</f>
        <v>-5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7.1761657876110669E-12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164">
        <v>2</v>
      </c>
      <c r="BN22" s="63"/>
      <c r="BO22" s="25"/>
      <c r="BP22" s="116" t="e">
        <f>IF(OR(BM23="",#REF!="",AND(BN22="",BN23&lt;&gt;""),AND(BN23="",BN22&lt;&gt;""),AND(BO22="",BO23&lt;&gt;""),AND(BO23="",BO22&lt;&gt;"")),"",BM23*1000+BN22*10+BO22)</f>
        <v>#REF!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2 - 3</v>
      </c>
      <c r="P23" s="34">
        <f>L23*3+M23</f>
        <v>4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3</v>
      </c>
      <c r="AL23" s="123">
        <f>AI23-AJ23</f>
        <v>-1</v>
      </c>
      <c r="AM23" s="123">
        <f>AL23-AL24</f>
        <v>4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49805926.920767665</v>
      </c>
      <c r="AQ23" s="126">
        <f>VLOOKUP(AE23,db_fifarank,2,FALSE)</f>
        <v>1498.35</v>
      </c>
      <c r="AR23" s="125">
        <f>AP23/AP24</f>
        <v>0.55339912021904292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32"/>
      <c r="BL23" s="26" t="str">
        <f>AS21</f>
        <v>Morocco</v>
      </c>
      <c r="BM23" s="61">
        <v>0</v>
      </c>
      <c r="BN23" s="64"/>
      <c r="BO23" s="27"/>
      <c r="BP23" s="112" t="e">
        <f>IF(BP22="","",#REF!*1000+BN23*10+BO23)</f>
        <v>#REF!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2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0 - 5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7</v>
      </c>
      <c r="AL24" s="123">
        <f>MIN(AL20:AL23)</f>
        <v>-5</v>
      </c>
      <c r="AM24" s="123">
        <f>MAX(AM20:AM23)+1</f>
        <v>12</v>
      </c>
      <c r="AN24" s="123">
        <f>MAX(AN20:AN23)+1</f>
        <v>10</v>
      </c>
      <c r="AO24" s="123">
        <f>MAX(AO20:AO23)+1</f>
        <v>10</v>
      </c>
      <c r="AP24" s="123">
        <f>MAX(AP20:AP23)+1</f>
        <v>90000011.024690107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1</v>
      </c>
      <c r="AL26" s="123">
        <f>AI26-AJ26</f>
        <v>4</v>
      </c>
      <c r="AM26" s="123">
        <f>AL26-AL30</f>
        <v>10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87500009.925078988</v>
      </c>
      <c r="AQ26" s="126">
        <f>VLOOKUP(AE26,db_fifarank,2,FALSE)</f>
        <v>1673.13</v>
      </c>
      <c r="AR26" s="125">
        <f>AP26/AP30</f>
        <v>0.99999998857143002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2</v>
      </c>
      <c r="BO26" s="25"/>
      <c r="BP26" s="112">
        <f>IF(OR(BM26="",BM27="",AND(BN26="",BN27&lt;&gt;""),AND(BN27="",BN26&lt;&gt;""),AND(BO26="",BO27&lt;&gt;""),AND(BO27="",BO26&lt;&gt;"")),"",BM26*1000+BN26*10+BO26)</f>
        <v>1020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5 - 1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3</v>
      </c>
      <c r="AL27" s="123">
        <f>AI27-AJ27</f>
        <v>1</v>
      </c>
      <c r="AM27" s="123">
        <f>AL27-AL30</f>
        <v>7</v>
      </c>
      <c r="AN27" s="123">
        <f>AF27*3+AG27</f>
        <v>6</v>
      </c>
      <c r="AO27" s="123">
        <f>AN27/AN30*10+BA27</f>
        <v>7.5</v>
      </c>
      <c r="AP27" s="123">
        <f>AO27*10000000+BI27*100+AM27/AM30*10+AI27/AI30*1++IF(AQ27=0,ROW(),AQ27)/2000000</f>
        <v>75000007.03105478</v>
      </c>
      <c r="AQ27" s="126">
        <f>VLOOKUP(AE27,db_fifarank,2,FALSE)</f>
        <v>1503.5</v>
      </c>
      <c r="AR27" s="125">
        <f>AP27/AP30</f>
        <v>0.85714283047659034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>
        <v>1</v>
      </c>
      <c r="BO27" s="27"/>
      <c r="BP27" s="113">
        <f>IF(BP26="","",BM27*1000+BN27*10+BO27)</f>
        <v>1010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4 - 3</v>
      </c>
      <c r="P28" s="34">
        <f>L28*3+M28</f>
        <v>6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6</v>
      </c>
      <c r="AL28" s="123">
        <f>AI28-AJ28</f>
        <v>-6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7.9033500000000008E-4</v>
      </c>
      <c r="AQ28" s="126">
        <f>VLOOKUP(AE28,db_fifarank,2,FALSE)</f>
        <v>1580.67</v>
      </c>
      <c r="AR28" s="125">
        <f>AP28/AP30</f>
        <v>9.0323988722323307E-12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4 - 3</v>
      </c>
      <c r="P29" s="34">
        <f>L29*3+M29</f>
        <v>4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3</v>
      </c>
      <c r="AL29" s="123">
        <f>AI29-AJ29</f>
        <v>1</v>
      </c>
      <c r="AM29" s="123">
        <f>AL29-AL30</f>
        <v>7</v>
      </c>
      <c r="AN29" s="123">
        <f>AF29*3+AG29</f>
        <v>4</v>
      </c>
      <c r="AO29" s="123">
        <f>AN29/AN30*10+BA29</f>
        <v>5</v>
      </c>
      <c r="AP29" s="123">
        <f>AO29*10000000+BI29*100+AM29/AM30*10+AI29/AI30*1++IF(AQ29=0,ROW(),AQ29)/2000000</f>
        <v>50000007.031102553</v>
      </c>
      <c r="AQ29" s="126">
        <f>VLOOKUP(AE29,db_fifarank,2,FALSE)</f>
        <v>1599.04</v>
      </c>
      <c r="AR29" s="125">
        <f>AP29/AP30</f>
        <v>0.57142858043657341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0 - 6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6</v>
      </c>
      <c r="AL30" s="123">
        <f>MIN(AL26:AL29)</f>
        <v>-6</v>
      </c>
      <c r="AM30" s="123">
        <f>MAX(AM26:AM29)+1</f>
        <v>11</v>
      </c>
      <c r="AN30" s="123">
        <f>MAX(AN26:AN29)+1</f>
        <v>8</v>
      </c>
      <c r="AO30" s="123">
        <f>MAX(AO26:AO29)+1</f>
        <v>9.75</v>
      </c>
      <c r="AP30" s="123">
        <f>MAX(AP26:AP29)+1</f>
        <v>87500010.925078988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2</v>
      </c>
      <c r="AL32" s="123">
        <f>AI32-AJ32</f>
        <v>6</v>
      </c>
      <c r="AM32" s="123">
        <f>AL32-AL36</f>
        <v>12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90000010.120523319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6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7.1924991112849551E-12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5 - 2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5</v>
      </c>
      <c r="AL34" s="123">
        <f>AI34-AJ34</f>
        <v>-3</v>
      </c>
      <c r="AM34" s="123">
        <f>AL34-AL36</f>
        <v>3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30000002.530681022</v>
      </c>
      <c r="AQ34" s="126">
        <f>VLOOKUP(AE34,db_fifarank,2,FALSE)</f>
        <v>1532.98</v>
      </c>
      <c r="AR34" s="125">
        <f>AP34/AP36</f>
        <v>0.33333332026488954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2 - 5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2</v>
      </c>
      <c r="AL35" s="123">
        <f>AI35-AJ35</f>
        <v>3</v>
      </c>
      <c r="AM35" s="123">
        <f>AL35-AL36</f>
        <v>9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60000007.479429863</v>
      </c>
      <c r="AQ35" s="126">
        <f>VLOOKUP(AE35,db_fifarank,2,FALSE)</f>
        <v>1594.78</v>
      </c>
      <c r="AR35" s="125">
        <f>AP35/AP36</f>
        <v>0.66666666739719604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0 - 6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9</v>
      </c>
      <c r="AL36" s="123">
        <f>MIN(AL32:AL35)</f>
        <v>-6</v>
      </c>
      <c r="AM36" s="123">
        <f>MAX(AM32:AM35)+1</f>
        <v>13</v>
      </c>
      <c r="AN36" s="123">
        <f>MAX(AN32:AN35)+1</f>
        <v>10</v>
      </c>
      <c r="AO36" s="123">
        <f>MAX(AO32:AO35)+1</f>
        <v>10</v>
      </c>
      <c r="AP36" s="123">
        <f>MAX(AP32:AP35)+1</f>
        <v>90000011.120523319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>
        <v>1</v>
      </c>
      <c r="BV36" s="25"/>
      <c r="BW36" s="116">
        <f>IF(OR(BT36="",BT37="",AND(BU36="",BU37&lt;&gt;""),AND(BU37="",BU36&lt;&gt;""),AND(BV36="",BV37&lt;&gt;""),AND(BV37="",BV36&lt;&gt;"")),"",BT36*1000+BU36*10+BV36)</f>
        <v>1010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>
        <v>2</v>
      </c>
      <c r="BV37" s="27"/>
      <c r="BW37" s="112">
        <f>IF(BW36="","",BT37*1000+BU37*10+BV37)</f>
        <v>1020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8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90000009.746910676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5</v>
      </c>
      <c r="AN39" s="123">
        <f>AF39*3+AG39</f>
        <v>4</v>
      </c>
      <c r="AO39" s="123">
        <f>AN39/AN42*10+BA39</f>
        <v>4.9805825242718447</v>
      </c>
      <c r="AP39" s="123">
        <f>AO39*10000000+BI39*100+AM39/AM42*10+AI39/AI42*1++IF(AQ39=0,ROW(),AQ39)/2000000</f>
        <v>49805929.428785212</v>
      </c>
      <c r="AQ39" s="126">
        <f>VLOOKUP(AE39,db_fifarank,2,FALSE)</f>
        <v>1660.43</v>
      </c>
      <c r="AR39" s="125">
        <f>AP39/AP42</f>
        <v>0.55339914979393312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Mexico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4</v>
      </c>
      <c r="AL40" s="123">
        <f>AI40-AJ40</f>
        <v>-1</v>
      </c>
      <c r="AM40" s="123">
        <f>AL40-AL42</f>
        <v>3</v>
      </c>
      <c r="AN40" s="123">
        <f>AF40*3+AG40</f>
        <v>4</v>
      </c>
      <c r="AO40" s="123">
        <f>AN40/AN42*10+BA40</f>
        <v>4.9805825242718447</v>
      </c>
      <c r="AP40" s="123">
        <f>AO40*10000000+BI40*100+AM40/AM42*10+AI40/AI42*1++IF(AQ40=0,ROW(),AQ40)/2000000</f>
        <v>49805927.06363301</v>
      </c>
      <c r="AQ40" s="126">
        <f>VLOOKUP(AE40,db_fifarank,2,FALSE)</f>
        <v>1514.77</v>
      </c>
      <c r="AR40" s="125">
        <f>AP40/AP42</f>
        <v>0.55339912351446729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3 - 4</v>
      </c>
      <c r="P41" s="34">
        <f>L41*3+M41</f>
        <v>4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6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0.28645581071428572</v>
      </c>
      <c r="AQ41" s="126">
        <f>VLOOKUP(AE41,db_fifarank,2,FALSE)</f>
        <v>1483.05</v>
      </c>
      <c r="AR41" s="125">
        <f>AP41/AP42</f>
        <v>3.182841961206305E-9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2 - 6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4</v>
      </c>
      <c r="AI42" s="123">
        <f>MAX(AI38:AI41)+1</f>
        <v>7</v>
      </c>
      <c r="AL42" s="123">
        <f>MIN(AL38:AL41)</f>
        <v>-4</v>
      </c>
      <c r="AM42" s="123">
        <f>MAX(AM38:AM41)+1</f>
        <v>9</v>
      </c>
      <c r="AN42" s="123">
        <f>MAX(AN38:AN41)+1</f>
        <v>10</v>
      </c>
      <c r="AO42" s="123">
        <f>MAX(AO38:AO41)+1</f>
        <v>10</v>
      </c>
      <c r="AP42" s="123">
        <f>MAX(AP38:AP41)+1</f>
        <v>90000010.746910676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0</v>
      </c>
      <c r="AL44" s="123">
        <f>AI44-AJ44</f>
        <v>6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90000009.858010203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>
        <v>2</v>
      </c>
      <c r="BV44" s="25"/>
      <c r="BW44" s="112">
        <f>IF(OR(BT44="",BT45="",AND(BU44="",BU45&lt;&gt;""),AND(BU45="",BU44&lt;&gt;""),AND(BV44="",BV45&lt;&gt;""),AND(BV45="",BV44&lt;&gt;"")),"",BT44*1000+BU44*10+BV44)</f>
        <v>1020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6 - 0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4</v>
      </c>
      <c r="AL45" s="123">
        <f>AI45-AJ45</f>
        <v>-1</v>
      </c>
      <c r="AM45" s="123">
        <f>AL45-AL48</f>
        <v>2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40000002.429353043</v>
      </c>
      <c r="AQ45" s="126">
        <f>VLOOKUP(AE45,db_fifarank,2,FALSE)</f>
        <v>1563.24</v>
      </c>
      <c r="AR45" s="125">
        <f>AP45/AP48</f>
        <v>0.44444441781745581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Ecuador</v>
      </c>
      <c r="BT45" s="62">
        <v>1</v>
      </c>
      <c r="BU45" s="64">
        <v>1</v>
      </c>
      <c r="BV45" s="27"/>
      <c r="BW45" s="113">
        <f>IF(BW44="","",BT45*1000+BU45*10+BV45)</f>
        <v>1010</v>
      </c>
      <c r="CK45" s="114"/>
      <c r="CM45" s="136"/>
      <c r="CN45" s="137"/>
      <c r="CO45" s="137"/>
      <c r="CP45" s="137"/>
      <c r="CQ45" s="138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1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3 - 4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4</v>
      </c>
      <c r="AL46" s="123">
        <f>AI46-AJ46</f>
        <v>-3</v>
      </c>
      <c r="AM46" s="123">
        <f>AL46-AL48</f>
        <v>0</v>
      </c>
      <c r="AN46" s="123">
        <f>AF46*3+AG46</f>
        <v>1</v>
      </c>
      <c r="AO46" s="123">
        <f>AN46/AN48*10+BA46</f>
        <v>1</v>
      </c>
      <c r="AP46" s="123">
        <f>AO46*10000000+BI46*100+AM46/AM48*10+AI46/AI48*1++IF(AQ46=0,ROW(),AQ46)/2000000</f>
        <v>10000000.143664794</v>
      </c>
      <c r="AQ46" s="126">
        <f>VLOOKUP(AE46,db_fifarank,2,FALSE)</f>
        <v>1615.3</v>
      </c>
      <c r="AR46" s="125">
        <f>AP46/AP48</f>
        <v>0.11111109930243716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2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2000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1 - 3</v>
      </c>
      <c r="P47" s="34">
        <f>L47*3+M47</f>
        <v>2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3</v>
      </c>
      <c r="AL47" s="123">
        <f>AI47-AJ47</f>
        <v>-2</v>
      </c>
      <c r="AM47" s="123">
        <f>AL47-AL48</f>
        <v>1</v>
      </c>
      <c r="AN47" s="123">
        <f>AF47*3+AG47</f>
        <v>2</v>
      </c>
      <c r="AO47" s="123">
        <f>AN47/AN48*10+BA47</f>
        <v>2</v>
      </c>
      <c r="AP47" s="123">
        <f>AO47*10000000+BI47*100+AM47/AM48*10+AI47/AI48*1++IF(AQ47=0,ROW(),AQ47)/2000000</f>
        <v>20000001.143497925</v>
      </c>
      <c r="AQ47" s="126">
        <f>VLOOKUP(AE47,db_fifarank,2,FALSE)</f>
        <v>1281.57</v>
      </c>
      <c r="AR47" s="125">
        <f>AP47/AP48</f>
        <v>0.2222222081178547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1 - 4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3</v>
      </c>
      <c r="AI48" s="123">
        <f>MAX(AI44:AI47)+1</f>
        <v>7</v>
      </c>
      <c r="AL48" s="123">
        <f>MIN(AL44:AL47)</f>
        <v>-3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90000010.858010203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Switzerland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0</v>
      </c>
      <c r="W50" s="123">
        <f t="shared" si="22"/>
        <v>0</v>
      </c>
      <c r="X50" s="123">
        <f t="shared" si="9"/>
        <v>1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1</v>
      </c>
      <c r="AL50" s="123">
        <f>AI50-AJ50</f>
        <v>7</v>
      </c>
      <c r="AM50" s="123">
        <f>AL50-AL54</f>
        <v>12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90000010.120596334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Korea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0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5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19804019.608526204</v>
      </c>
      <c r="AQ51" s="126">
        <f>VLOOKUP(AE51,db_fifarank,2,FALSE)</f>
        <v>1366.13</v>
      </c>
      <c r="AR51" s="125">
        <f>AP51/AP54</f>
        <v>0.22004463512776268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5</v>
      </c>
      <c r="AL52" s="123">
        <f>AI52-AJ52</f>
        <v>-5</v>
      </c>
      <c r="AM52" s="123">
        <f>AL52-AL54</f>
        <v>0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19804019.608553853</v>
      </c>
      <c r="AQ52" s="126">
        <f>VLOOKUP(AE52,db_fifarank,2,FALSE)</f>
        <v>1421.43</v>
      </c>
      <c r="AR52" s="125">
        <f>AP52/AP54</f>
        <v>0.22004463512806988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Korea Republic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0 - 5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60000006.710238241</v>
      </c>
      <c r="AQ53" s="126">
        <f>VLOOKUP(AE53,db_fifarank,2,FALSE)</f>
        <v>1673.07</v>
      </c>
      <c r="AR53" s="125">
        <f>AP53/AP54</f>
        <v>0.66666665885008269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3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0 - 5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9</v>
      </c>
      <c r="AL54" s="123">
        <f>MIN(AL50:AL53)</f>
        <v>-5</v>
      </c>
      <c r="AM54" s="123">
        <f>MAX(AM50:AM53)+1</f>
        <v>13</v>
      </c>
      <c r="AN54" s="123">
        <f>MAX(AN50:AN53)+1</f>
        <v>10</v>
      </c>
      <c r="AO54" s="123">
        <f>MAX(AO50:AO53)+1</f>
        <v>10</v>
      </c>
      <c r="AP54" s="123">
        <f>MAX(AP50:AP53)+1</f>
        <v>90000011.120596334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31">
        <v>80</v>
      </c>
      <c r="BL54" s="24" t="str">
        <f>AS74</f>
        <v>England</v>
      </c>
      <c r="BM54" s="61">
        <v>1</v>
      </c>
      <c r="BN54" s="63">
        <v>2</v>
      </c>
      <c r="BO54" s="25"/>
      <c r="BP54" s="116">
        <f>IF(OR(BM54="",BM55="",AND(BN54="",BN55&lt;&gt;""),AND(BN55="",BN54&lt;&gt;""),AND(BO54="",BO55&lt;&gt;""),AND(BO55="",BO54&lt;&gt;"")),"",BM54*1000+BN54*10+BO54)</f>
        <v>1020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1</v>
      </c>
      <c r="BN55" s="64">
        <v>1</v>
      </c>
      <c r="BO55" s="27"/>
      <c r="BP55" s="112">
        <f>IF(BP54="","",BM55*1000+BN55*10+BO55)</f>
        <v>1010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>
        <v>2</v>
      </c>
      <c r="CJ55" s="25"/>
      <c r="CK55" s="116">
        <f>IF(OR(CH55="",CH56="",AND(CI55="",CI56&lt;&gt;""),AND(CI56="",CI55&lt;&gt;""),AND(CJ55="",CJ56&lt;&gt;""),AND(CJ56="",CJ55&lt;&gt;"")),"",CH55*1000+CI55*10+CJ55)</f>
        <v>1020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1</v>
      </c>
      <c r="AL56" s="123">
        <f>AI56-AJ56</f>
        <v>6</v>
      </c>
      <c r="AM56" s="123">
        <f>AL56-AL60</f>
        <v>14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90000010.209271982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Switzerland</v>
      </c>
      <c r="CH56" s="62">
        <v>1</v>
      </c>
      <c r="CI56" s="64">
        <v>1</v>
      </c>
      <c r="CJ56" s="27"/>
      <c r="CK56" s="112">
        <f>IF(CK55="","",CH56*1000+CI56*10+CJ56)</f>
        <v>1010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7 - 1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3</v>
      </c>
      <c r="AL57" s="123">
        <f>AI57-AJ57</f>
        <v>2</v>
      </c>
      <c r="AM57" s="123">
        <f>AL57-AL60</f>
        <v>10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49805930.593482025</v>
      </c>
      <c r="AQ57" s="126">
        <f>VLOOKUP(AE57,db_fifarank,2,FALSE)</f>
        <v>1688.99</v>
      </c>
      <c r="AR57" s="125">
        <f>AP57/AP60</f>
        <v>0.55339915989200361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4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8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8.0396656653466784E-12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>
        <v>3</v>
      </c>
      <c r="BO58" s="25"/>
      <c r="BP58" s="112">
        <f>IF(OR(BM58="",BM59="",AND(BN58="",BN59&lt;&gt;""),AND(BN59="",BN58&lt;&gt;""),AND(BO58="",BO59&lt;&gt;""),AND(BO59="",BO58&lt;&gt;"")),"",BM58*1000+BN58*10+BO58)</f>
        <v>1030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2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3 - 3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Republic_win</v>
      </c>
      <c r="T59" s="127" t="str">
        <f t="shared" si="20"/>
        <v>Mexico_lose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3</v>
      </c>
      <c r="AL59" s="123">
        <f>AI59-AJ59</f>
        <v>0</v>
      </c>
      <c r="AM59" s="123">
        <f>AL59-AL60</f>
        <v>8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49805929.010079674</v>
      </c>
      <c r="AQ59" s="126">
        <f>VLOOKUP(AE59,db_fifarank,2,FALSE)</f>
        <v>1550.94</v>
      </c>
      <c r="AR59" s="125">
        <f>AP59/AP60</f>
        <v>0.5533991422986464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1</v>
      </c>
      <c r="BN59" s="64">
        <v>1</v>
      </c>
      <c r="BO59" s="27"/>
      <c r="BP59" s="113">
        <f>IF(BP58="","",BM59*1000+BN59*10+BO59)</f>
        <v>1010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0 - 8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8</v>
      </c>
      <c r="AL60" s="123">
        <f>MIN(AL56:AL59)</f>
        <v>-8</v>
      </c>
      <c r="AM60" s="123">
        <f>MAX(AM56:AM59)+1</f>
        <v>15</v>
      </c>
      <c r="AN60" s="123">
        <f>MAX(AN56:AN59)+1</f>
        <v>10</v>
      </c>
      <c r="AO60" s="123">
        <f>MAX(AO56:AO59)+1</f>
        <v>10</v>
      </c>
      <c r="AP60" s="123">
        <f>MAX(AP56:AP59)+1</f>
        <v>90000011.209271982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0</v>
      </c>
      <c r="AL62" s="123">
        <f>AI62-AJ62</f>
        <v>6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90000009.948989362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6 - 0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1</v>
      </c>
      <c r="W63" s="123">
        <f t="shared" si="22"/>
        <v>1</v>
      </c>
      <c r="X63" s="123">
        <f t="shared" si="9"/>
        <v>1</v>
      </c>
      <c r="Y63" s="123">
        <f t="shared" si="10"/>
        <v>1</v>
      </c>
      <c r="Z63" s="123">
        <f t="shared" si="11"/>
        <v>1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4</v>
      </c>
      <c r="AL63" s="123">
        <f>AI63-AJ63</f>
        <v>-3</v>
      </c>
      <c r="AM63" s="123">
        <f>AL63-AL66</f>
        <v>1</v>
      </c>
      <c r="AN63" s="123">
        <f>AF63*3+AG63</f>
        <v>1</v>
      </c>
      <c r="AO63" s="123">
        <f>AN63/AN66*10+BA63</f>
        <v>1.9803921568627452</v>
      </c>
      <c r="AP63" s="123">
        <f>AO63*10000000+BI63*100+AM63/AM66*10+AI63/AI66*1++IF(AQ63=0,ROW(),AQ63)/2000000</f>
        <v>19804020.660573319</v>
      </c>
      <c r="AQ63" s="126">
        <f>VLOOKUP(AE63,db_fifarank,2,FALSE)</f>
        <v>1564.26</v>
      </c>
      <c r="AR63" s="125">
        <f>AP63/AP66</f>
        <v>0.22004464723674241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</v>
      </c>
      <c r="BA63" s="126">
        <f>AZ63/AZ66</f>
        <v>0.98039215686274506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</v>
      </c>
      <c r="BI63" s="126">
        <f>BH63/BH66</f>
        <v>0.98039215686274506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5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60000005.117679849</v>
      </c>
      <c r="AQ64" s="126">
        <f>VLOOKUP(AE64,db_fifarank,2,FALSE)</f>
        <v>1593.45</v>
      </c>
      <c r="AR64" s="125">
        <f>AP64/AP66</f>
        <v>0.66666664242615414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>
        <v>1</v>
      </c>
      <c r="CC64" s="25"/>
      <c r="CD64" s="116">
        <f>IF(OR(CA64="",CA65="",AND(CB64="",CB65&lt;&gt;""),AND(CB65="",CB64&lt;&gt;""),AND(CC64="",CC65&lt;&gt;""),AND(CC65="",CC64&lt;&gt;"")),"",CA64*1000+CB64*10+CC64)</f>
        <v>1010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1 - 4</v>
      </c>
      <c r="P65" s="34">
        <f>L65*3+M65</f>
        <v>1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4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1.9803921568627452</v>
      </c>
      <c r="AP65" s="123">
        <f>AO65*10000000+BI65*100+AM65/AM66*10+AI65/AI66*1++IF(AQ65=0,ROW(),AQ65)/2000000</f>
        <v>19804019.608538862</v>
      </c>
      <c r="AQ65" s="126">
        <f>VLOOKUP(AE65,db_fifarank,2,FALSE)</f>
        <v>1391.45</v>
      </c>
      <c r="AR65" s="125">
        <f>AP65/AP66</f>
        <v>0.22004463554747208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</v>
      </c>
      <c r="BA65" s="126">
        <f>AZ65/AZ66</f>
        <v>0.98039215686274506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</v>
      </c>
      <c r="BI65" s="126">
        <f>BH65/BH66</f>
        <v>0.98039215686274506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Switzerland</v>
      </c>
      <c r="CA65" s="62">
        <v>1</v>
      </c>
      <c r="CB65" s="64">
        <v>2</v>
      </c>
      <c r="CC65" s="27"/>
      <c r="CD65" s="112">
        <f>IF(CD64="","",CA65*1000+CB65*10+CC65)</f>
        <v>1020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2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0 - 4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7</v>
      </c>
      <c r="AL66" s="123">
        <f>MIN(AL62:AL65)</f>
        <v>-4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90000010.948989362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51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0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Ivory Coast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3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2</v>
      </c>
      <c r="AL68" s="123">
        <f>AI68-AJ68</f>
        <v>5</v>
      </c>
      <c r="AM68" s="123">
        <f>AL68-AL72</f>
        <v>11</v>
      </c>
      <c r="AN68" s="123">
        <f>AF68*3+AG68</f>
        <v>7</v>
      </c>
      <c r="AO68" s="123">
        <f>AN68/AN72*10+BA68</f>
        <v>9.7401639344262296</v>
      </c>
      <c r="AP68" s="123">
        <f>AO68*10000000+BI68*100+AM68/AM72*10+AI68/AI72*1++IF(AQ68=0,ROW(),AQ68)/2000000</f>
        <v>97401748.403204322</v>
      </c>
      <c r="AQ68" s="126">
        <f>VLOOKUP(AE68,db_fifarank,2,FALSE)</f>
        <v>1763.83</v>
      </c>
      <c r="AR68" s="125">
        <f>AP68/AP72</f>
        <v>0.999999989733244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100.66666666666667</v>
      </c>
      <c r="BA68" s="126">
        <f>AZ68/AZ72</f>
        <v>0.99016393442622952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100.66666666666667</v>
      </c>
      <c r="BI68" s="126">
        <f>BH68/BH72</f>
        <v>0.99016393442622952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2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2000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7 - 2</v>
      </c>
      <c r="P69" s="32">
        <f>L69*3+M69</f>
        <v>7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6</v>
      </c>
      <c r="AL69" s="123">
        <f>AI69-AJ69</f>
        <v>-6</v>
      </c>
      <c r="AM69" s="123">
        <f>AL69-AL72</f>
        <v>0</v>
      </c>
      <c r="AN69" s="123">
        <f>AF69*3+AG69</f>
        <v>1</v>
      </c>
      <c r="AO69" s="123">
        <f>AN69/AN72*10+BA69</f>
        <v>2.2336065573770494</v>
      </c>
      <c r="AP69" s="123">
        <f>AO69*10000000+BI69*100+AM69/AM72*10+AI69/AI72*1++IF(AQ69=0,ROW(),AQ69)/2000000</f>
        <v>22336163.935165405</v>
      </c>
      <c r="AQ69" s="126">
        <f>VLOOKUP(AE69,db_fifarank,2,FALSE)</f>
        <v>1478.35</v>
      </c>
      <c r="AR69" s="125">
        <f>AP69/AP72</f>
        <v>0.22931994622296373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</v>
      </c>
      <c r="BA69" s="126">
        <f>AZ69/AZ72</f>
        <v>0.98360655737704916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</v>
      </c>
      <c r="BI69" s="126">
        <f>BH69/BH72</f>
        <v>0.98360655737704916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7 - 2</v>
      </c>
      <c r="P70" s="34">
        <f>L70*3+M70</f>
        <v>7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4</v>
      </c>
      <c r="AL70" s="123">
        <f>AI70-AJ70</f>
        <v>-4</v>
      </c>
      <c r="AM70" s="123">
        <f>AL70-AL72</f>
        <v>2</v>
      </c>
      <c r="AN70" s="123">
        <f>AF70*3+AG70</f>
        <v>1</v>
      </c>
      <c r="AO70" s="123">
        <f>AN70/AN72*10+BA70</f>
        <v>2.2336065573770494</v>
      </c>
      <c r="AP70" s="123">
        <f>AO70*10000000+BI70*100+AM70/AM72*10+AI70/AI72*1++IF(AQ70=0,ROW(),AQ70)/2000000</f>
        <v>22336165.601825569</v>
      </c>
      <c r="AQ70" s="126">
        <f>VLOOKUP(AE70,db_fifarank,2,FALSE)</f>
        <v>1465.34</v>
      </c>
      <c r="AR70" s="125">
        <f>AP70/AP72</f>
        <v>0.22931996333415705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</v>
      </c>
      <c r="BA70" s="126">
        <f>AZ70/AZ72</f>
        <v>0.98360655737704916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</v>
      </c>
      <c r="BI70" s="126">
        <f>BH70/BH72</f>
        <v>0.98360655737704916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0 - 4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2</v>
      </c>
      <c r="AL71" s="123">
        <f>AI71-AJ71</f>
        <v>5</v>
      </c>
      <c r="AM71" s="123">
        <f>AL71-AL72</f>
        <v>11</v>
      </c>
      <c r="AN71" s="123">
        <f>AF71*3+AG71</f>
        <v>7</v>
      </c>
      <c r="AO71" s="123">
        <f>AN71/AN72*10+BA71</f>
        <v>9.7401639344262296</v>
      </c>
      <c r="AP71" s="123">
        <f>AO71*10000000+BI71*100+AM71/AM72*10+AI71/AI72*1++IF(AQ71=0,ROW(),AQ71)/2000000</f>
        <v>97401748.403168961</v>
      </c>
      <c r="AQ71" s="126">
        <f>VLOOKUP(AE71,db_fifarank,2,FALSE)</f>
        <v>1693.09</v>
      </c>
      <c r="AR71" s="125">
        <f>AP71/AP72</f>
        <v>0.99999998973288096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100.66666666666667</v>
      </c>
      <c r="BA71" s="126">
        <f>AZ71/AZ72</f>
        <v>0.99016393442622952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100.66666666666667</v>
      </c>
      <c r="BI71" s="126">
        <f>BH71/BH72</f>
        <v>0.99016393442622952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0 - 6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8</v>
      </c>
      <c r="AL72" s="123">
        <f>MIN(AL68:AL71)</f>
        <v>-6</v>
      </c>
      <c r="AM72" s="123">
        <f>MAX(AM68:AM71)+1</f>
        <v>12</v>
      </c>
      <c r="AN72" s="123">
        <f>MAX(AN68:AN71)+1</f>
        <v>8</v>
      </c>
      <c r="AO72" s="123">
        <f>MAX(AO68:AO71)+1</f>
        <v>10.74016393442623</v>
      </c>
      <c r="AP72" s="123">
        <f>MAX(AP68:AP71)+1</f>
        <v>97401749.403204322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101.66666666666667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101.66666666666667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4</v>
      </c>
      <c r="AJ74" s="123">
        <f>SUMIF($E$7:$E$78,$AE74,$G$7:$G$78) + SUMIF($H$7:$H$78,$AE74,$F$7:$F$78)</f>
        <v>1</v>
      </c>
      <c r="AL74" s="123">
        <f>AI74-AJ74</f>
        <v>3</v>
      </c>
      <c r="AM74" s="123">
        <f>AL74-AL78</f>
        <v>8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87500009.556468546</v>
      </c>
      <c r="AQ74" s="126">
        <f>VLOOKUP(AE74,db_fifarank,2,FALSE)</f>
        <v>1825.97</v>
      </c>
      <c r="AR74" s="125">
        <f>AP74/AP78</f>
        <v>0.99999998857142991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4 - 1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3</v>
      </c>
      <c r="AL75" s="123">
        <f>AI75-AJ75</f>
        <v>2</v>
      </c>
      <c r="AM75" s="123">
        <f>AL75-AL78</f>
        <v>7</v>
      </c>
      <c r="AN75" s="123">
        <f>AF75*3+AG75</f>
        <v>6</v>
      </c>
      <c r="AO75" s="123">
        <f>AN75/AN78*10+BA75</f>
        <v>7.5</v>
      </c>
      <c r="AP75" s="123">
        <f>AO75*10000000+BI75*100+AM75/AM78*10+AI75/AI78*1++IF(AQ75=0,ROW(),AQ75)/2000000</f>
        <v>75000008.611969635</v>
      </c>
      <c r="AQ75" s="126">
        <f>VLOOKUP(AE75,db_fifarank,2,FALSE)</f>
        <v>1717.07</v>
      </c>
      <c r="AR75" s="125">
        <f>AP75/AP78</f>
        <v>0.85714285215506369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5 - 3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2</v>
      </c>
      <c r="AL76" s="123">
        <f>AI76-AJ76</f>
        <v>0</v>
      </c>
      <c r="AM76" s="123">
        <f>AL76-AL78</f>
        <v>5</v>
      </c>
      <c r="AN76" s="123">
        <f>AF76*3+AG76</f>
        <v>4</v>
      </c>
      <c r="AO76" s="123">
        <f>AN76/AN78*10+BA76</f>
        <v>5</v>
      </c>
      <c r="AP76" s="123">
        <f>AO76*10000000+BI76*100+AM76/AM78*10+AI76/AI78*1++IF(AQ76=0,ROW(),AQ76)/2000000</f>
        <v>50000005.889562041</v>
      </c>
      <c r="AQ76" s="126">
        <f>VLOOKUP(AE76,db_fifarank,2,FALSE)</f>
        <v>1346.31</v>
      </c>
      <c r="AR76" s="125">
        <f>AP76/AP78</f>
        <v>0.57142856979764933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2 - 2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5</v>
      </c>
      <c r="AL77" s="123">
        <f>AI77-AJ77</f>
        <v>-5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8.8036560807369316E-12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0 - 5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6</v>
      </c>
      <c r="AL78" s="123">
        <f>MIN(AL74:AL77)</f>
        <v>-5</v>
      </c>
      <c r="AM78" s="123">
        <f>MAX(AM74:AM77)+1</f>
        <v>9</v>
      </c>
      <c r="AN78" s="123">
        <f>MAX(AN74:AN77)+1</f>
        <v>8</v>
      </c>
      <c r="AO78" s="123">
        <f>MAX(AO74:AO77)+1</f>
        <v>9.75</v>
      </c>
      <c r="AP78" s="123">
        <f>MAX(AP74:AP77)+1</f>
        <v>87500010.556468546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Mexico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3</v>
      </c>
      <c r="AK80" s="123" t="s">
        <v>3180</v>
      </c>
      <c r="AL80" s="123">
        <f>VLOOKUP($AE80,$AE$8:$AQ$78,8,FALSE)</f>
        <v>0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8774.2865548007139</v>
      </c>
      <c r="AQ80" s="126">
        <f t="shared" ref="AQ80:AQ91" si="37">VLOOKUP($AE80,$AE$8:$AQ$78,13,FALSE)</f>
        <v>1681.03</v>
      </c>
      <c r="AR80" s="125" t="str">
        <f>IF(AD80&lt;=8,RIGHT(AK80,1),"")</f>
        <v>A</v>
      </c>
      <c r="AS80" s="129" t="str">
        <f>IF(AD80&lt;=8,AE80,"")</f>
        <v>Mexico</v>
      </c>
      <c r="AT80" s="130" t="str">
        <f>"Ⓐ "&amp;AE80</f>
        <v>Ⓐ Mexico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Turkey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8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2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6305.7149786342852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Mexico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6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2</v>
      </c>
      <c r="AJ82" s="123">
        <f t="shared" si="42"/>
        <v>3</v>
      </c>
      <c r="AK82" s="123" t="s">
        <v>3182</v>
      </c>
      <c r="AL82" s="123">
        <f t="shared" si="43"/>
        <v>-1</v>
      </c>
      <c r="AM82" s="123">
        <f t="shared" si="44"/>
        <v>4</v>
      </c>
      <c r="AN82" s="123">
        <f t="shared" si="45"/>
        <v>4</v>
      </c>
      <c r="AP82" s="123">
        <f>AN82/AN92*10000+AM82/AM92*1000+AI82/AI92*100+IF(AQ82=0,ROW(),AQ82)/2000000</f>
        <v>8611.4293206035709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Ⓘ Norway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1</v>
      </c>
      <c r="AE83" s="124" t="str">
        <f>J29</f>
        <v>Turkey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4</v>
      </c>
      <c r="AJ83" s="123">
        <f t="shared" si="42"/>
        <v>3</v>
      </c>
      <c r="AK83" s="123" t="s">
        <v>3184</v>
      </c>
      <c r="AL83" s="123">
        <f t="shared" si="43"/>
        <v>1</v>
      </c>
      <c r="AM83" s="123">
        <f t="shared" si="44"/>
        <v>6</v>
      </c>
      <c r="AN83" s="123">
        <f t="shared" si="45"/>
        <v>4</v>
      </c>
      <c r="AP83" s="123">
        <f>AN83/AN92*10000+AM83/AM92*1000+AI83/AI92*100+IF(AQ83=0,ROW(),AQ83)/2000000</f>
        <v>8937.1436566628563</v>
      </c>
      <c r="AQ83" s="126">
        <f t="shared" si="37"/>
        <v>1599.04</v>
      </c>
      <c r="AR83" s="125" t="str">
        <f t="shared" si="50"/>
        <v>ABCD</v>
      </c>
      <c r="AS83" s="129" t="str">
        <f t="shared" si="46"/>
        <v>Turkey</v>
      </c>
      <c r="AT83" s="130" t="str">
        <f>"Ⓓ "&amp;AE83</f>
        <v>Ⓓ Turkey</v>
      </c>
    </row>
    <row r="84" spans="1:46" ht="15" customHeight="1" x14ac:dyDescent="0.2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Ⓛ Ghana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2 - 2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7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5</v>
      </c>
      <c r="AK84" s="123" t="s">
        <v>3185</v>
      </c>
      <c r="AL84" s="123">
        <f t="shared" si="43"/>
        <v>-3</v>
      </c>
      <c r="AM84" s="123">
        <f t="shared" si="44"/>
        <v>2</v>
      </c>
      <c r="AN84" s="123">
        <f t="shared" si="45"/>
        <v>3</v>
      </c>
      <c r="AP84" s="123">
        <f>AN84/AN92*10000+AM84/AM92*1000+AI84/AI92*100+IF(AQ84=0,ROW(),AQ84)/2000000</f>
        <v>6325.7150522042857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Ⓕ Sweden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3 - 4</v>
      </c>
      <c r="P85" s="101">
        <f t="shared" si="48"/>
        <v>4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4</v>
      </c>
      <c r="AN85" s="123">
        <f t="shared" si="45"/>
        <v>4</v>
      </c>
      <c r="AP85" s="123">
        <f>AN85/AN92*10000+AM85/AM92*1000+AI85/AI92*100+IF(AQ85=0,ROW(),AQ85)/2000000</f>
        <v>8631.4293288135705</v>
      </c>
      <c r="AQ85" s="126">
        <f t="shared" si="37"/>
        <v>1514.77</v>
      </c>
      <c r="AR85" s="125" t="str">
        <f t="shared" si="50"/>
        <v>ABCDEF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Ⓒ Scotland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2 - 3</v>
      </c>
      <c r="P86" s="101">
        <f t="shared" si="48"/>
        <v>4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9</v>
      </c>
      <c r="AE86" s="124" t="str">
        <f>J47</f>
        <v>New Zealand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1</v>
      </c>
      <c r="AJ86" s="123">
        <f t="shared" si="42"/>
        <v>3</v>
      </c>
      <c r="AK86" s="123" t="s">
        <v>3187</v>
      </c>
      <c r="AL86" s="123">
        <f t="shared" si="43"/>
        <v>-2</v>
      </c>
      <c r="AM86" s="123">
        <f t="shared" si="44"/>
        <v>3</v>
      </c>
      <c r="AN86" s="123">
        <f t="shared" si="45"/>
        <v>2</v>
      </c>
      <c r="AP86" s="123">
        <f>AN86/AN92*10000+AM86/AM92*1000+AI86/AI92*100+IF(AQ86=0,ROW(),AQ86)/2000000</f>
        <v>4448.5720693564281</v>
      </c>
      <c r="AQ86" s="126">
        <f t="shared" si="37"/>
        <v>1281.57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2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Ⓔ Ivory Coast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0</v>
      </c>
      <c r="AJ87" s="123">
        <f t="shared" si="42"/>
        <v>5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2000.000710715</v>
      </c>
      <c r="AQ87" s="126">
        <f t="shared" si="37"/>
        <v>1421.43</v>
      </c>
      <c r="AR87" s="125" t="str">
        <f t="shared" si="50"/>
        <v>ABCDEF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Ⓑ Bosnia and Herzegovina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1 - 4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3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3</v>
      </c>
      <c r="AJ88" s="123">
        <f t="shared" si="42"/>
        <v>3</v>
      </c>
      <c r="AK88" s="123" t="s">
        <v>3189</v>
      </c>
      <c r="AL88" s="123">
        <f t="shared" si="43"/>
        <v>0</v>
      </c>
      <c r="AM88" s="123">
        <f t="shared" si="44"/>
        <v>5</v>
      </c>
      <c r="AN88" s="123">
        <f t="shared" si="45"/>
        <v>4</v>
      </c>
      <c r="AP88" s="123">
        <f>AN88/AN92*10000+AM88/AM92*1000+AI88/AI92*100+IF(AQ88=0,ROW(),AQ88)/2000000</f>
        <v>8774.2864897557138</v>
      </c>
      <c r="AQ88" s="126">
        <f t="shared" si="37"/>
        <v>1550.94</v>
      </c>
      <c r="AR88" s="125" t="str">
        <f t="shared" si="50"/>
        <v>ABCDEFI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New Zealand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1 - 3</v>
      </c>
      <c r="P89" s="104">
        <f t="shared" si="48"/>
        <v>2</v>
      </c>
      <c r="R89" s="123">
        <f>DATE(2026,12,5)+TIME(8,0,0)+gmt_delta</f>
        <v>46361.791666666672</v>
      </c>
      <c r="S89" s="127" t="e">
        <f>IF(OR(BM23="",#REF!=""),"",IF(BM23&gt;#REF!,BL22,IF(BM23&lt;#REF!,BL23,IF(OR(BN22="",BN23=""),"draw",IF(BN22&gt;BN23,BL22,IF(BN22&lt;BN23,BL23,IF(OR(BO22="",BO23=""),"draw",IF(BO22&gt;BO23,BL22,IF(BO22&lt;BO23,BL23,"draw")))))))))</f>
        <v>#REF!</v>
      </c>
      <c r="T89" s="127" t="e" cm="1">
        <f t="array" ref="T89">IF(OR(S89="",S89="draw"),INDEX(T,91,lang),S89)</f>
        <v>#REF!</v>
      </c>
      <c r="AD89" s="123">
        <f t="shared" si="38"/>
        <v>10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1</v>
      </c>
      <c r="AJ89" s="123">
        <f t="shared" si="42"/>
        <v>4</v>
      </c>
      <c r="AK89" s="123" t="s">
        <v>3190</v>
      </c>
      <c r="AL89" s="123">
        <f t="shared" si="43"/>
        <v>-3</v>
      </c>
      <c r="AM89" s="123">
        <f t="shared" si="44"/>
        <v>2</v>
      </c>
      <c r="AN89" s="123">
        <f t="shared" si="45"/>
        <v>1</v>
      </c>
      <c r="AP89" s="123">
        <f>AN89/AN92*10000+AM89/AM92*1000+AI89/AI92*100+IF(AQ89=0,ROW(),AQ89)/2000000</f>
        <v>2305.7150678442858</v>
      </c>
      <c r="AQ89" s="126">
        <f t="shared" si="37"/>
        <v>1564.26</v>
      </c>
      <c r="AR89" s="125" t="str">
        <f t="shared" si="50"/>
        <v>ABCDEFI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Algeria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1 - 4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4</v>
      </c>
      <c r="AK90" s="123" t="s">
        <v>3191</v>
      </c>
      <c r="AL90" s="123">
        <f t="shared" si="43"/>
        <v>-4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2142.8578755271428</v>
      </c>
      <c r="AQ90" s="126">
        <f t="shared" si="37"/>
        <v>1465.34</v>
      </c>
      <c r="AR90" s="125" t="str">
        <f t="shared" si="50"/>
        <v>ABCDEFI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0 - 4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4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2</v>
      </c>
      <c r="AJ91" s="123">
        <f>VLOOKUP($AE91,$AE$8:$AQ$78,6,FALSE)</f>
        <v>2</v>
      </c>
      <c r="AK91" s="123" t="s">
        <v>3192</v>
      </c>
      <c r="AL91" s="123">
        <f>VLOOKUP($AE91,$AE$8:$AQ$78,8,FALSE)</f>
        <v>0</v>
      </c>
      <c r="AM91" s="123">
        <f t="shared" si="44"/>
        <v>5</v>
      </c>
      <c r="AN91" s="123">
        <f>VLOOKUP($AE91,$AE$8:$AQ$78,10,FALSE)</f>
        <v>4</v>
      </c>
      <c r="AP91" s="123">
        <f>AN91/AN92*10000+AM91/AM92*1000+AI91/AI92*100+IF(AQ91=0,ROW(),AQ91)/2000000</f>
        <v>8754.286387440714</v>
      </c>
      <c r="AQ91" s="126">
        <f t="shared" si="37"/>
        <v>1346.31</v>
      </c>
      <c r="AR91" s="125" t="str">
        <f t="shared" si="50"/>
        <v>ABCDEFIL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46365.625</v>
      </c>
      <c r="S96" s="127" t="e">
        <f>IF(OR(BT20="",BT21=""),"",IF(BT20&gt;BT21,BS20,IF(BT20&lt;BT21,BS21,IF(OR(BU20="",BU21=""),"draw",IF(BU20&gt;BU21,BS20,IF(BU20&lt;BU21,BS21,IF(OR(BV20="",BV21=""),"draw",IF(BV20&gt;BV21,BS20,IF(BV20&lt;BV21,BS21,"draw")))))))))</f>
        <v>#REF!</v>
      </c>
      <c r="T96" s="127" t="e" cm="1">
        <f t="array" ref="T96">IF(OR(S96="",S96="draw"),INDEX(T,95,lang),S96)</f>
        <v>#REF!</v>
      </c>
    </row>
    <row r="97" spans="18:29" ht="12.75" customHeight="1" x14ac:dyDescent="0.2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e">
        <f>IF(OR(CA16="",CA17=""),"",IF(CA16&lt;CA17,BZ16,IF(CA16&gt;CA17,BZ17,IF(OR(CB16="",CB17=""),"draw",IF(CB16&lt;CB17,BZ16,IF(CB16&gt;CB17,BZ17,IF(OR(CC16="",CC17=""),"draw",IF(CC16&lt;CC17,BZ16,IF(CC16&gt;CC17,BZ17,"draw")))))))))</f>
        <v>#REF!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e" cm="1">
        <f t="array" ref="AC102">IF(OR(U102="",U102="draw"),INDEX(T,100,lang),U102)</f>
        <v>#REF!</v>
      </c>
    </row>
    <row r="103" spans="18:29" x14ac:dyDescent="0.2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7" priority="339">
      <formula>IF($AA7=1,1,0)</formula>
    </cfRule>
  </conditionalFormatting>
  <conditionalFormatting sqref="E7:E78">
    <cfRule type="expression" dxfId="226" priority="346">
      <formula>IF(AND(AA7=0,AB7=-1),1,0)</formula>
    </cfRule>
    <cfRule type="expression" dxfId="225" priority="347">
      <formula>IF(AND(AA7=1,AB7=-1),1,0)</formula>
    </cfRule>
    <cfRule type="expression" dxfId="224" priority="348">
      <formula>IF(AND(AA7=0,AB7=1),1,0)</formula>
    </cfRule>
    <cfRule type="expression" dxfId="223" priority="349">
      <formula>IF(AND(AA7=1,AB7=1),1,0)</formula>
    </cfRule>
    <cfRule type="expression" dxfId="222" priority="350">
      <formula>IF(AND(AA7=0,AB7=0),1,0)</formula>
    </cfRule>
    <cfRule type="expression" dxfId="221" priority="351">
      <formula>IF(AND(AA7=1,AB7=0),1,0)</formula>
    </cfRule>
  </conditionalFormatting>
  <conditionalFormatting sqref="F7:F78">
    <cfRule type="expression" dxfId="220" priority="354" stopIfTrue="1">
      <formula>IF(AND($F7&gt;$G7,ISNUMBER($F7),ISNUMBER($G7)),1,0)</formula>
    </cfRule>
  </conditionalFormatting>
  <conditionalFormatting sqref="G7:G78">
    <cfRule type="expression" dxfId="219" priority="355" stopIfTrue="1">
      <formula>IF(AND($F7&lt;$G7,ISNUMBER($F7),ISNUMBER($G7)),1,0)</formula>
    </cfRule>
  </conditionalFormatting>
  <conditionalFormatting sqref="H7:H78">
    <cfRule type="expression" dxfId="218" priority="340">
      <formula>IF(AND(AA7=0,AB7=-1),1,0)</formula>
    </cfRule>
    <cfRule type="expression" dxfId="217" priority="341">
      <formula>IF(AND(AA7=1,AB7=-1),1,0)</formula>
    </cfRule>
    <cfRule type="expression" dxfId="216" priority="342">
      <formula>IF(AND(AA7=0,AB7=1),1,0)</formula>
    </cfRule>
    <cfRule type="expression" dxfId="215" priority="343">
      <formula>IF(AND(AA7=1,AB7=1),1,0)</formula>
    </cfRule>
    <cfRule type="expression" dxfId="214" priority="344">
      <formula>IF(AND(AA7=0,AB7=0),1,0)</formula>
    </cfRule>
    <cfRule type="expression" dxfId="213" priority="345">
      <formula>IF(AND(AA7=1,AB7=0),1,0)</formula>
    </cfRule>
    <cfRule type="expression" dxfId="212" priority="352">
      <formula>IF(AND(AA7=1,AB7=""),1,0)</formula>
    </cfRule>
  </conditionalFormatting>
  <conditionalFormatting sqref="J9:P9 J15:P15 J21:P21 J27:P27 J33:P33 J39:P39 J45:P45 J51:P51">
    <cfRule type="expression" dxfId="211" priority="356" stopIfTrue="1">
      <formula>IF(SUM($K9:$K12)=12,1,0)</formula>
    </cfRule>
  </conditionalFormatting>
  <conditionalFormatting sqref="J10:P10 J16:P16 J22:P22 J28:P28 J34:P34 J40:P40 J46:P46 J52:P52">
    <cfRule type="expression" dxfId="210" priority="357" stopIfTrue="1">
      <formula>IF(SUM($K9:$K12)=12,1,0)</formula>
    </cfRule>
  </conditionalFormatting>
  <conditionalFormatting sqref="J11:P11 J17:P17 J23:P23 J29:P29 J35:P35 J41:P41 J47:P47 J53:P53">
    <cfRule type="expression" dxfId="209" priority="359" stopIfTrue="1">
      <formula>IF(SUM($K9:$K12)=12,1,0)</formula>
    </cfRule>
  </conditionalFormatting>
  <conditionalFormatting sqref="J12:P12 J18:P18 J24:P24 J30:P30 J36:P36 J42:P42 J48:P48 J54:P55">
    <cfRule type="expression" dxfId="208" priority="358" stopIfTrue="1">
      <formula>IF(SUM($K9:$K12)=12,1,0)</formula>
    </cfRule>
  </conditionalFormatting>
  <conditionalFormatting sqref="J57:P57">
    <cfRule type="expression" dxfId="207" priority="235" stopIfTrue="1">
      <formula>IF(SUM($K57:$K60)=12,1,0)</formula>
    </cfRule>
  </conditionalFormatting>
  <conditionalFormatting sqref="J58:P58">
    <cfRule type="expression" dxfId="206" priority="236" stopIfTrue="1">
      <formula>IF(SUM($K57:$K60)=12,1,0)</formula>
    </cfRule>
  </conditionalFormatting>
  <conditionalFormatting sqref="J59:P59">
    <cfRule type="expression" dxfId="205" priority="238" stopIfTrue="1">
      <formula>IF(SUM($K57:$K60)=12,1,0)</formula>
    </cfRule>
  </conditionalFormatting>
  <conditionalFormatting sqref="J60:P61">
    <cfRule type="expression" dxfId="204" priority="237" stopIfTrue="1">
      <formula>IF(SUM($K57:$K60)=12,1,0)</formula>
    </cfRule>
  </conditionalFormatting>
  <conditionalFormatting sqref="J63:P63">
    <cfRule type="expression" dxfId="203" priority="231" stopIfTrue="1">
      <formula>IF(SUM($K63:$K66)=12,1,0)</formula>
    </cfRule>
  </conditionalFormatting>
  <conditionalFormatting sqref="J64:P64">
    <cfRule type="expression" dxfId="202" priority="232" stopIfTrue="1">
      <formula>IF(SUM($K63:$K66)=12,1,0)</formula>
    </cfRule>
  </conditionalFormatting>
  <conditionalFormatting sqref="J65:P65">
    <cfRule type="expression" dxfId="201" priority="234" stopIfTrue="1">
      <formula>IF(SUM($K63:$K66)=12,1,0)</formula>
    </cfRule>
  </conditionalFormatting>
  <conditionalFormatting sqref="J66:P67">
    <cfRule type="expression" dxfId="200" priority="233" stopIfTrue="1">
      <formula>IF(SUM($K63:$K66)=12,1,0)</formula>
    </cfRule>
  </conditionalFormatting>
  <conditionalFormatting sqref="J69:P69">
    <cfRule type="expression" dxfId="199" priority="227" stopIfTrue="1">
      <formula>IF(SUM($K69:$K72)=12,1,0)</formula>
    </cfRule>
  </conditionalFormatting>
  <conditionalFormatting sqref="J70:P70">
    <cfRule type="expression" dxfId="198" priority="228" stopIfTrue="1">
      <formula>IF(SUM($K69:$K72)=12,1,0)</formula>
    </cfRule>
  </conditionalFormatting>
  <conditionalFormatting sqref="J71:P71">
    <cfRule type="expression" dxfId="197" priority="230" stopIfTrue="1">
      <formula>IF(SUM($K69:$K72)=12,1,0)</formula>
    </cfRule>
  </conditionalFormatting>
  <conditionalFormatting sqref="J72:P73">
    <cfRule type="expression" dxfId="196" priority="229" stopIfTrue="1">
      <formula>IF(SUM($K69:$K72)=12,1,0)</formula>
    </cfRule>
  </conditionalFormatting>
  <conditionalFormatting sqref="J75:P75">
    <cfRule type="expression" dxfId="195" priority="223" stopIfTrue="1">
      <formula>IF(SUM($K75:$K78)=12,1,0)</formula>
    </cfRule>
  </conditionalFormatting>
  <conditionalFormatting sqref="J76:P76">
    <cfRule type="expression" dxfId="194" priority="224" stopIfTrue="1">
      <formula>IF(SUM($K75:$K78)=12,1,0)</formula>
    </cfRule>
  </conditionalFormatting>
  <conditionalFormatting sqref="J77:P77">
    <cfRule type="expression" dxfId="193" priority="226" stopIfTrue="1">
      <formula>IF(SUM($K75:$K78)=12,1,0)</formula>
    </cfRule>
  </conditionalFormatting>
  <conditionalFormatting sqref="J78:P79">
    <cfRule type="expression" dxfId="192" priority="225" stopIfTrue="1">
      <formula>IF(SUM($K75:$K78)=12,1,0)</formula>
    </cfRule>
  </conditionalFormatting>
  <conditionalFormatting sqref="BL10">
    <cfRule type="expression" dxfId="191" priority="218">
      <formula>IF(BP10&lt;BP11,1,0)</formula>
    </cfRule>
    <cfRule type="expression" dxfId="190" priority="220">
      <formula>IF(BP10&gt;BP11,1,0)</formula>
    </cfRule>
  </conditionalFormatting>
  <conditionalFormatting sqref="BL11">
    <cfRule type="expression" dxfId="189" priority="217">
      <formula>IF(BP10&lt;BP11,1,0)</formula>
    </cfRule>
    <cfRule type="expression" dxfId="188" priority="219">
      <formula>IF(BP10&gt;BP11,1,0)</formula>
    </cfRule>
  </conditionalFormatting>
  <conditionalFormatting sqref="BL14">
    <cfRule type="expression" dxfId="187" priority="182">
      <formula>IF(BP14&lt;BP15,1,0)</formula>
    </cfRule>
    <cfRule type="expression" dxfId="186" priority="184">
      <formula>IF(BP14&gt;BP15,1,0)</formula>
    </cfRule>
  </conditionalFormatting>
  <conditionalFormatting sqref="BL15">
    <cfRule type="expression" dxfId="185" priority="181">
      <formula>IF(BP14&lt;BP15,1,0)</formula>
    </cfRule>
    <cfRule type="expression" dxfId="184" priority="183">
      <formula>IF(BP14&gt;BP15,1,0)</formula>
    </cfRule>
  </conditionalFormatting>
  <conditionalFormatting sqref="BL18">
    <cfRule type="expression" dxfId="183" priority="176">
      <formula>IF(BP18&lt;BP19,1,0)</formula>
    </cfRule>
    <cfRule type="expression" dxfId="182" priority="178">
      <formula>IF(BP18&gt;BP19,1,0)</formula>
    </cfRule>
  </conditionalFormatting>
  <conditionalFormatting sqref="BL19">
    <cfRule type="expression" dxfId="181" priority="175">
      <formula>IF(BP18&lt;BP19,1,0)</formula>
    </cfRule>
    <cfRule type="expression" dxfId="180" priority="177">
      <formula>IF(BP18&gt;BP19,1,0)</formula>
    </cfRule>
  </conditionalFormatting>
  <conditionalFormatting sqref="BL22">
    <cfRule type="expression" dxfId="179" priority="170">
      <formula>IF(BP22&lt;BP23,1,0)</formula>
    </cfRule>
    <cfRule type="expression" dxfId="178" priority="172">
      <formula>IF(BP22&gt;BP23,1,0)</formula>
    </cfRule>
  </conditionalFormatting>
  <conditionalFormatting sqref="BL23">
    <cfRule type="expression" dxfId="177" priority="169">
      <formula>IF(BP22&lt;BP23,1,0)</formula>
    </cfRule>
    <cfRule type="expression" dxfId="176" priority="171">
      <formula>IF(BP22&gt;BP23,1,0)</formula>
    </cfRule>
  </conditionalFormatting>
  <conditionalFormatting sqref="BL26">
    <cfRule type="expression" dxfId="175" priority="164">
      <formula>IF(BP26&lt;BP27,1,0)</formula>
    </cfRule>
    <cfRule type="expression" dxfId="174" priority="166">
      <formula>IF(BP26&gt;BP27,1,0)</formula>
    </cfRule>
  </conditionalFormatting>
  <conditionalFormatting sqref="BL27">
    <cfRule type="expression" dxfId="173" priority="163">
      <formula>IF(BP26&lt;BP27,1,0)</formula>
    </cfRule>
    <cfRule type="expression" dxfId="172" priority="165">
      <formula>IF(BP26&gt;BP27,1,0)</formula>
    </cfRule>
  </conditionalFormatting>
  <conditionalFormatting sqref="BL30">
    <cfRule type="expression" dxfId="171" priority="158">
      <formula>IF(BP30&lt;BP31,1,0)</formula>
    </cfRule>
    <cfRule type="expression" dxfId="170" priority="160">
      <formula>IF(BP30&gt;BP31,1,0)</formula>
    </cfRule>
  </conditionalFormatting>
  <conditionalFormatting sqref="BL31">
    <cfRule type="expression" dxfId="169" priority="157">
      <formula>IF(BP30&lt;BP31,1,0)</formula>
    </cfRule>
    <cfRule type="expression" dxfId="168" priority="159">
      <formula>IF(BP30&gt;BP31,1,0)</formula>
    </cfRule>
  </conditionalFormatting>
  <conditionalFormatting sqref="BL34">
    <cfRule type="expression" dxfId="167" priority="152">
      <formula>IF(BP34&lt;BP35,1,0)</formula>
    </cfRule>
    <cfRule type="expression" dxfId="166" priority="154">
      <formula>IF(BP34&gt;BP35,1,0)</formula>
    </cfRule>
  </conditionalFormatting>
  <conditionalFormatting sqref="BL35">
    <cfRule type="expression" dxfId="165" priority="151">
      <formula>IF(BP34&lt;BP35,1,0)</formula>
    </cfRule>
    <cfRule type="expression" dxfId="164" priority="153">
      <formula>IF(BP34&gt;BP35,1,0)</formula>
    </cfRule>
  </conditionalFormatting>
  <conditionalFormatting sqref="BL38">
    <cfRule type="expression" dxfId="163" priority="146">
      <formula>IF(BP38&lt;BP39,1,0)</formula>
    </cfRule>
    <cfRule type="expression" dxfId="162" priority="148">
      <formula>IF(BP38&gt;BP39,1,0)</formula>
    </cfRule>
  </conditionalFormatting>
  <conditionalFormatting sqref="BL39">
    <cfRule type="expression" dxfId="161" priority="145">
      <formula>IF(BP38&lt;BP39,1,0)</formula>
    </cfRule>
    <cfRule type="expression" dxfId="160" priority="147">
      <formula>IF(BP38&gt;BP39,1,0)</formula>
    </cfRule>
  </conditionalFormatting>
  <conditionalFormatting sqref="BL42">
    <cfRule type="expression" dxfId="159" priority="140">
      <formula>IF(BP42&lt;BP43,1,0)</formula>
    </cfRule>
    <cfRule type="expression" dxfId="158" priority="142">
      <formula>IF(BP42&gt;BP43,1,0)</formula>
    </cfRule>
  </conditionalFormatting>
  <conditionalFormatting sqref="BL43">
    <cfRule type="expression" dxfId="157" priority="139">
      <formula>IF(BP42&lt;BP43,1,0)</formula>
    </cfRule>
    <cfRule type="expression" dxfId="156" priority="141">
      <formula>IF(BP42&gt;BP43,1,0)</formula>
    </cfRule>
  </conditionalFormatting>
  <conditionalFormatting sqref="BL46">
    <cfRule type="expression" dxfId="155" priority="134">
      <formula>IF(BP46&lt;BP47,1,0)</formula>
    </cfRule>
    <cfRule type="expression" dxfId="154" priority="136">
      <formula>IF(BP46&gt;BP47,1,0)</formula>
    </cfRule>
  </conditionalFormatting>
  <conditionalFormatting sqref="BL47">
    <cfRule type="expression" dxfId="153" priority="133">
      <formula>IF(BP46&lt;BP47,1,0)</formula>
    </cfRule>
    <cfRule type="expression" dxfId="152" priority="135">
      <formula>IF(BP46&gt;BP47,1,0)</formula>
    </cfRule>
  </conditionalFormatting>
  <conditionalFormatting sqref="BL50">
    <cfRule type="expression" dxfId="151" priority="128">
      <formula>IF(BP50&lt;BP51,1,0)</formula>
    </cfRule>
    <cfRule type="expression" dxfId="150" priority="130">
      <formula>IF(BP50&gt;BP51,1,0)</formula>
    </cfRule>
  </conditionalFormatting>
  <conditionalFormatting sqref="BL51">
    <cfRule type="expression" dxfId="149" priority="127">
      <formula>IF(BP50&lt;BP51,1,0)</formula>
    </cfRule>
    <cfRule type="expression" dxfId="148" priority="129">
      <formula>IF(BP50&gt;BP51,1,0)</formula>
    </cfRule>
  </conditionalFormatting>
  <conditionalFormatting sqref="BL54">
    <cfRule type="expression" dxfId="147" priority="122">
      <formula>IF(BP54&lt;BP55,1,0)</formula>
    </cfRule>
    <cfRule type="expression" dxfId="146" priority="124">
      <formula>IF(BP54&gt;BP55,1,0)</formula>
    </cfRule>
  </conditionalFormatting>
  <conditionalFormatting sqref="BL55">
    <cfRule type="expression" dxfId="145" priority="121">
      <formula>IF(BP54&lt;BP55,1,0)</formula>
    </cfRule>
    <cfRule type="expression" dxfId="144" priority="123">
      <formula>IF(BP54&gt;BP55,1,0)</formula>
    </cfRule>
  </conditionalFormatting>
  <conditionalFormatting sqref="BL58">
    <cfRule type="expression" dxfId="143" priority="116">
      <formula>IF(BP58&lt;BP59,1,0)</formula>
    </cfRule>
    <cfRule type="expression" dxfId="142" priority="118">
      <formula>IF(BP58&gt;BP59,1,0)</formula>
    </cfRule>
  </conditionalFormatting>
  <conditionalFormatting sqref="BL59">
    <cfRule type="expression" dxfId="141" priority="115">
      <formula>IF(BP58&lt;BP59,1,0)</formula>
    </cfRule>
    <cfRule type="expression" dxfId="140" priority="117">
      <formula>IF(BP58&gt;BP59,1,0)</formula>
    </cfRule>
  </conditionalFormatting>
  <conditionalFormatting sqref="BL62">
    <cfRule type="expression" dxfId="139" priority="110">
      <formula>IF(BP62&lt;BP63,1,0)</formula>
    </cfRule>
    <cfRule type="expression" dxfId="138" priority="112">
      <formula>IF(BP62&gt;BP63,1,0)</formula>
    </cfRule>
  </conditionalFormatting>
  <conditionalFormatting sqref="BL63">
    <cfRule type="expression" dxfId="137" priority="109">
      <formula>IF(BP62&lt;BP63,1,0)</formula>
    </cfRule>
    <cfRule type="expression" dxfId="136" priority="111">
      <formula>IF(BP62&gt;BP63,1,0)</formula>
    </cfRule>
  </conditionalFormatting>
  <conditionalFormatting sqref="BL66">
    <cfRule type="expression" dxfId="135" priority="104">
      <formula>IF(BP66&lt;BP67,1,0)</formula>
    </cfRule>
    <cfRule type="expression" dxfId="134" priority="106">
      <formula>IF(BP66&gt;BP67,1,0)</formula>
    </cfRule>
  </conditionalFormatting>
  <conditionalFormatting sqref="BL67">
    <cfRule type="expression" dxfId="133" priority="103">
      <formula>IF(BP66&lt;BP67,1,0)</formula>
    </cfRule>
    <cfRule type="expression" dxfId="132" priority="105">
      <formula>IF(BP66&gt;BP67,1,0)</formula>
    </cfRule>
  </conditionalFormatting>
  <conditionalFormatting sqref="BL70">
    <cfRule type="expression" dxfId="131" priority="98">
      <formula>IF(BP70&lt;BP71,1,0)</formula>
    </cfRule>
    <cfRule type="expression" dxfId="130" priority="100">
      <formula>IF(BP70&gt;BP71,1,0)</formula>
    </cfRule>
  </conditionalFormatting>
  <conditionalFormatting sqref="BL71">
    <cfRule type="expression" dxfId="129" priority="97">
      <formula>IF(BP70&lt;BP71,1,0)</formula>
    </cfRule>
    <cfRule type="expression" dxfId="128" priority="99">
      <formula>IF(BP70&gt;BP71,1,0)</formula>
    </cfRule>
  </conditionalFormatting>
  <conditionalFormatting sqref="BM10:BO10 BN22:BO22">
    <cfRule type="expression" dxfId="127" priority="222">
      <formula>IF(OR(BM10="",BM11=""),0,IF(BM10&gt;BM11,1,0))</formula>
    </cfRule>
  </conditionalFormatting>
  <conditionalFormatting sqref="BM11:BO11 BN23:BO23">
    <cfRule type="expression" dxfId="126" priority="221">
      <formula>IF(OR(BM10="",BM11=""),0,IF(BM10&lt;BM11,1,0))</formula>
    </cfRule>
  </conditionalFormatting>
  <conditionalFormatting sqref="BM14:BO14">
    <cfRule type="expression" dxfId="125" priority="186">
      <formula>IF(OR(BM14="",BM15=""),0,IF(BM14&gt;BM15,1,0))</formula>
    </cfRule>
  </conditionalFormatting>
  <conditionalFormatting sqref="BM15:BO15">
    <cfRule type="expression" dxfId="124" priority="185">
      <formula>IF(OR(BM14="",BM15=""),0,IF(BM14&lt;BM15,1,0))</formula>
    </cfRule>
  </conditionalFormatting>
  <conditionalFormatting sqref="BM18:BO18">
    <cfRule type="expression" dxfId="123" priority="180">
      <formula>IF(OR(BM18="",BM19=""),0,IF(BM18&gt;BM19,1,0))</formula>
    </cfRule>
  </conditionalFormatting>
  <conditionalFormatting sqref="BM19:BO19">
    <cfRule type="expression" dxfId="122" priority="179">
      <formula>IF(OR(BM18="",BM19=""),0,IF(BM18&lt;BM19,1,0))</formula>
    </cfRule>
  </conditionalFormatting>
  <conditionalFormatting sqref="BM26:BO26">
    <cfRule type="expression" dxfId="121" priority="168">
      <formula>IF(OR(BM26="",BM27=""),0,IF(BM26&gt;BM27,1,0))</formula>
    </cfRule>
  </conditionalFormatting>
  <conditionalFormatting sqref="BM27:BO27">
    <cfRule type="expression" dxfId="120" priority="167">
      <formula>IF(OR(BM26="",BM27=""),0,IF(BM26&lt;BM27,1,0))</formula>
    </cfRule>
  </conditionalFormatting>
  <conditionalFormatting sqref="BM30:BO30">
    <cfRule type="expression" dxfId="119" priority="162">
      <formula>IF(OR(BM30="",BM31=""),0,IF(BM30&gt;BM31,1,0))</formula>
    </cfRule>
  </conditionalFormatting>
  <conditionalFormatting sqref="BM31:BO31">
    <cfRule type="expression" dxfId="118" priority="161">
      <formula>IF(OR(BM30="",BM31=""),0,IF(BM30&lt;BM31,1,0))</formula>
    </cfRule>
  </conditionalFormatting>
  <conditionalFormatting sqref="BM34:BO34">
    <cfRule type="expression" dxfId="117" priority="156">
      <formula>IF(OR(BM34="",BM35=""),0,IF(BM34&gt;BM35,1,0))</formula>
    </cfRule>
  </conditionalFormatting>
  <conditionalFormatting sqref="BM35:BO35">
    <cfRule type="expression" dxfId="116" priority="155">
      <formula>IF(OR(BM34="",BM35=""),0,IF(BM34&lt;BM35,1,0))</formula>
    </cfRule>
  </conditionalFormatting>
  <conditionalFormatting sqref="BM38:BO38">
    <cfRule type="expression" dxfId="115" priority="150">
      <formula>IF(OR(BM38="",BM39=""),0,IF(BM38&gt;BM39,1,0))</formula>
    </cfRule>
  </conditionalFormatting>
  <conditionalFormatting sqref="BM39:BO39">
    <cfRule type="expression" dxfId="114" priority="149">
      <formula>IF(OR(BM38="",BM39=""),0,IF(BM38&lt;BM39,1,0))</formula>
    </cfRule>
  </conditionalFormatting>
  <conditionalFormatting sqref="BM42:BO42">
    <cfRule type="expression" dxfId="113" priority="144">
      <formula>IF(OR(BM42="",BM43=""),0,IF(BM42&gt;BM43,1,0))</formula>
    </cfRule>
  </conditionalFormatting>
  <conditionalFormatting sqref="BM43:BO43">
    <cfRule type="expression" dxfId="112" priority="143">
      <formula>IF(OR(BM42="",BM43=""),0,IF(BM42&lt;BM43,1,0))</formula>
    </cfRule>
  </conditionalFormatting>
  <conditionalFormatting sqref="BM46:BO46">
    <cfRule type="expression" dxfId="111" priority="138">
      <formula>IF(OR(BM46="",BM47=""),0,IF(BM46&gt;BM47,1,0))</formula>
    </cfRule>
  </conditionalFormatting>
  <conditionalFormatting sqref="BM47:BO47">
    <cfRule type="expression" dxfId="110" priority="137">
      <formula>IF(OR(BM46="",BM47=""),0,IF(BM46&lt;BM47,1,0))</formula>
    </cfRule>
  </conditionalFormatting>
  <conditionalFormatting sqref="BM50:BO50">
    <cfRule type="expression" dxfId="109" priority="132">
      <formula>IF(OR(BM50="",BM51=""),0,IF(BM50&gt;BM51,1,0))</formula>
    </cfRule>
  </conditionalFormatting>
  <conditionalFormatting sqref="BM51:BO51">
    <cfRule type="expression" dxfId="108" priority="131">
      <formula>IF(OR(BM50="",BM51=""),0,IF(BM50&lt;BM51,1,0))</formula>
    </cfRule>
  </conditionalFormatting>
  <conditionalFormatting sqref="BM54:BO54">
    <cfRule type="expression" dxfId="107" priority="126">
      <formula>IF(OR(BM54="",BM55=""),0,IF(BM54&gt;BM55,1,0))</formula>
    </cfRule>
  </conditionalFormatting>
  <conditionalFormatting sqref="BM55:BO55">
    <cfRule type="expression" dxfId="106" priority="125">
      <formula>IF(OR(BM54="",BM55=""),0,IF(BM54&lt;BM55,1,0))</formula>
    </cfRule>
  </conditionalFormatting>
  <conditionalFormatting sqref="BM58:BO58">
    <cfRule type="expression" dxfId="105" priority="120">
      <formula>IF(OR(BM58="",BM59=""),0,IF(BM58&gt;BM59,1,0))</formula>
    </cfRule>
  </conditionalFormatting>
  <conditionalFormatting sqref="BM59:BO59">
    <cfRule type="expression" dxfId="104" priority="119">
      <formula>IF(OR(BM58="",BM59=""),0,IF(BM58&lt;BM59,1,0))</formula>
    </cfRule>
  </conditionalFormatting>
  <conditionalFormatting sqref="BM62:BO62">
    <cfRule type="expression" dxfId="103" priority="114">
      <formula>IF(OR(BM62="",BM63=""),0,IF(BM62&gt;BM63,1,0))</formula>
    </cfRule>
  </conditionalFormatting>
  <conditionalFormatting sqref="BM63:BO63">
    <cfRule type="expression" dxfId="102" priority="113">
      <formula>IF(OR(BM62="",BM63=""),0,IF(BM62&lt;BM63,1,0))</formula>
    </cfRule>
  </conditionalFormatting>
  <conditionalFormatting sqref="BM66:BO66">
    <cfRule type="expression" dxfId="101" priority="108">
      <formula>IF(OR(BM66="",BM67=""),0,IF(BM66&gt;BM67,1,0))</formula>
    </cfRule>
  </conditionalFormatting>
  <conditionalFormatting sqref="BM67:BO67">
    <cfRule type="expression" dxfId="100" priority="107">
      <formula>IF(OR(BM66="",BM67=""),0,IF(BM66&lt;BM67,1,0))</formula>
    </cfRule>
  </conditionalFormatting>
  <conditionalFormatting sqref="BM70:BO70">
    <cfRule type="expression" dxfId="99" priority="102">
      <formula>IF(OR(BM70="",BM71=""),0,IF(BM70&gt;BM71,1,0))</formula>
    </cfRule>
  </conditionalFormatting>
  <conditionalFormatting sqref="BM71:BO71">
    <cfRule type="expression" dxfId="98" priority="101">
      <formula>IF(OR(BM70="",BM71=""),0,IF(BM70&lt;BM71,1,0))</formula>
    </cfRule>
  </conditionalFormatting>
  <conditionalFormatting sqref="BS12">
    <cfRule type="expression" dxfId="97" priority="50">
      <formula>IF(BW12&lt;BW13,1,0)</formula>
    </cfRule>
    <cfRule type="expression" dxfId="96" priority="52">
      <formula>IF(BW12&gt;BW13,1,0)</formula>
    </cfRule>
  </conditionalFormatting>
  <conditionalFormatting sqref="BS13">
    <cfRule type="expression" dxfId="95" priority="49">
      <formula>IF(BW12&lt;BW13,1,0)</formula>
    </cfRule>
    <cfRule type="expression" dxfId="94" priority="51">
      <formula>IF(BW12&gt;BW13,1,0)</formula>
    </cfRule>
  </conditionalFormatting>
  <conditionalFormatting sqref="BS20">
    <cfRule type="expression" dxfId="93" priority="56">
      <formula>IF(BW20&lt;BW21,1,0)</formula>
    </cfRule>
    <cfRule type="expression" dxfId="92" priority="58">
      <formula>IF(BW20&gt;BW21,1,0)</formula>
    </cfRule>
  </conditionalFormatting>
  <conditionalFormatting sqref="BS21">
    <cfRule type="expression" dxfId="91" priority="55">
      <formula>IF(BW20&lt;BW21,1,0)</formula>
    </cfRule>
    <cfRule type="expression" dxfId="90" priority="57">
      <formula>IF(BW20&gt;BW21,1,0)</formula>
    </cfRule>
  </conditionalFormatting>
  <conditionalFormatting sqref="BS28">
    <cfRule type="expression" dxfId="89" priority="62">
      <formula>IF(BW28&lt;BW29,1,0)</formula>
    </cfRule>
    <cfRule type="expression" dxfId="88" priority="64">
      <formula>IF(BW28&gt;BW29,1,0)</formula>
    </cfRule>
  </conditionalFormatting>
  <conditionalFormatting sqref="BS29">
    <cfRule type="expression" dxfId="87" priority="61">
      <formula>IF(BW28&lt;BW29,1,0)</formula>
    </cfRule>
    <cfRule type="expression" dxfId="86" priority="63">
      <formula>IF(BW28&gt;BW29,1,0)</formula>
    </cfRule>
  </conditionalFormatting>
  <conditionalFormatting sqref="BS36">
    <cfRule type="expression" dxfId="85" priority="68">
      <formula>IF(BW36&lt;BW37,1,0)</formula>
    </cfRule>
    <cfRule type="expression" dxfId="84" priority="70">
      <formula>IF(BW36&gt;BW37,1,0)</formula>
    </cfRule>
  </conditionalFormatting>
  <conditionalFormatting sqref="BS37">
    <cfRule type="expression" dxfId="83" priority="67">
      <formula>IF(BW36&lt;BW37,1,0)</formula>
    </cfRule>
    <cfRule type="expression" dxfId="82" priority="69">
      <formula>IF(BW36&gt;BW37,1,0)</formula>
    </cfRule>
  </conditionalFormatting>
  <conditionalFormatting sqref="BS44">
    <cfRule type="expression" dxfId="81" priority="74">
      <formula>IF(BW44&lt;BW45,1,0)</formula>
    </cfRule>
    <cfRule type="expression" dxfId="80" priority="76">
      <formula>IF(BW44&gt;BW45,1,0)</formula>
    </cfRule>
  </conditionalFormatting>
  <conditionalFormatting sqref="BS45">
    <cfRule type="expression" dxfId="79" priority="73">
      <formula>IF(BW44&lt;BW45,1,0)</formula>
    </cfRule>
    <cfRule type="expression" dxfId="78" priority="75">
      <formula>IF(BW44&gt;BW45,1,0)</formula>
    </cfRule>
  </conditionalFormatting>
  <conditionalFormatting sqref="BS52">
    <cfRule type="expression" dxfId="77" priority="80">
      <formula>IF(BW52&lt;BW53,1,0)</formula>
    </cfRule>
    <cfRule type="expression" dxfId="76" priority="82">
      <formula>IF(BW52&gt;BW53,1,0)</formula>
    </cfRule>
  </conditionalFormatting>
  <conditionalFormatting sqref="BS53">
    <cfRule type="expression" dxfId="75" priority="79">
      <formula>IF(BW52&lt;BW53,1,0)</formula>
    </cfRule>
    <cfRule type="expression" dxfId="74" priority="81">
      <formula>IF(BW52&gt;BW53,1,0)</formula>
    </cfRule>
  </conditionalFormatting>
  <conditionalFormatting sqref="BS60">
    <cfRule type="expression" dxfId="73" priority="86">
      <formula>IF(BW60&lt;BW61,1,0)</formula>
    </cfRule>
    <cfRule type="expression" dxfId="72" priority="88">
      <formula>IF(BW60&gt;BW61,1,0)</formula>
    </cfRule>
  </conditionalFormatting>
  <conditionalFormatting sqref="BS61">
    <cfRule type="expression" dxfId="71" priority="85">
      <formula>IF(BW60&lt;BW61,1,0)</formula>
    </cfRule>
    <cfRule type="expression" dxfId="70" priority="87">
      <formula>IF(BW60&gt;BW61,1,0)</formula>
    </cfRule>
  </conditionalFormatting>
  <conditionalFormatting sqref="BS68">
    <cfRule type="expression" dxfId="69" priority="92">
      <formula>IF(BW68&lt;BW69,1,0)</formula>
    </cfRule>
    <cfRule type="expression" dxfId="68" priority="94">
      <formula>IF(BW68&gt;BW69,1,0)</formula>
    </cfRule>
  </conditionalFormatting>
  <conditionalFormatting sqref="BS69">
    <cfRule type="expression" dxfId="67" priority="91">
      <formula>IF(BW68&lt;BW69,1,0)</formula>
    </cfRule>
    <cfRule type="expression" dxfId="66" priority="93">
      <formula>IF(BW68&gt;BW69,1,0)</formula>
    </cfRule>
  </conditionalFormatting>
  <conditionalFormatting sqref="BT12:BV12">
    <cfRule type="expression" dxfId="65" priority="54">
      <formula>IF(OR(BT12="",BT13=""),0,IF(BT12&gt;BT13,1,0))</formula>
    </cfRule>
  </conditionalFormatting>
  <conditionalFormatting sqref="BT13:BV13">
    <cfRule type="expression" dxfId="64" priority="53">
      <formula>IF(OR(BT12="",BT13=""),0,IF(BT12&lt;BT13,1,0))</formula>
    </cfRule>
  </conditionalFormatting>
  <conditionalFormatting sqref="BT20:BV20">
    <cfRule type="expression" dxfId="63" priority="60">
      <formula>IF(OR(BT20="",BT21=""),0,IF(BT20&gt;BT21,1,0))</formula>
    </cfRule>
  </conditionalFormatting>
  <conditionalFormatting sqref="BT21:BV21">
    <cfRule type="expression" dxfId="62" priority="59">
      <formula>IF(OR(BT20="",BT21=""),0,IF(BT20&lt;BT21,1,0))</formula>
    </cfRule>
  </conditionalFormatting>
  <conditionalFormatting sqref="BT28:BV28">
    <cfRule type="expression" dxfId="61" priority="66">
      <formula>IF(OR(BT28="",BT29=""),0,IF(BT28&gt;BT29,1,0))</formula>
    </cfRule>
  </conditionalFormatting>
  <conditionalFormatting sqref="BT29:BV29">
    <cfRule type="expression" dxfId="60" priority="65">
      <formula>IF(OR(BT28="",BT29=""),0,IF(BT28&lt;BT29,1,0))</formula>
    </cfRule>
  </conditionalFormatting>
  <conditionalFormatting sqref="BT36:BV36">
    <cfRule type="expression" dxfId="59" priority="72">
      <formula>IF(OR(BT36="",BT37=""),0,IF(BT36&gt;BT37,1,0))</formula>
    </cfRule>
  </conditionalFormatting>
  <conditionalFormatting sqref="BT37:BV37">
    <cfRule type="expression" dxfId="58" priority="71">
      <formula>IF(OR(BT36="",BT37=""),0,IF(BT36&lt;BT37,1,0))</formula>
    </cfRule>
  </conditionalFormatting>
  <conditionalFormatting sqref="BT44:BV44">
    <cfRule type="expression" dxfId="57" priority="78">
      <formula>IF(OR(BT44="",BT45=""),0,IF(BT44&gt;BT45,1,0))</formula>
    </cfRule>
  </conditionalFormatting>
  <conditionalFormatting sqref="BT45:BV45">
    <cfRule type="expression" dxfId="56" priority="77">
      <formula>IF(OR(BT44="",BT45=""),0,IF(BT44&lt;BT45,1,0))</formula>
    </cfRule>
  </conditionalFormatting>
  <conditionalFormatting sqref="BT52:BV52">
    <cfRule type="expression" dxfId="55" priority="84">
      <formula>IF(OR(BT52="",BT53=""),0,IF(BT52&gt;BT53,1,0))</formula>
    </cfRule>
  </conditionalFormatting>
  <conditionalFormatting sqref="BT53:BV53">
    <cfRule type="expression" dxfId="54" priority="83">
      <formula>IF(OR(BT52="",BT53=""),0,IF(BT52&lt;BT53,1,0))</formula>
    </cfRule>
  </conditionalFormatting>
  <conditionalFormatting sqref="BT60:BV60">
    <cfRule type="expression" dxfId="53" priority="90">
      <formula>IF(OR(BT60="",BT61=""),0,IF(BT60&gt;BT61,1,0))</formula>
    </cfRule>
  </conditionalFormatting>
  <conditionalFormatting sqref="BT61:BV61">
    <cfRule type="expression" dxfId="52" priority="89">
      <formula>IF(OR(BT60="",BT61=""),0,IF(BT60&lt;BT61,1,0))</formula>
    </cfRule>
  </conditionalFormatting>
  <conditionalFormatting sqref="BT68:BV68">
    <cfRule type="expression" dxfId="51" priority="96">
      <formula>IF(OR(BT68="",BT69=""),0,IF(BT68&gt;BT69,1,0))</formula>
    </cfRule>
  </conditionalFormatting>
  <conditionalFormatting sqref="BT69:BV69">
    <cfRule type="expression" dxfId="50" priority="95">
      <formula>IF(OR(BT68="",BT69=""),0,IF(BT68&lt;BT69,1,0))</formula>
    </cfRule>
  </conditionalFormatting>
  <conditionalFormatting sqref="BZ16">
    <cfRule type="expression" dxfId="49" priority="44">
      <formula>IF(CD16&lt;CD17,1,0)</formula>
    </cfRule>
    <cfRule type="expression" dxfId="48" priority="46">
      <formula>IF(CD16&gt;CD17,1,0)</formula>
    </cfRule>
  </conditionalFormatting>
  <conditionalFormatting sqref="BZ17">
    <cfRule type="expression" dxfId="47" priority="43">
      <formula>IF(CD16&lt;CD17,1,0)</formula>
    </cfRule>
    <cfRule type="expression" dxfId="46" priority="45">
      <formula>IF(CD16&gt;CD17,1,0)</formula>
    </cfRule>
  </conditionalFormatting>
  <conditionalFormatting sqref="BZ32">
    <cfRule type="expression" dxfId="45" priority="38">
      <formula>IF(CD32&lt;CD33,1,0)</formula>
    </cfRule>
    <cfRule type="expression" dxfId="44" priority="40">
      <formula>IF(CD32&gt;CD33,1,0)</formula>
    </cfRule>
  </conditionalFormatting>
  <conditionalFormatting sqref="BZ33">
    <cfRule type="expression" dxfId="43" priority="37">
      <formula>IF(CD32&lt;CD33,1,0)</formula>
    </cfRule>
    <cfRule type="expression" dxfId="42" priority="39">
      <formula>IF(CD32&gt;CD33,1,0)</formula>
    </cfRule>
  </conditionalFormatting>
  <conditionalFormatting sqref="BZ48">
    <cfRule type="expression" dxfId="41" priority="32">
      <formula>IF(CD48&lt;CD49,1,0)</formula>
    </cfRule>
    <cfRule type="expression" dxfId="40" priority="34">
      <formula>IF(CD48&gt;CD49,1,0)</formula>
    </cfRule>
  </conditionalFormatting>
  <conditionalFormatting sqref="BZ49">
    <cfRule type="expression" dxfId="39" priority="31">
      <formula>IF(CD48&lt;CD49,1,0)</formula>
    </cfRule>
    <cfRule type="expression" dxfId="38" priority="33">
      <formula>IF(CD48&gt;CD49,1,0)</formula>
    </cfRule>
  </conditionalFormatting>
  <conditionalFormatting sqref="BZ64">
    <cfRule type="expression" dxfId="37" priority="26">
      <formula>IF(CD64&lt;CD65,1,0)</formula>
    </cfRule>
    <cfRule type="expression" dxfId="36" priority="28">
      <formula>IF(CD64&gt;CD65,1,0)</formula>
    </cfRule>
  </conditionalFormatting>
  <conditionalFormatting sqref="BZ65">
    <cfRule type="expression" dxfId="35" priority="25">
      <formula>IF(CD64&lt;CD65,1,0)</formula>
    </cfRule>
    <cfRule type="expression" dxfId="34" priority="27">
      <formula>IF(CD64&gt;CD65,1,0)</formula>
    </cfRule>
  </conditionalFormatting>
  <conditionalFormatting sqref="CA16:CC16">
    <cfRule type="expression" dxfId="33" priority="48">
      <formula>IF(OR(CA16="",CA17=""),0,IF(CA16&gt;CA17,1,0))</formula>
    </cfRule>
  </conditionalFormatting>
  <conditionalFormatting sqref="CA17:CC17">
    <cfRule type="expression" dxfId="32" priority="47">
      <formula>IF(OR(CA16="",CA17=""),0,IF(CA16&lt;CA17,1,0))</formula>
    </cfRule>
  </conditionalFormatting>
  <conditionalFormatting sqref="CA32:CC32">
    <cfRule type="expression" dxfId="31" priority="42">
      <formula>IF(OR(CA32="",CA33=""),0,IF(CA32&gt;CA33,1,0))</formula>
    </cfRule>
  </conditionalFormatting>
  <conditionalFormatting sqref="CA33:CC33">
    <cfRule type="expression" dxfId="30" priority="41">
      <formula>IF(OR(CA32="",CA33=""),0,IF(CA32&lt;CA33,1,0))</formula>
    </cfRule>
  </conditionalFormatting>
  <conditionalFormatting sqref="CA48:CC48">
    <cfRule type="expression" dxfId="29" priority="36">
      <formula>IF(OR(CA48="",CA49=""),0,IF(CA48&gt;CA49,1,0))</formula>
    </cfRule>
  </conditionalFormatting>
  <conditionalFormatting sqref="CA49:CC49">
    <cfRule type="expression" dxfId="28" priority="35">
      <formula>IF(OR(CA48="",CA49=""),0,IF(CA48&lt;CA49,1,0))</formula>
    </cfRule>
  </conditionalFormatting>
  <conditionalFormatting sqref="CA64:CC64">
    <cfRule type="expression" dxfId="27" priority="30">
      <formula>IF(OR(CA64="",CA65=""),0,IF(CA64&gt;CA65,1,0))</formula>
    </cfRule>
  </conditionalFormatting>
  <conditionalFormatting sqref="CA65:CC65">
    <cfRule type="expression" dxfId="26" priority="29">
      <formula>IF(OR(CA64="",CA65=""),0,IF(CA64&lt;CA65,1,0))</formula>
    </cfRule>
  </conditionalFormatting>
  <conditionalFormatting sqref="CG23">
    <cfRule type="expression" dxfId="25" priority="14">
      <formula>IF(CK23&lt;CK24,1,0)</formula>
    </cfRule>
    <cfRule type="expression" dxfId="24" priority="16">
      <formula>IF(CK23&gt;CK24,1,0)</formula>
    </cfRule>
  </conditionalFormatting>
  <conditionalFormatting sqref="CG24">
    <cfRule type="expression" dxfId="23" priority="13">
      <formula>IF(CK23&lt;CK24,1,0)</formula>
    </cfRule>
    <cfRule type="expression" dxfId="22" priority="15">
      <formula>IF(CK23&gt;CK24,1,0)</formula>
    </cfRule>
  </conditionalFormatting>
  <conditionalFormatting sqref="CG55">
    <cfRule type="expression" dxfId="21" priority="20">
      <formula>IF(CK55&lt;CK56,1,0)</formula>
    </cfRule>
    <cfRule type="expression" dxfId="20" priority="22">
      <formula>IF(CK55&gt;CK56,1,0)</formula>
    </cfRule>
  </conditionalFormatting>
  <conditionalFormatting sqref="CG56">
    <cfRule type="expression" dxfId="19" priority="19">
      <formula>IF(CK55&lt;CK56,1,0)</formula>
    </cfRule>
    <cfRule type="expression" dxfId="18" priority="21">
      <formula>IF(CK55&gt;CK56,1,0)</formula>
    </cfRule>
  </conditionalFormatting>
  <conditionalFormatting sqref="CH23:CJ23">
    <cfRule type="expression" dxfId="17" priority="18">
      <formula>IF(OR(CH23="",CH24=""),0,IF(CH23&gt;CH24,1,0))</formula>
    </cfRule>
  </conditionalFormatting>
  <conditionalFormatting sqref="CH24:CJ24">
    <cfRule type="expression" dxfId="16" priority="17">
      <formula>IF(OR(CH23="",CH24=""),0,IF(CH23&lt;CH24,1,0))</formula>
    </cfRule>
  </conditionalFormatting>
  <conditionalFormatting sqref="CH55:CJ55">
    <cfRule type="expression" dxfId="15" priority="24">
      <formula>IF(OR(CH55="",CH56=""),0,IF(CH55&gt;CH56,1,0))</formula>
    </cfRule>
  </conditionalFormatting>
  <conditionalFormatting sqref="CH56:CJ56">
    <cfRule type="expression" dxfId="14" priority="23">
      <formula>IF(OR(CH55="",CH56=""),0,IF(CH55&lt;CH56,1,0))</formula>
    </cfRule>
  </conditionalFormatting>
  <conditionalFormatting sqref="CN37">
    <cfRule type="expression" dxfId="13" priority="8">
      <formula>IF(CR37&lt;CR38,1,0)</formula>
    </cfRule>
    <cfRule type="expression" dxfId="12" priority="10">
      <formula>IF(CR37&gt;CR38,1,0)</formula>
    </cfRule>
  </conditionalFormatting>
  <conditionalFormatting sqref="CN38">
    <cfRule type="expression" dxfId="11" priority="7">
      <formula>IF(CR37&lt;CR38,1,0)</formula>
    </cfRule>
    <cfRule type="expression" dxfId="10" priority="9">
      <formula>IF(CR37&gt;CR38,1,0)</formula>
    </cfRule>
  </conditionalFormatting>
  <conditionalFormatting sqref="CN48">
    <cfRule type="expression" dxfId="9" priority="2">
      <formula>IF(CR48&lt;CR49,1,0)</formula>
    </cfRule>
    <cfRule type="expression" dxfId="8" priority="4">
      <formula>IF(CR48&gt;CR49,1,0)</formula>
    </cfRule>
  </conditionalFormatting>
  <conditionalFormatting sqref="CN49">
    <cfRule type="expression" dxfId="7" priority="1">
      <formula>IF(CR48&lt;CR49,1,0)</formula>
    </cfRule>
    <cfRule type="expression" dxfId="6" priority="3">
      <formula>IF(CR48&gt;CR49,1,0)</formula>
    </cfRule>
  </conditionalFormatting>
  <conditionalFormatting sqref="CO37:CQ37">
    <cfRule type="expression" dxfId="5" priority="12">
      <formula>IF(OR(CO37="",CO38=""),0,IF(CO37&gt;CO38,1,0))</formula>
    </cfRule>
  </conditionalFormatting>
  <conditionalFormatting sqref="CO38:CQ38">
    <cfRule type="expression" dxfId="4" priority="11">
      <formula>IF(OR(CO37="",CO38=""),0,IF(CO37&lt;CO38,1,0))</formula>
    </cfRule>
  </conditionalFormatting>
  <conditionalFormatting sqref="CO48:CQ48">
    <cfRule type="expression" dxfId="3" priority="6">
      <formula>IF(OR(CO48="",CO49=""),0,IF(CO48&gt;CO49,1,0))</formula>
    </cfRule>
  </conditionalFormatting>
  <conditionalFormatting sqref="CO49:CQ49">
    <cfRule type="expression" dxfId="2" priority="5">
      <formula>IF(OR(CO48="",CO49=""),0,IF(CO48&lt;CO49,1,0))</formula>
    </cfRule>
  </conditionalFormatting>
  <conditionalFormatting sqref="BM23">
    <cfRule type="expression" dxfId="0" priority="361">
      <formula>IF(OR(BM23="",#REF!=""),0,IF(BM23&gt;#REF!,1,0))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 BM23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640625" defaultRowHeight="15" x14ac:dyDescent="0.2"/>
  <cols>
    <col min="1" max="1" width="2.5" style="82" customWidth="1"/>
    <col min="2" max="2" width="9.1640625" style="81"/>
    <col min="3" max="3" width="13.6640625" style="81" customWidth="1"/>
    <col min="4" max="11" width="9.5" style="81" customWidth="1"/>
    <col min="12" max="16384" width="9.16406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484</v>
      </c>
      <c r="C3" s="121" t="str">
        <f>'2026 World Cup'!AR91</f>
        <v>ABCDEFIL</v>
      </c>
      <c r="D3" s="121" t="str">
        <f>VLOOKUP($C3,$C$6:$K$500,2,FALSE)</f>
        <v>3C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1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Philipp Matthias Lutscher</cp:lastModifiedBy>
  <cp:revision/>
  <dcterms:created xsi:type="dcterms:W3CDTF">2017-12-27T19:32:51Z</dcterms:created>
  <dcterms:modified xsi:type="dcterms:W3CDTF">2026-06-10T13:20:21Z</dcterms:modified>
  <cp:category>Sports</cp:category>
  <cp:contentStatus/>
</cp:coreProperties>
</file>
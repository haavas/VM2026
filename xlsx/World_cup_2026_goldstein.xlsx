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old\Downloads\"/>
    </mc:Choice>
  </mc:AlternateContent>
  <xr:revisionPtr revIDLastSave="0" documentId="13_ncr:1_{CE324CF6-AD6B-4529-BC61-F66B2FCA2BD5}" xr6:coauthVersionLast="47" xr6:coauthVersionMax="47" xr10:uidLastSave="{00000000-0000-0000-0000-000000000000}"/>
  <bookViews>
    <workbookView xWindow="-83" yWindow="0" windowWidth="12166" windowHeight="14362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BP11" i="3" l="1"/>
  <c r="CR38" i="3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Y6" i="3" a="1"/>
  <c r="CF6" i="3" a="1"/>
  <c r="CM33" i="3" a="1"/>
  <c r="X103" i="3" s="1"/>
  <c r="CM44" i="3" a="1"/>
  <c r="P8" i="3" a="1"/>
  <c r="O8" i="3" a="1"/>
  <c r="N8" i="3" a="1"/>
  <c r="M8" i="3" a="1"/>
  <c r="L8" i="3" a="1"/>
  <c r="K8" i="3" a="1"/>
  <c r="P14" i="3" a="1"/>
  <c r="O14" i="3" a="1"/>
  <c r="N14" i="3" a="1"/>
  <c r="M14" i="3" a="1"/>
  <c r="L14" i="3" a="1"/>
  <c r="K14" i="3" a="1"/>
  <c r="P20" i="3" a="1"/>
  <c r="O20" i="3" a="1"/>
  <c r="N20" i="3" a="1"/>
  <c r="M20" i="3" a="1"/>
  <c r="L20" i="3" a="1"/>
  <c r="K20" i="3" a="1"/>
  <c r="P26" i="3" a="1"/>
  <c r="O26" i="3" a="1"/>
  <c r="N26" i="3" a="1"/>
  <c r="M26" i="3" a="1"/>
  <c r="L26" i="3" a="1"/>
  <c r="K26" i="3" a="1"/>
  <c r="P32" i="3" a="1"/>
  <c r="O32" i="3" a="1"/>
  <c r="N32" i="3" a="1"/>
  <c r="M32" i="3" a="1"/>
  <c r="L32" i="3" a="1"/>
  <c r="K32" i="3" a="1"/>
  <c r="P38" i="3" a="1"/>
  <c r="O38" i="3" a="1"/>
  <c r="N38" i="3" a="1"/>
  <c r="M38" i="3" a="1"/>
  <c r="L38" i="3" a="1"/>
  <c r="K38" i="3" a="1"/>
  <c r="P44" i="3" a="1"/>
  <c r="O44" i="3" a="1"/>
  <c r="N44" i="3" a="1"/>
  <c r="M44" i="3" a="1"/>
  <c r="L44" i="3" a="1"/>
  <c r="K44" i="3" a="1"/>
  <c r="P50" i="3" a="1"/>
  <c r="O50" i="3" a="1"/>
  <c r="N50" i="3" a="1"/>
  <c r="M50" i="3" a="1"/>
  <c r="L50" i="3" a="1"/>
  <c r="K50" i="3" a="1"/>
  <c r="P56" i="3" a="1"/>
  <c r="O56" i="3" a="1"/>
  <c r="N56" i="3" a="1"/>
  <c r="M56" i="3" a="1"/>
  <c r="L56" i="3" a="1"/>
  <c r="K56" i="3" a="1"/>
  <c r="P62" i="3" a="1"/>
  <c r="O62" i="3" a="1"/>
  <c r="N62" i="3" a="1"/>
  <c r="M62" i="3" a="1"/>
  <c r="L62" i="3" a="1"/>
  <c r="K62" i="3" a="1"/>
  <c r="P68" i="3" a="1"/>
  <c r="O68" i="3" a="1"/>
  <c r="N68" i="3" a="1"/>
  <c r="M68" i="3" a="1"/>
  <c r="L68" i="3" a="1"/>
  <c r="K68" i="3" a="1"/>
  <c r="P74" i="3" a="1"/>
  <c r="O74" i="3" a="1"/>
  <c r="N74" i="3" a="1"/>
  <c r="M74" i="3" a="1"/>
  <c r="L74" i="3" a="1"/>
  <c r="K74" i="3" a="1"/>
  <c r="P80" i="3" a="1"/>
  <c r="O80" i="3" a="1"/>
  <c r="N80" i="3" a="1"/>
  <c r="M80" i="3" a="1"/>
  <c r="L80" i="3" a="1"/>
  <c r="K80" i="3" a="1"/>
  <c r="J74" i="3" a="1"/>
  <c r="J68" i="3" a="1"/>
  <c r="J62" i="3" a="1"/>
  <c r="J56" i="3" a="1"/>
  <c r="J50" i="3" a="1"/>
  <c r="J44" i="3" a="1"/>
  <c r="J38" i="3" a="1"/>
  <c r="J32" i="3" a="1"/>
  <c r="J26" i="3" a="1"/>
  <c r="J20" i="3" a="1"/>
  <c r="J14" i="3" a="1"/>
  <c r="J8" i="3" a="1"/>
  <c r="A5" i="3" a="1"/>
  <c r="A1" i="3" a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R47" i="3"/>
  <c r="CM47" i="3" s="1" a="1"/>
  <c r="CK54" i="3"/>
  <c r="CF54" i="3" s="1" a="1"/>
  <c r="CD47" i="3"/>
  <c r="BY47" i="3" s="1" a="1"/>
  <c r="CK22" i="3"/>
  <c r="CF22" i="3" s="1" a="1"/>
  <c r="CD63" i="3"/>
  <c r="BY63" i="3" s="1" a="1"/>
  <c r="BY31" i="3" a="1"/>
  <c r="BW67" i="3"/>
  <c r="BR67" i="3" s="1" a="1"/>
  <c r="CD15" i="3"/>
  <c r="BY15" i="3" s="1" a="1"/>
  <c r="BW51" i="3"/>
  <c r="BR51" i="3" s="1" a="1"/>
  <c r="BR59" i="3" a="1"/>
  <c r="BW35" i="3"/>
  <c r="BR35" i="3" s="1" a="1"/>
  <c r="BW43" i="3"/>
  <c r="BR43" i="3" s="1" a="1"/>
  <c r="BW27" i="3"/>
  <c r="BR27" i="3" s="1" a="1"/>
  <c r="BR19" i="3" a="1"/>
  <c r="BP69" i="3"/>
  <c r="BK69" i="3" s="1" a="1"/>
  <c r="BW11" i="3"/>
  <c r="BR11" i="3" s="1" a="1"/>
  <c r="BP61" i="3"/>
  <c r="BK61" i="3" s="1" a="1"/>
  <c r="BP65" i="3"/>
  <c r="BK65" i="3" s="1" a="1"/>
  <c r="BP57" i="3"/>
  <c r="BK57" i="3" s="1" a="1"/>
  <c r="BK53" i="3" a="1"/>
  <c r="BP49" i="3"/>
  <c r="BK49" i="3" s="1" a="1"/>
  <c r="BK45" i="3" a="1"/>
  <c r="BK41" i="3" a="1"/>
  <c r="BP37" i="3"/>
  <c r="BK37" i="3" s="1" a="1"/>
  <c r="BP33" i="3"/>
  <c r="BK33" i="3" s="1" a="1"/>
  <c r="BK29" i="3" a="1"/>
  <c r="BP25" i="3"/>
  <c r="BK25" i="3" s="1" a="1"/>
  <c r="BP21" i="3"/>
  <c r="BK21" i="3" s="1" a="1"/>
  <c r="BK17" i="3" a="1"/>
  <c r="BP13" i="3"/>
  <c r="BK13" i="3" s="1" a="1"/>
  <c r="BP9" i="3"/>
  <c r="BK9" i="3" s="1" a="1"/>
  <c r="I15" i="2"/>
  <c r="AA7" i="2" l="1" a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B7" i="3" a="1"/>
  <c r="D8" i="3"/>
  <c r="C8" i="3" a="1"/>
  <c r="B8" i="3" a="1"/>
  <c r="D10" i="3"/>
  <c r="C10" i="3" a="1"/>
  <c r="B10" i="3" a="1"/>
  <c r="D18" i="3"/>
  <c r="C18" i="3" a="1"/>
  <c r="B18" i="3" a="1"/>
  <c r="D30" i="3"/>
  <c r="C30" i="3" a="1"/>
  <c r="B30" i="3" a="1"/>
  <c r="D54" i="3"/>
  <c r="C54" i="3" a="1"/>
  <c r="B54" i="3" a="1"/>
  <c r="D65" i="3"/>
  <c r="C65" i="3" a="1"/>
  <c r="B65" i="3" a="1"/>
  <c r="D66" i="3"/>
  <c r="C66" i="3" a="1"/>
  <c r="B66" i="3" a="1"/>
  <c r="D75" i="3"/>
  <c r="C75" i="3" a="1"/>
  <c r="B75" i="3" a="1"/>
  <c r="D76" i="3"/>
  <c r="C76" i="3" a="1"/>
  <c r="B76" i="3" a="1"/>
  <c r="D34" i="3"/>
  <c r="C34" i="3" a="1"/>
  <c r="B34" i="3" a="1"/>
  <c r="D59" i="3"/>
  <c r="C59" i="3" a="1"/>
  <c r="B59" i="3" a="1"/>
  <c r="D60" i="3"/>
  <c r="C60" i="3" a="1"/>
  <c r="B60" i="3" a="1"/>
  <c r="D42" i="3"/>
  <c r="C42" i="3" a="1"/>
  <c r="B42" i="3" a="1"/>
  <c r="D72" i="3"/>
  <c r="C72" i="3" a="1"/>
  <c r="B72" i="3" a="1"/>
  <c r="D31" i="3"/>
  <c r="C31" i="3" a="1"/>
  <c r="B31" i="3" a="1"/>
  <c r="D9" i="3"/>
  <c r="C9" i="3" a="1"/>
  <c r="B9" i="3" a="1"/>
  <c r="D13" i="3"/>
  <c r="C13" i="3" a="1"/>
  <c r="B13" i="3" a="1"/>
  <c r="D11" i="3"/>
  <c r="C11" i="3" a="1"/>
  <c r="B11" i="3" a="1"/>
  <c r="D35" i="3"/>
  <c r="C35" i="3" a="1"/>
  <c r="B35" i="3" a="1"/>
  <c r="D36" i="3"/>
  <c r="C36" i="3" a="1"/>
  <c r="B36" i="3" a="1"/>
  <c r="D55" i="3"/>
  <c r="C55" i="3" a="1"/>
  <c r="B55" i="3" a="1"/>
  <c r="D56" i="3"/>
  <c r="C56" i="3" a="1"/>
  <c r="B56" i="3" a="1"/>
  <c r="D15" i="3"/>
  <c r="C15" i="3" a="1"/>
  <c r="B15" i="3" a="1"/>
  <c r="D39" i="3"/>
  <c r="C39" i="3" a="1"/>
  <c r="B39" i="3" a="1"/>
  <c r="D61" i="3"/>
  <c r="C61" i="3" a="1"/>
  <c r="B61" i="3" a="1"/>
  <c r="D62" i="3"/>
  <c r="C62" i="3" a="1"/>
  <c r="B62" i="3" a="1"/>
  <c r="D20" i="3"/>
  <c r="C20" i="3" a="1"/>
  <c r="B20" i="3" a="1"/>
  <c r="D19" i="3"/>
  <c r="C19" i="3" a="1"/>
  <c r="B19" i="3" a="1"/>
  <c r="D43" i="3"/>
  <c r="C43" i="3" a="1"/>
  <c r="B43" i="3" a="1"/>
  <c r="D44" i="3"/>
  <c r="C44" i="3" a="1"/>
  <c r="B44" i="3" a="1"/>
  <c r="D23" i="3"/>
  <c r="C23" i="3" a="1"/>
  <c r="B23" i="3" a="1"/>
  <c r="D24" i="3"/>
  <c r="C24" i="3" a="1"/>
  <c r="B24" i="3" a="1"/>
  <c r="D48" i="3"/>
  <c r="C48" i="3" a="1"/>
  <c r="B48" i="3" a="1"/>
  <c r="D47" i="3"/>
  <c r="C47" i="3" a="1"/>
  <c r="B47" i="3" a="1"/>
  <c r="D67" i="3"/>
  <c r="C67" i="3" a="1"/>
  <c r="B67" i="3" a="1"/>
  <c r="D68" i="3"/>
  <c r="C68" i="3" a="1"/>
  <c r="B68" i="3" a="1"/>
  <c r="D77" i="3"/>
  <c r="C77" i="3" a="1"/>
  <c r="B77" i="3" a="1"/>
  <c r="D78" i="3"/>
  <c r="C78" i="3" a="1"/>
  <c r="B78" i="3" a="1"/>
  <c r="D27" i="3"/>
  <c r="C27" i="3" a="1"/>
  <c r="B27" i="3" a="1"/>
  <c r="D51" i="3"/>
  <c r="C51" i="3" a="1"/>
  <c r="B51" i="3" a="1"/>
  <c r="D52" i="3"/>
  <c r="C52" i="3" a="1"/>
  <c r="B52" i="3" a="1"/>
  <c r="D73" i="3"/>
  <c r="C73" i="3" a="1"/>
  <c r="B73" i="3" a="1"/>
  <c r="D74" i="3"/>
  <c r="C74" i="3" a="1"/>
  <c r="B74" i="3" a="1"/>
  <c r="D14" i="3"/>
  <c r="C14" i="3" a="1"/>
  <c r="B14" i="3" a="1"/>
  <c r="D32" i="3"/>
  <c r="C32" i="3" a="1"/>
  <c r="B32" i="3" a="1"/>
  <c r="D33" i="3"/>
  <c r="C33" i="3" a="1"/>
  <c r="B33" i="3" a="1"/>
  <c r="D57" i="3"/>
  <c r="C57" i="3" a="1"/>
  <c r="B57" i="3" a="1"/>
  <c r="D58" i="3"/>
  <c r="C58" i="3" a="1"/>
  <c r="B58" i="3" a="1"/>
  <c r="D12" i="3"/>
  <c r="C12" i="3" a="1"/>
  <c r="B12" i="3" a="1"/>
  <c r="D38" i="3"/>
  <c r="C38" i="3" a="1"/>
  <c r="B38" i="3" a="1"/>
  <c r="D37" i="3"/>
  <c r="C37" i="3" a="1"/>
  <c r="B37" i="3" a="1"/>
  <c r="D22" i="3"/>
  <c r="C22" i="3" a="1"/>
  <c r="B22" i="3" a="1"/>
  <c r="D21" i="3"/>
  <c r="C21" i="3" a="1"/>
  <c r="B21" i="3" a="1"/>
  <c r="D45" i="3"/>
  <c r="C45" i="3" a="1"/>
  <c r="B45" i="3" a="1"/>
  <c r="D46" i="3"/>
  <c r="C46" i="3" a="1"/>
  <c r="B46" i="3" a="1"/>
  <c r="D69" i="3"/>
  <c r="C69" i="3" a="1"/>
  <c r="B69" i="3" a="1"/>
  <c r="D70" i="3"/>
  <c r="C70" i="3" a="1"/>
  <c r="B70" i="3" a="1"/>
  <c r="D26" i="3"/>
  <c r="C26" i="3" a="1"/>
  <c r="B26" i="3" a="1"/>
  <c r="D50" i="3"/>
  <c r="C50" i="3" a="1"/>
  <c r="B50" i="3" a="1"/>
  <c r="D16" i="3"/>
  <c r="C16" i="3" a="1"/>
  <c r="B16" i="3" a="1"/>
  <c r="D40" i="3"/>
  <c r="C40" i="3" a="1"/>
  <c r="B40" i="3" a="1"/>
  <c r="D17" i="3"/>
  <c r="C17" i="3" a="1"/>
  <c r="B17" i="3" a="1"/>
  <c r="D41" i="3"/>
  <c r="C41" i="3" a="1"/>
  <c r="B41" i="3" a="1"/>
  <c r="D63" i="3"/>
  <c r="C63" i="3" a="1"/>
  <c r="B63" i="3" a="1"/>
  <c r="D64" i="3"/>
  <c r="C64" i="3" a="1"/>
  <c r="B64" i="3" a="1"/>
  <c r="D71" i="3"/>
  <c r="C71" i="3" a="1"/>
  <c r="B71" i="3" a="1"/>
  <c r="D25" i="3"/>
  <c r="C25" i="3" a="1"/>
  <c r="B25" i="3" a="1"/>
  <c r="D49" i="3"/>
  <c r="C49" i="3" a="1"/>
  <c r="B49" i="3" a="1"/>
  <c r="D29" i="3"/>
  <c r="C29" i="3" a="1"/>
  <c r="B29" i="3" a="1"/>
  <c r="D53" i="3"/>
  <c r="C53" i="3" a="1"/>
  <c r="B53" i="3" a="1"/>
  <c r="D28" i="3"/>
  <c r="C28" i="3" a="1"/>
  <c r="B28" i="3" a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S30" i="3"/>
  <c r="T30" i="3" s="1"/>
  <c r="S78" i="3"/>
  <c r="S26" i="3"/>
  <c r="T26" i="3" s="1"/>
  <c r="S75" i="3"/>
  <c r="S25" i="3"/>
  <c r="T25" i="3" s="1"/>
  <c r="S49" i="3"/>
  <c r="S68" i="3"/>
  <c r="S23" i="3"/>
  <c r="T23" i="3" s="1"/>
  <c r="S48" i="3"/>
  <c r="S43" i="3"/>
  <c r="S19" i="3"/>
  <c r="T19" i="3" s="1"/>
  <c r="S20" i="3"/>
  <c r="T20" i="3" s="1"/>
  <c r="S44" i="3"/>
  <c r="S46" i="3"/>
  <c r="S21" i="3"/>
  <c r="T21" i="3" s="1"/>
  <c r="S45" i="3"/>
  <c r="S18" i="3"/>
  <c r="T18" i="3" s="1"/>
  <c r="S63" i="3"/>
  <c r="S17" i="3"/>
  <c r="T17" i="3" s="1"/>
  <c r="S41" i="3"/>
  <c r="S15" i="3"/>
  <c r="T15" i="3" s="1"/>
  <c r="S61" i="3"/>
  <c r="S16" i="3"/>
  <c r="S39" i="3"/>
  <c r="S66" i="3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S29" i="3"/>
  <c r="T29" i="3" s="1"/>
  <c r="S53" i="3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78" i="3" l="1"/>
  <c r="T75" i="3"/>
  <c r="T74" i="3"/>
  <c r="T68" i="3"/>
  <c r="T66" i="3"/>
  <c r="T63" i="3"/>
  <c r="T61" i="3"/>
  <c r="T60" i="3"/>
  <c r="T56" i="3"/>
  <c r="T53" i="3"/>
  <c r="T51" i="3"/>
  <c r="T49" i="3"/>
  <c r="T48" i="3"/>
  <c r="T46" i="3"/>
  <c r="T45" i="3"/>
  <c r="T44" i="3"/>
  <c r="T43" i="3"/>
  <c r="T41" i="3"/>
  <c r="T39" i="3"/>
  <c r="T34" i="3"/>
  <c r="T16" i="3"/>
  <c r="T12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U77" i="3" a="1"/>
  <c r="AT76" i="3" a="1"/>
  <c r="AU76" i="3" a="1"/>
  <c r="AT75" i="3" a="1"/>
  <c r="AU75" i="3" a="1"/>
  <c r="AT74" i="3" a="1"/>
  <c r="AU74" i="3" a="1"/>
  <c r="AT71" i="3" a="1"/>
  <c r="AU71" i="3" a="1"/>
  <c r="AT70" i="3" a="1"/>
  <c r="AU70" i="3" a="1"/>
  <c r="AT69" i="3" a="1"/>
  <c r="AU69" i="3" a="1"/>
  <c r="AT68" i="3" a="1"/>
  <c r="AU68" i="3" a="1"/>
  <c r="AT65" i="3" a="1"/>
  <c r="AU65" i="3" a="1"/>
  <c r="AT64" i="3" a="1"/>
  <c r="AU64" i="3" a="1"/>
  <c r="AT63" i="3" a="1"/>
  <c r="AU63" i="3" a="1"/>
  <c r="AT62" i="3" a="1"/>
  <c r="AU62" i="3" a="1"/>
  <c r="AT59" i="3" a="1"/>
  <c r="AU59" i="3" a="1"/>
  <c r="AT58" i="3" a="1"/>
  <c r="AU58" i="3" a="1"/>
  <c r="AT57" i="3" a="1"/>
  <c r="AU57" i="3" a="1"/>
  <c r="AT56" i="3" a="1"/>
  <c r="AU56" i="3" a="1"/>
  <c r="AT53" i="3" a="1"/>
  <c r="AU53" i="3" a="1"/>
  <c r="AT52" i="3" a="1"/>
  <c r="AU52" i="3" a="1"/>
  <c r="AT51" i="3" a="1"/>
  <c r="AU51" i="3" a="1"/>
  <c r="AT50" i="3" a="1"/>
  <c r="AU50" i="3" a="1"/>
  <c r="AT47" i="3" a="1"/>
  <c r="AU47" i="3" a="1"/>
  <c r="AT46" i="3" a="1"/>
  <c r="AU46" i="3" a="1"/>
  <c r="AT45" i="3" a="1"/>
  <c r="AU45" i="3" a="1"/>
  <c r="AT44" i="3" a="1"/>
  <c r="AU44" i="3" a="1"/>
  <c r="AT41" i="3" a="1"/>
  <c r="AU41" i="3" a="1"/>
  <c r="AT40" i="3" a="1"/>
  <c r="AU40" i="3" a="1"/>
  <c r="AT39" i="3" a="1"/>
  <c r="AU39" i="3" a="1"/>
  <c r="AT38" i="3" a="1"/>
  <c r="AU38" i="3" a="1"/>
  <c r="AT35" i="3" a="1"/>
  <c r="AU35" i="3" a="1"/>
  <c r="AT34" i="3" a="1"/>
  <c r="AU34" i="3" a="1"/>
  <c r="AT33" i="3" a="1"/>
  <c r="AU33" i="3" a="1"/>
  <c r="AT32" i="3" a="1"/>
  <c r="AU32" i="3" a="1"/>
  <c r="AT29" i="3" a="1"/>
  <c r="AU29" i="3" a="1"/>
  <c r="AT28" i="3" a="1"/>
  <c r="AU28" i="3" a="1"/>
  <c r="AT27" i="3" a="1"/>
  <c r="AU27" i="3" a="1"/>
  <c r="AT26" i="3" a="1"/>
  <c r="AU26" i="3" a="1"/>
  <c r="AT23" i="3" a="1"/>
  <c r="AU23" i="3" a="1"/>
  <c r="AT22" i="3" a="1"/>
  <c r="AU22" i="3" a="1"/>
  <c r="AT21" i="3" a="1"/>
  <c r="AU21" i="3" a="1"/>
  <c r="AT20" i="3" a="1"/>
  <c r="AU20" i="3" a="1"/>
  <c r="AT17" i="3" a="1"/>
  <c r="AU17" i="3" a="1"/>
  <c r="AT16" i="3" a="1"/>
  <c r="AU16" i="3" a="1"/>
  <c r="AT15" i="3" a="1"/>
  <c r="AU15" i="3" a="1"/>
  <c r="AT14" i="3" a="1"/>
  <c r="AU14" i="3" a="1"/>
  <c r="AT11" i="3" a="1"/>
  <c r="AU11" i="3" a="1"/>
  <c r="AT10" i="3" a="1"/>
  <c r="AU10" i="3" a="1"/>
  <c r="AT9" i="3" a="1"/>
  <c r="AU9" i="3" a="1"/>
  <c r="AT8" i="3" a="1"/>
  <c r="AU8" i="3" a="1"/>
  <c r="AV8" i="3" a="1"/>
  <c r="AW8" i="3" a="1"/>
  <c r="AV9" i="3" a="1"/>
  <c r="AW9" i="3" a="1"/>
  <c r="AV10" i="3" a="1"/>
  <c r="AW10" i="3" a="1"/>
  <c r="AV11" i="3" a="1"/>
  <c r="AW11" i="3" a="1"/>
  <c r="AV14" i="3" a="1"/>
  <c r="AW14" i="3" a="1"/>
  <c r="AV15" i="3" a="1"/>
  <c r="AW15" i="3" a="1"/>
  <c r="AV16" i="3" a="1"/>
  <c r="AW16" i="3" a="1"/>
  <c r="AV17" i="3" a="1"/>
  <c r="AW17" i="3" a="1"/>
  <c r="AV20" i="3" a="1"/>
  <c r="AW20" i="3" a="1"/>
  <c r="AV21" i="3" a="1"/>
  <c r="AW21" i="3" a="1"/>
  <c r="AV22" i="3" a="1"/>
  <c r="AW22" i="3" a="1"/>
  <c r="AV23" i="3" a="1"/>
  <c r="AW23" i="3" a="1"/>
  <c r="AV26" i="3" a="1"/>
  <c r="AW26" i="3" a="1"/>
  <c r="AV27" i="3" a="1"/>
  <c r="AW27" i="3" a="1"/>
  <c r="AV28" i="3" a="1"/>
  <c r="AW28" i="3" a="1"/>
  <c r="AV29" i="3" a="1"/>
  <c r="AW29" i="3" a="1"/>
  <c r="AV32" i="3" a="1"/>
  <c r="AW32" i="3" a="1"/>
  <c r="AV33" i="3" a="1"/>
  <c r="AW33" i="3" a="1"/>
  <c r="AV34" i="3" a="1"/>
  <c r="AW34" i="3" a="1"/>
  <c r="AV35" i="3" a="1"/>
  <c r="AW35" i="3" a="1"/>
  <c r="AV38" i="3" a="1"/>
  <c r="AW38" i="3" a="1"/>
  <c r="AV39" i="3" a="1"/>
  <c r="AW39" i="3" a="1"/>
  <c r="AV40" i="3" a="1"/>
  <c r="AW40" i="3" a="1"/>
  <c r="AV41" i="3" a="1"/>
  <c r="AW41" i="3" a="1"/>
  <c r="AV44" i="3" a="1"/>
  <c r="AW44" i="3" a="1"/>
  <c r="AV45" i="3" a="1"/>
  <c r="AW45" i="3" a="1"/>
  <c r="AV46" i="3" a="1"/>
  <c r="AW46" i="3" a="1"/>
  <c r="AV47" i="3" a="1"/>
  <c r="AW47" i="3" a="1"/>
  <c r="AV50" i="3" a="1"/>
  <c r="AW50" i="3" a="1"/>
  <c r="AV51" i="3" a="1"/>
  <c r="AW51" i="3" a="1"/>
  <c r="AV52" i="3" a="1"/>
  <c r="AW52" i="3" a="1"/>
  <c r="AV53" i="3" a="1"/>
  <c r="AW53" i="3" a="1"/>
  <c r="AV56" i="3" a="1"/>
  <c r="AW56" i="3" a="1"/>
  <c r="AV57" i="3" a="1"/>
  <c r="AW57" i="3" a="1"/>
  <c r="AV58" i="3" a="1"/>
  <c r="AW58" i="3" a="1"/>
  <c r="AV59" i="3" a="1"/>
  <c r="AW59" i="3" a="1"/>
  <c r="AV62" i="3" a="1"/>
  <c r="AW62" i="3" a="1"/>
  <c r="AV63" i="3" a="1"/>
  <c r="AW63" i="3" a="1"/>
  <c r="AV64" i="3" a="1"/>
  <c r="AW64" i="3" a="1"/>
  <c r="AV65" i="3" a="1"/>
  <c r="AW65" i="3" a="1"/>
  <c r="AV68" i="3" a="1"/>
  <c r="AW68" i="3" a="1"/>
  <c r="AV69" i="3" a="1"/>
  <c r="AW69" i="3" a="1"/>
  <c r="AV70" i="3" a="1"/>
  <c r="AW70" i="3" a="1"/>
  <c r="AV71" i="3" a="1"/>
  <c r="AW71" i="3" a="1"/>
  <c r="AV74" i="3" a="1"/>
  <c r="AW74" i="3" a="1"/>
  <c r="AV75" i="3" a="1"/>
  <c r="AW75" i="3" a="1"/>
  <c r="AV76" i="3" a="1"/>
  <c r="AW76" i="3" a="1"/>
  <c r="AV77" i="3" a="1"/>
  <c r="AW77" i="3" a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D77" i="3" a="1"/>
  <c r="BE76" i="3" a="1"/>
  <c r="BD76" i="3" a="1"/>
  <c r="BE75" i="3" a="1"/>
  <c r="BD75" i="3" a="1"/>
  <c r="BE74" i="3" a="1"/>
  <c r="BD74" i="3" a="1"/>
  <c r="BE71" i="3" a="1"/>
  <c r="BD71" i="3" a="1"/>
  <c r="BE70" i="3" a="1"/>
  <c r="BD70" i="3" a="1"/>
  <c r="BE69" i="3" a="1"/>
  <c r="BD69" i="3" a="1"/>
  <c r="BE68" i="3" a="1"/>
  <c r="BD68" i="3" a="1"/>
  <c r="BE65" i="3" a="1"/>
  <c r="BD65" i="3" a="1"/>
  <c r="BE64" i="3" a="1"/>
  <c r="BD64" i="3" a="1"/>
  <c r="BE63" i="3" a="1"/>
  <c r="BD63" i="3" a="1"/>
  <c r="BE62" i="3" a="1"/>
  <c r="BD62" i="3" a="1"/>
  <c r="BE59" i="3" a="1"/>
  <c r="BD59" i="3" a="1"/>
  <c r="BE58" i="3" a="1"/>
  <c r="BD58" i="3" a="1"/>
  <c r="BE57" i="3" a="1"/>
  <c r="BD57" i="3" a="1"/>
  <c r="BE56" i="3" a="1"/>
  <c r="BD56" i="3" a="1"/>
  <c r="BE53" i="3" a="1"/>
  <c r="BD53" i="3" a="1"/>
  <c r="BE52" i="3" a="1"/>
  <c r="BD52" i="3" a="1"/>
  <c r="BE51" i="3" a="1"/>
  <c r="BD51" i="3" a="1"/>
  <c r="BE50" i="3" a="1"/>
  <c r="BD50" i="3" a="1"/>
  <c r="BE47" i="3" a="1"/>
  <c r="BD47" i="3" a="1"/>
  <c r="BE46" i="3" a="1"/>
  <c r="BD46" i="3" a="1"/>
  <c r="BE45" i="3" a="1"/>
  <c r="BD45" i="3" a="1"/>
  <c r="BE44" i="3" a="1"/>
  <c r="BD44" i="3" a="1"/>
  <c r="BE41" i="3" a="1"/>
  <c r="BD41" i="3" a="1"/>
  <c r="BE40" i="3" a="1"/>
  <c r="BD40" i="3" a="1"/>
  <c r="BE39" i="3" a="1"/>
  <c r="BD39" i="3" a="1"/>
  <c r="BE38" i="3" a="1"/>
  <c r="BD38" i="3" a="1"/>
  <c r="BE35" i="3" a="1"/>
  <c r="BD35" i="3" a="1"/>
  <c r="BE34" i="3" a="1"/>
  <c r="BD34" i="3" a="1"/>
  <c r="BE33" i="3" a="1"/>
  <c r="BD33" i="3" a="1"/>
  <c r="BE32" i="3" a="1"/>
  <c r="BD32" i="3" a="1"/>
  <c r="BE29" i="3" a="1"/>
  <c r="BD29" i="3" a="1"/>
  <c r="BE28" i="3" a="1"/>
  <c r="BD28" i="3" a="1"/>
  <c r="BE27" i="3" a="1"/>
  <c r="BD27" i="3" a="1"/>
  <c r="BE26" i="3" a="1"/>
  <c r="BD26" i="3" a="1"/>
  <c r="BE23" i="3" a="1"/>
  <c r="BD23" i="3" a="1"/>
  <c r="BE22" i="3" a="1"/>
  <c r="BD22" i="3" a="1"/>
  <c r="BE21" i="3" a="1"/>
  <c r="BD21" i="3" a="1"/>
  <c r="BE20" i="3" a="1"/>
  <c r="BD20" i="3" a="1"/>
  <c r="BE17" i="3" a="1"/>
  <c r="BD17" i="3" a="1"/>
  <c r="BE16" i="3" a="1"/>
  <c r="BD16" i="3" a="1"/>
  <c r="BE15" i="3" a="1"/>
  <c r="BD15" i="3" a="1"/>
  <c r="BE14" i="3" a="1"/>
  <c r="BD14" i="3" a="1"/>
  <c r="BE11" i="3" a="1"/>
  <c r="BD11" i="3" a="1"/>
  <c r="BE10" i="3" a="1"/>
  <c r="BD10" i="3" a="1"/>
  <c r="BE9" i="3" a="1"/>
  <c r="BD9" i="3" a="1"/>
  <c r="BE8" i="3" a="1"/>
  <c r="BD8" i="3" a="1"/>
  <c r="BC77" i="3" a="1"/>
  <c r="BB77" i="3" a="1"/>
  <c r="BC76" i="3" a="1"/>
  <c r="BB76" i="3" a="1"/>
  <c r="BC75" i="3" a="1"/>
  <c r="BB75" i="3" a="1"/>
  <c r="BC74" i="3" a="1"/>
  <c r="BB74" i="3" a="1"/>
  <c r="BC71" i="3" a="1"/>
  <c r="BB71" i="3" a="1"/>
  <c r="BC70" i="3" a="1"/>
  <c r="BB70" i="3" a="1"/>
  <c r="BC69" i="3" a="1"/>
  <c r="BB69" i="3" a="1"/>
  <c r="BC68" i="3" a="1"/>
  <c r="BB68" i="3" a="1"/>
  <c r="BC65" i="3" a="1"/>
  <c r="BB65" i="3" a="1"/>
  <c r="BC64" i="3" a="1"/>
  <c r="BB64" i="3" a="1"/>
  <c r="BC63" i="3" a="1"/>
  <c r="BB63" i="3" a="1"/>
  <c r="BC62" i="3" a="1"/>
  <c r="BB62" i="3" a="1"/>
  <c r="BC59" i="3" a="1"/>
  <c r="BB59" i="3" a="1"/>
  <c r="BC58" i="3" a="1"/>
  <c r="BB58" i="3" a="1"/>
  <c r="BC57" i="3" a="1"/>
  <c r="BB57" i="3" a="1"/>
  <c r="BC56" i="3" a="1"/>
  <c r="BB56" i="3" a="1"/>
  <c r="BC53" i="3" a="1"/>
  <c r="BB53" i="3" a="1"/>
  <c r="BC52" i="3" a="1"/>
  <c r="BB52" i="3" a="1"/>
  <c r="BC51" i="3" a="1"/>
  <c r="BB51" i="3" a="1"/>
  <c r="BC50" i="3" a="1"/>
  <c r="BB50" i="3" a="1"/>
  <c r="BC47" i="3" a="1"/>
  <c r="BB47" i="3" a="1"/>
  <c r="BC46" i="3" a="1"/>
  <c r="BB46" i="3" a="1"/>
  <c r="BC45" i="3" a="1"/>
  <c r="BB45" i="3" a="1"/>
  <c r="BC44" i="3" a="1"/>
  <c r="BB44" i="3" a="1"/>
  <c r="BC41" i="3" a="1"/>
  <c r="BB41" i="3" a="1"/>
  <c r="BC40" i="3" a="1"/>
  <c r="BB40" i="3" a="1"/>
  <c r="BC39" i="3" a="1"/>
  <c r="BB39" i="3" a="1"/>
  <c r="BC38" i="3" a="1"/>
  <c r="BB38" i="3" a="1"/>
  <c r="BC35" i="3" a="1"/>
  <c r="BB35" i="3" a="1"/>
  <c r="BC34" i="3" a="1"/>
  <c r="BB34" i="3" a="1"/>
  <c r="BC33" i="3" a="1"/>
  <c r="BB33" i="3" a="1"/>
  <c r="BC32" i="3" a="1"/>
  <c r="BB32" i="3" a="1"/>
  <c r="BC29" i="3" a="1"/>
  <c r="BB29" i="3" a="1"/>
  <c r="BC28" i="3" a="1"/>
  <c r="BB28" i="3" a="1"/>
  <c r="BC27" i="3" a="1"/>
  <c r="BB27" i="3" a="1"/>
  <c r="BC26" i="3" a="1"/>
  <c r="BB26" i="3" a="1"/>
  <c r="BC23" i="3" a="1"/>
  <c r="BB23" i="3" a="1"/>
  <c r="BC22" i="3" a="1"/>
  <c r="BB22" i="3" a="1"/>
  <c r="BC21" i="3" a="1"/>
  <c r="BB21" i="3" a="1"/>
  <c r="BC20" i="3" a="1"/>
  <c r="BB20" i="3" a="1"/>
  <c r="BC17" i="3" a="1"/>
  <c r="BB17" i="3" a="1"/>
  <c r="BC16" i="3" a="1"/>
  <c r="BB16" i="3" a="1"/>
  <c r="BC15" i="3" a="1"/>
  <c r="BB15" i="3" a="1"/>
  <c r="BC14" i="3" a="1"/>
  <c r="BB14" i="3" a="1"/>
  <c r="BC11" i="3" a="1"/>
  <c r="BB11" i="3" a="1"/>
  <c r="BC10" i="3" a="1"/>
  <c r="BB10" i="3" a="1"/>
  <c r="BC9" i="3" a="1"/>
  <c r="BB9" i="3" a="1"/>
  <c r="BC8" i="3" a="1"/>
  <c r="BB8" i="3" a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 l="1"/>
  <c r="BH57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7" i="3" l="1"/>
  <c r="AP57" i="3" s="1"/>
  <c r="BI59" i="3"/>
  <c r="AP59" i="3" s="1"/>
  <c r="BI58" i="3"/>
  <c r="AP58" i="3" s="1"/>
  <c r="BI20" i="3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12" i="3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6" i="3" l="1"/>
  <c r="AR58" i="3"/>
  <c r="AR59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7" i="3" l="1"/>
  <c r="AD58" i="3"/>
  <c r="AD56" i="3"/>
  <c r="AD59" i="3"/>
  <c r="AD11" i="3"/>
  <c r="AD9" i="3"/>
  <c r="AD8" i="3"/>
  <c r="AD10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AD35" i="3"/>
  <c r="AD63" i="3"/>
  <c r="AD53" i="3"/>
  <c r="AD44" i="3"/>
  <c r="AD22" i="3"/>
  <c r="AD41" i="3"/>
  <c r="AD62" i="3"/>
  <c r="AD21" i="3"/>
  <c r="AD47" i="3"/>
  <c r="AD39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O69" i="3" l="1"/>
  <c r="L57" i="3"/>
  <c r="L58" i="3"/>
  <c r="M59" i="3"/>
  <c r="O60" i="3"/>
  <c r="L59" i="3"/>
  <c r="L60" i="3"/>
  <c r="J57" i="3"/>
  <c r="AS56" i="3" s="1"/>
  <c r="BL14" i="3" s="1"/>
  <c r="M60" i="3"/>
  <c r="O57" i="3"/>
  <c r="N60" i="3"/>
  <c r="M57" i="3"/>
  <c r="J59" i="3"/>
  <c r="AE88" i="3" s="1"/>
  <c r="AQ88" i="3" s="1"/>
  <c r="N57" i="3"/>
  <c r="J60" i="3"/>
  <c r="O59" i="3"/>
  <c r="N59" i="3"/>
  <c r="M58" i="3"/>
  <c r="J58" i="3"/>
  <c r="AS57" i="3" s="1"/>
  <c r="BL47" i="3" s="1"/>
  <c r="BS45" i="3" s="1"/>
  <c r="N58" i="3"/>
  <c r="O58" i="3"/>
  <c r="N39" i="3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M76" i="3"/>
  <c r="M18" i="3"/>
  <c r="M77" i="3"/>
  <c r="J78" i="3"/>
  <c r="O77" i="3"/>
  <c r="N76" i="3"/>
  <c r="O78" i="3"/>
  <c r="N18" i="3"/>
  <c r="L78" i="3"/>
  <c r="N77" i="3"/>
  <c r="N78" i="3"/>
  <c r="L17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N35" i="3"/>
  <c r="M35" i="3"/>
  <c r="J36" i="3"/>
  <c r="O28" i="3"/>
  <c r="N27" i="3"/>
  <c r="N66" i="3"/>
  <c r="L24" i="3"/>
  <c r="O39" i="3"/>
  <c r="J39" i="3"/>
  <c r="AS38" i="3" s="1"/>
  <c r="BL22" i="3" s="1"/>
  <c r="O36" i="3"/>
  <c r="N28" i="3"/>
  <c r="O29" i="3"/>
  <c r="N46" i="3"/>
  <c r="M47" i="3"/>
  <c r="N17" i="3"/>
  <c r="L47" i="3"/>
  <c r="N65" i="3"/>
  <c r="L63" i="3"/>
  <c r="L45" i="3"/>
  <c r="J45" i="3"/>
  <c r="AS44" i="3" s="1"/>
  <c r="BL38" i="3" s="1"/>
  <c r="O17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N53" i="3"/>
  <c r="M41" i="3"/>
  <c r="M65" i="3"/>
  <c r="J47" i="3"/>
  <c r="AE86" i="3" s="1"/>
  <c r="AQ86" i="3" s="1"/>
  <c r="O66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N15" i="3"/>
  <c r="N42" i="3"/>
  <c r="M15" i="3"/>
  <c r="O15" i="3"/>
  <c r="J15" i="3"/>
  <c r="AS14" i="3" s="1"/>
  <c r="BL66" i="3" s="1"/>
  <c r="BZ48" i="3" l="1"/>
  <c r="S91" i="3"/>
  <c r="T91" i="3" s="1" a="1"/>
  <c r="BS37" i="3"/>
  <c r="S90" i="3"/>
  <c r="T90" i="3" s="1" a="1"/>
  <c r="BS36" i="3"/>
  <c r="S86" i="3"/>
  <c r="T86" i="3" s="1" a="1"/>
  <c r="BS28" i="3"/>
  <c r="S89" i="3"/>
  <c r="T89" i="3" s="1" a="1"/>
  <c r="BS21" i="3"/>
  <c r="S87" i="3"/>
  <c r="T87" i="3" s="1" a="1"/>
  <c r="BS29" i="3"/>
  <c r="S88" i="3"/>
  <c r="T88" i="3" s="1" a="1"/>
  <c r="BS20" i="3"/>
  <c r="P59" i="3"/>
  <c r="K59" i="3"/>
  <c r="AT88" i="3"/>
  <c r="AJ88" i="3"/>
  <c r="AI88" i="3"/>
  <c r="AG88" i="3"/>
  <c r="AH88" i="3"/>
  <c r="AN88" i="3"/>
  <c r="K57" i="3"/>
  <c r="AL88" i="3"/>
  <c r="K60" i="3"/>
  <c r="P60" i="3"/>
  <c r="AF88" i="3"/>
  <c r="P57" i="3"/>
  <c r="P58" i="3"/>
  <c r="K58" i="3"/>
  <c r="P41" i="3"/>
  <c r="AF9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6" i="3" l="1"/>
  <c r="T96" i="3" s="1" a="1"/>
  <c r="S98" i="3"/>
  <c r="T98" i="3" s="1" a="1"/>
  <c r="BZ33" i="3"/>
  <c r="U103" i="3" s="1"/>
  <c r="AC103" i="3" s="1" a="1"/>
  <c r="BZ17" i="3"/>
  <c r="U102" i="3" s="1"/>
  <c r="AC102" i="3" s="1" a="1"/>
  <c r="S97" i="3"/>
  <c r="T97" i="3" s="1" a="1"/>
  <c r="BZ32" i="3"/>
  <c r="AF92" i="3"/>
  <c r="AG92" i="3"/>
  <c r="AI92" i="3"/>
  <c r="AN92" i="3"/>
  <c r="AH92" i="3"/>
  <c r="AL92" i="3"/>
  <c r="AM88" i="3" s="1"/>
  <c r="AS92" i="3"/>
  <c r="AJ92" i="3"/>
  <c r="S103" i="3" l="1"/>
  <c r="T103" i="3" s="1" a="1"/>
  <c r="CG24" i="3"/>
  <c r="S111" i="3" s="1"/>
  <c r="T111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BS13" i="3"/>
  <c r="S84" i="3"/>
  <c r="T84" i="3" s="1" a="1"/>
  <c r="BS12" i="3"/>
  <c r="AM92" i="3" l="1"/>
  <c r="AP87" i="3" s="1"/>
  <c r="BZ16" i="3"/>
  <c r="S95" i="3"/>
  <c r="T95" i="3" s="1" a="1"/>
  <c r="S102" i="3" l="1"/>
  <c r="T102" i="3" s="1" a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N48" i="3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G3" i="4"/>
  <c r="BL11" i="3" s="1"/>
  <c r="H3" i="4"/>
  <c r="BL39" i="3" s="1"/>
  <c r="B3" i="4"/>
  <c r="I3" i="4"/>
  <c r="BL15" i="3" s="1"/>
  <c r="K3" i="4"/>
  <c r="E3" i="4"/>
  <c r="D3" i="4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S69" i="3"/>
  <c r="BS68" i="3"/>
  <c r="BZ65" i="3" l="1"/>
  <c r="CG56" i="3" s="1"/>
  <c r="CN49" i="3" s="1"/>
  <c r="BZ49" i="3"/>
  <c r="CG55" i="3" s="1"/>
  <c r="CN38" i="3" s="1"/>
  <c r="CK68" i="3" s="1"/>
  <c r="BL55" i="3"/>
  <c r="BL51" i="3"/>
  <c r="BL71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<sst xmlns="http://schemas.openxmlformats.org/spreadsheetml/2006/main" count="9786" uniqueCount="3698">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</sst>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25" x14ac:dyDescent="0.45"/>
  <cols>
    <col min="1" max="1" width="24.1328125" bestFit="1" customWidth="1"/>
    <col min="2" max="42" width="14" customWidth="1"/>
  </cols>
  <sheetData>
    <row r="1" spans="1:4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4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4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4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4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4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4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4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4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4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4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4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4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4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4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4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4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4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4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4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4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4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4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4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4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4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4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4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4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4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4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4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4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4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4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4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4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4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4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4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4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4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4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4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4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4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4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4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4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4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4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4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4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4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4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4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4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4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4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4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4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4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4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4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4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4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4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4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4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4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4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4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4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4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4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4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4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4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4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4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4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4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4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4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4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4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4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4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4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4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4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4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4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4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4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4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4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4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4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4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4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4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4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4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4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4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4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4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4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4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4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4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4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4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4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4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4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4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4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4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4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45">
      <c r="A145" s="1"/>
    </row>
    <row r="146" spans="1:42" x14ac:dyDescent="0.45">
      <c r="A146" s="1"/>
    </row>
    <row r="147" spans="1:42" x14ac:dyDescent="0.45">
      <c r="A147" s="1"/>
    </row>
    <row r="148" spans="1:42" x14ac:dyDescent="0.45">
      <c r="A148" s="1"/>
    </row>
    <row r="149" spans="1:42" x14ac:dyDescent="0.45">
      <c r="A149" s="1"/>
    </row>
    <row r="150" spans="1:42" x14ac:dyDescent="0.45">
      <c r="A150" s="1"/>
    </row>
    <row r="151" spans="1:42" x14ac:dyDescent="0.45">
      <c r="A151" s="1"/>
    </row>
    <row r="152" spans="1:42" x14ac:dyDescent="0.45">
      <c r="A152" s="1"/>
    </row>
    <row r="153" spans="1:42" x14ac:dyDescent="0.45">
      <c r="A153" s="1"/>
    </row>
    <row r="154" spans="1:42" x14ac:dyDescent="0.45">
      <c r="A154" s="1"/>
    </row>
    <row r="155" spans="1:42" x14ac:dyDescent="0.45">
      <c r="A155" s="1"/>
    </row>
    <row r="156" spans="1:42" x14ac:dyDescent="0.45">
      <c r="A156" s="1"/>
    </row>
    <row r="157" spans="1:42" x14ac:dyDescent="0.4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328125" defaultRowHeight="14.25" x14ac:dyDescent="0.45"/>
  <cols>
    <col min="1" max="1" width="1.1328125" style="10" customWidth="1"/>
    <col min="2" max="2" width="18.86328125" style="10" bestFit="1" customWidth="1"/>
    <col min="3" max="3" width="20.265625" style="10" customWidth="1"/>
    <col min="4" max="4" width="9.1328125" style="10"/>
    <col min="5" max="5" width="1.1328125" style="10" customWidth="1"/>
    <col min="6" max="6" width="9.1328125" style="10"/>
    <col min="7" max="7" width="27.59765625" style="10" bestFit="1" customWidth="1"/>
    <col min="8" max="8" width="2.73046875" style="10" customWidth="1"/>
    <col min="9" max="9" width="1.1328125" style="10" customWidth="1"/>
    <col min="10" max="16384" width="9.1328125" style="10"/>
  </cols>
  <sheetData>
    <row r="1" spans="2:27" ht="7.5" customHeight="1" x14ac:dyDescent="0.45"/>
    <row r="2" spans="2:27" ht="16.149999999999999" thickBot="1" x14ac:dyDescent="0.5500000000000000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45">
      <c r="B3" s="42"/>
      <c r="C3" s="43"/>
      <c r="D3" s="44"/>
      <c r="F3" s="42"/>
      <c r="G3" s="43"/>
      <c r="H3" s="44"/>
    </row>
    <row r="4" spans="2:27" x14ac:dyDescent="0.4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4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4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4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4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4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4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45">
      <c r="B11" s="54"/>
      <c r="C11" s="43"/>
      <c r="D11" s="44"/>
      <c r="F11" s="51"/>
      <c r="G11" s="52"/>
      <c r="H11" s="53"/>
    </row>
    <row r="12" spans="2:27" ht="15" customHeight="1" x14ac:dyDescent="0.4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4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4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4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4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4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4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4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4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4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4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4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4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4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4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4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4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4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4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4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4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4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4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4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4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4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4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4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4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4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4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4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4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4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4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4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4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4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4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4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4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4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4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4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4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4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4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4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4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4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4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4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4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4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4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4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4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4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4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4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Z57" zoomScaleNormal="100" workbookViewId="0">
      <selection activeCell="CQ49" sqref="CQ49"/>
    </sheetView>
  </sheetViews>
  <sheetFormatPr defaultColWidth="9.1328125" defaultRowHeight="14.25" x14ac:dyDescent="0.45"/>
  <cols>
    <col min="1" max="1" width="4.86328125" style="3" customWidth="1"/>
    <col min="2" max="2" width="6.1328125" style="3" customWidth="1"/>
    <col min="3" max="3" width="11.73046875" style="3" bestFit="1" customWidth="1"/>
    <col min="4" max="4" width="9" style="4" customWidth="1"/>
    <col min="5" max="5" width="22.59765625" style="5" customWidth="1"/>
    <col min="6" max="7" width="4.265625" style="6" customWidth="1"/>
    <col min="8" max="8" width="22.59765625" style="7" customWidth="1"/>
    <col min="9" max="9" width="3.3984375" style="2" customWidth="1"/>
    <col min="10" max="10" width="19.3984375" style="8" customWidth="1"/>
    <col min="11" max="14" width="5.3984375" style="9" customWidth="1"/>
    <col min="15" max="15" width="7.73046875" style="9" customWidth="1"/>
    <col min="16" max="16" width="6.73046875" style="9" customWidth="1"/>
    <col min="17" max="17" width="3.3984375" style="68" customWidth="1"/>
    <col min="18" max="18" width="15.3984375" style="123" hidden="1" customWidth="1"/>
    <col min="19" max="20" width="16" style="127" hidden="1" customWidth="1"/>
    <col min="21" max="28" width="4" style="123" hidden="1" customWidth="1"/>
    <col min="29" max="29" width="4.265625" style="124" hidden="1" customWidth="1"/>
    <col min="30" max="30" width="5.3984375" style="123" hidden="1" customWidth="1"/>
    <col min="31" max="31" width="13.3984375" style="124" hidden="1" customWidth="1"/>
    <col min="32" max="36" width="5.3984375" style="123" hidden="1" customWidth="1"/>
    <col min="37" max="39" width="6" style="123" hidden="1" customWidth="1"/>
    <col min="40" max="40" width="5.3984375" style="123" hidden="1" customWidth="1"/>
    <col min="41" max="42" width="6" style="123" hidden="1" customWidth="1"/>
    <col min="43" max="43" width="7.1328125" style="125" hidden="1" customWidth="1"/>
    <col min="44" max="44" width="10" style="125" hidden="1" customWidth="1"/>
    <col min="45" max="45" width="15.265625" style="125" hidden="1" customWidth="1"/>
    <col min="46" max="50" width="4.73046875" style="126" hidden="1" customWidth="1"/>
    <col min="51" max="51" width="9.1328125" style="125" hidden="1" customWidth="1"/>
    <col min="52" max="61" width="9.1328125" style="126" hidden="1" customWidth="1"/>
    <col min="62" max="62" width="9.1328125" style="112" hidden="1" customWidth="1"/>
    <col min="63" max="63" width="3.265625" style="2" customWidth="1"/>
    <col min="64" max="64" width="19.73046875" style="2" customWidth="1"/>
    <col min="65" max="67" width="3" style="2" customWidth="1"/>
    <col min="68" max="69" width="2" style="111" customWidth="1"/>
    <col min="70" max="70" width="3.265625" style="2" customWidth="1"/>
    <col min="71" max="71" width="19.73046875" style="2" customWidth="1"/>
    <col min="72" max="74" width="3" style="2" customWidth="1"/>
    <col min="75" max="76" width="2" style="111" customWidth="1"/>
    <col min="77" max="77" width="4" style="2" customWidth="1"/>
    <col min="78" max="78" width="19.73046875" style="2" customWidth="1"/>
    <col min="79" max="81" width="3" style="2" customWidth="1"/>
    <col min="82" max="83" width="2" style="111" customWidth="1"/>
    <col min="84" max="84" width="3.86328125" style="2" customWidth="1"/>
    <col min="85" max="85" width="19.73046875" style="2" customWidth="1"/>
    <col min="86" max="88" width="3" style="2" customWidth="1"/>
    <col min="89" max="90" width="2" style="111" customWidth="1"/>
    <col min="91" max="91" width="3.73046875" style="2" customWidth="1"/>
    <col min="92" max="92" width="19.73046875" style="2" customWidth="1"/>
    <col min="93" max="95" width="3" style="2" customWidth="1"/>
    <col min="96" max="96" width="2" style="111" customWidth="1"/>
    <col min="97" max="16384" width="9.1328125" style="2"/>
  </cols>
  <sheetData>
    <row r="1" spans="1:95" ht="46.15" x14ac:dyDescent="0.4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4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4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45"/>
    <row r="5" spans="1:95" x14ac:dyDescent="0.4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4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4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4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3</v>
      </c>
      <c r="AL8" s="123">
        <f>AI8-AJ8</f>
        <v>4</v>
      </c>
      <c r="AM8" s="123">
        <f>AL8-AL12</f>
        <v>9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90000009.875840515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4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7 - 3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6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0.12571486500000001</v>
      </c>
      <c r="AQ9" s="126">
        <f>VLOOKUP(AE9,db_fifarank,2,FALSE)</f>
        <v>1429.73</v>
      </c>
      <c r="AR9" s="125">
        <f>AP9/AP12</f>
        <v>1.3968316645364621E-9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4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5 - 4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5</v>
      </c>
      <c r="AN10" s="123">
        <f>AF10*3+AG10</f>
        <v>4</v>
      </c>
      <c r="AO10" s="123">
        <f>AN10/AN12*10+BA10</f>
        <v>4.9805825242718447</v>
      </c>
      <c r="AP10" s="123">
        <f>AO10*10000000+BI10*100+AM10/AM12*10+AI10/AI12*1++IF(AQ10=0,ROW(),AQ10)/2000000</f>
        <v>49805928.801765196</v>
      </c>
      <c r="AQ10" s="126">
        <f>VLOOKUP(AE10,db_fifarank,2,FALSE)</f>
        <v>1588.66</v>
      </c>
      <c r="AR10" s="125">
        <f>AP10/AP12</f>
        <v>0.55339914203427099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4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4 - 4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4</v>
      </c>
      <c r="AL11" s="123">
        <f>AI11-AJ11</f>
        <v>1</v>
      </c>
      <c r="AM11" s="123">
        <f>AL11-AL12</f>
        <v>6</v>
      </c>
      <c r="AN11" s="123">
        <f>AF11*3+AG11</f>
        <v>4</v>
      </c>
      <c r="AO11" s="123">
        <f>AN11/AN12*10+BA11</f>
        <v>4.9805825242718447</v>
      </c>
      <c r="AP11" s="123">
        <f>AO11*10000000+BI11*100+AM11/AM12*10+AI11/AI12*1++IF(AQ11=0,ROW(),AQ11)/2000000</f>
        <v>49805929.926721558</v>
      </c>
      <c r="AQ11" s="126">
        <f>VLOOKUP(AE11,db_fifarank,2,FALSE)</f>
        <v>1501.38</v>
      </c>
      <c r="AR11" s="125">
        <f>AP11/AP12</f>
        <v>0.55339915453378463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42"/>
      <c r="BL11" s="26" t="str">
        <f>IF(group_round_completed,VLOOKUP('3rd places'!G3,AK80:AS91,9,FALSE),"3rd Group A/B/C/D/F")</f>
        <v>Scotland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4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1 - 6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4</v>
      </c>
      <c r="AI12" s="123">
        <f>MAX(AI8:AI11)+1</f>
        <v>8</v>
      </c>
      <c r="AL12" s="123">
        <f>MIN(AL8:AL11)</f>
        <v>-5</v>
      </c>
      <c r="AM12" s="123">
        <f>MAX(AM8:AM11)+1</f>
        <v>10</v>
      </c>
      <c r="AN12" s="123">
        <f>MAX(AN8:AN11)+1</f>
        <v>10</v>
      </c>
      <c r="AO12" s="123">
        <f>MAX(AO8:AO11)+1</f>
        <v>10</v>
      </c>
      <c r="AP12" s="123">
        <f>MAX(AP8:AP11)+1</f>
        <v>90000010.875840515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4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4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4</v>
      </c>
      <c r="AL14" s="123">
        <f>AI14-AJ14</f>
        <v>0</v>
      </c>
      <c r="AM14" s="123">
        <f>AL14-AL18</f>
        <v>3</v>
      </c>
      <c r="AN14" s="123">
        <f>AF14*3+AG14</f>
        <v>4</v>
      </c>
      <c r="AO14" s="123">
        <f>AN14/AN18*10+BA14</f>
        <v>4</v>
      </c>
      <c r="AP14" s="123">
        <f>AO14*10000000+BI14*100+AM14/AM18*10+AI14/AI18*1++IF(AQ14=0,ROW(),AQ14)/2000000</f>
        <v>40000003.905540153</v>
      </c>
      <c r="AQ14" s="126">
        <f>VLOOKUP(AE14,db_fifarank,2,FALSE)</f>
        <v>1556.48</v>
      </c>
      <c r="AR14" s="125">
        <f>AP14/AP18</f>
        <v>0.44444443476844014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4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6 - 1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5</v>
      </c>
      <c r="AL15" s="123">
        <f>AI15-AJ15</f>
        <v>-3</v>
      </c>
      <c r="AM15" s="123">
        <f>AL15-AL18</f>
        <v>0</v>
      </c>
      <c r="AN15" s="123">
        <f>AF15*3+AG15</f>
        <v>1</v>
      </c>
      <c r="AO15" s="123">
        <f>AN15/AN18*10+BA15</f>
        <v>1</v>
      </c>
      <c r="AP15" s="123">
        <f>AO15*10000000+BI15*100+AM15/AM18*10+AI15/AI18*1++IF(AQ15=0,ROW(),AQ15)/2000000</f>
        <v>10000000.286407206</v>
      </c>
      <c r="AQ15" s="126">
        <f>VLOOKUP(AE15,db_fifarank,2,FALSE)</f>
        <v>1385.84</v>
      </c>
      <c r="AR15" s="125">
        <f>AP15/AP18</f>
        <v>0.11111110102569059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4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4 - 4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4</v>
      </c>
      <c r="AL16" s="123">
        <f>AI16-AJ16</f>
        <v>-2</v>
      </c>
      <c r="AM16" s="123">
        <f>AL16-AL18</f>
        <v>1</v>
      </c>
      <c r="AN16" s="123">
        <f>AF16*3+AG16</f>
        <v>2</v>
      </c>
      <c r="AO16" s="123">
        <f>AN16/AN18*10+BA16</f>
        <v>2</v>
      </c>
      <c r="AP16" s="123">
        <f>AO16*10000000+BI16*100+AM16/AM18*10+AI16/AI18*1++IF(AQ16=0,ROW(),AQ16)/2000000</f>
        <v>20000001.397552878</v>
      </c>
      <c r="AQ16" s="126">
        <f>VLOOKUP(AE16,db_fifarank,2,FALSE)</f>
        <v>1454.96</v>
      </c>
      <c r="AR16" s="125">
        <f>AP16/AP18</f>
        <v>0.22222221121514082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4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2 - 4</v>
      </c>
      <c r="P17" s="34">
        <f>L17*3+M17</f>
        <v>2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1</v>
      </c>
      <c r="AL17" s="123">
        <f>AI17-AJ17</f>
        <v>5</v>
      </c>
      <c r="AM17" s="123">
        <f>AL17-AL18</f>
        <v>8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90000009.746856451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4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2 - 5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3</v>
      </c>
      <c r="AI18" s="123">
        <f>MAX(AI14:AI17)+1</f>
        <v>7</v>
      </c>
      <c r="AL18" s="123">
        <f>MIN(AL14:AL17)</f>
        <v>-3</v>
      </c>
      <c r="AM18" s="123">
        <f>MAX(AM14:AM17)+1</f>
        <v>9</v>
      </c>
      <c r="AN18" s="123">
        <f>MAX(AN14:AN17)+1</f>
        <v>10</v>
      </c>
      <c r="AO18" s="123">
        <f>MAX(AO14:AO17)+1</f>
        <v>10</v>
      </c>
      <c r="AP18" s="123">
        <f>MAX(AP14:AP17)+1</f>
        <v>90000010.746856451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Czech Republic</v>
      </c>
      <c r="BM18" s="61">
        <v>1</v>
      </c>
      <c r="BN18" s="63">
        <v>1</v>
      </c>
      <c r="BO18" s="25"/>
      <c r="BP18" s="112">
        <f>IF(OR(BM18="",BM19="",AND(BN18="",BN19&lt;&gt;""),AND(BN19="",BN18&lt;&gt;""),AND(BO18="",BO19&lt;&gt;""),AND(BO19="",BO18&lt;&gt;"")),"",BM18*1000+BN18*10+BO18)</f>
        <v>1010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4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>
        <v>2</v>
      </c>
      <c r="BO19" s="27"/>
      <c r="BP19" s="113">
        <f>IF(BP18="","",BM19*1000+BN19*10+BO19)</f>
        <v>1020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4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11</v>
      </c>
      <c r="AJ20" s="123">
        <f>SUMIF($E$7:$E$78,$AE20,$G$7:$G$78) + SUMIF($H$7:$H$78,$AE20,$F$7:$F$78)</f>
        <v>2</v>
      </c>
      <c r="AL20" s="123">
        <f>AI20-AJ20</f>
        <v>9</v>
      </c>
      <c r="AM20" s="123">
        <f>AL20-AL24</f>
        <v>19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90000010.417547256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1</v>
      </c>
      <c r="BU20" s="63">
        <v>2</v>
      </c>
      <c r="BV20" s="25"/>
      <c r="BW20" s="116">
        <f>IF(OR(BT20="",BT21="",AND(BU20="",BU21&lt;&gt;""),AND(BU21="",BU20&lt;&gt;""),AND(BV20="",BV21&lt;&gt;""),AND(BV21="",BV20&lt;&gt;"")),"",BT20*1000+BU20*10+BV20)</f>
        <v>1020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4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11 - 2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4</v>
      </c>
      <c r="AL21" s="123">
        <f>AI21-AJ21</f>
        <v>1</v>
      </c>
      <c r="AM21" s="123">
        <f>AL21-AL24</f>
        <v>11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49805929.218515463</v>
      </c>
      <c r="AQ21" s="126">
        <f>VLOOKUP(AE21,db_fifarank,2,FALSE)</f>
        <v>1755.87</v>
      </c>
      <c r="AR21" s="125">
        <f>AP21/AP24</f>
        <v>0.55339914333393991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1</v>
      </c>
      <c r="BU21" s="64">
        <v>3</v>
      </c>
      <c r="BV21" s="27"/>
      <c r="BW21" s="112">
        <f>IF(BW20="","",BT21*1000+BU21*10+BV21)</f>
        <v>1030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4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5 - 4</v>
      </c>
      <c r="P22" s="34">
        <f>L22*3+M22</f>
        <v>4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10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7.1761657562865368E-12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4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4 - 4</v>
      </c>
      <c r="P23" s="34">
        <f>L23*3+M23</f>
        <v>4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10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49805928.635053381</v>
      </c>
      <c r="AQ23" s="126">
        <f>VLOOKUP(AE23,db_fifarank,2,FALSE)</f>
        <v>1498.35</v>
      </c>
      <c r="AR23" s="125">
        <f>AP23/AP24</f>
        <v>0.55339913685102871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>
        <v>2</v>
      </c>
      <c r="CJ23" s="25"/>
      <c r="CK23" s="112">
        <f>IF(OR(CH23="",CH24="",AND(CI23="",CI24&lt;&gt;""),AND(CI24="",CI23&lt;&gt;""),AND(CJ23="",CJ24&lt;&gt;""),AND(CJ24="",CJ23&lt;&gt;"")),"",CH23*1000+CI23*10+CJ23)</f>
        <v>2020</v>
      </c>
    </row>
    <row r="24" spans="1:95" x14ac:dyDescent="0.4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0 - 10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12</v>
      </c>
      <c r="AL24" s="123">
        <f>MIN(AL20:AL23)</f>
        <v>-10</v>
      </c>
      <c r="AM24" s="123">
        <f>MAX(AM20:AM23)+1</f>
        <v>20</v>
      </c>
      <c r="AN24" s="123">
        <f>MAX(AN20:AN23)+1</f>
        <v>10</v>
      </c>
      <c r="AO24" s="123">
        <f>MAX(AO20:AO23)+1</f>
        <v>10</v>
      </c>
      <c r="AP24" s="123">
        <f>MAX(AP20:AP23)+1</f>
        <v>90000011.417547256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>
        <v>3</v>
      </c>
      <c r="CJ24" s="27"/>
      <c r="CK24" s="113">
        <f>IF(CK23="","",CH24*1000+CI24*10+CJ24)</f>
        <v>2030</v>
      </c>
    </row>
    <row r="25" spans="1:95" x14ac:dyDescent="0.4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4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2</v>
      </c>
      <c r="AL26" s="123">
        <f>AI26-AJ26</f>
        <v>4</v>
      </c>
      <c r="AM26" s="123">
        <f>AL26-AL30</f>
        <v>8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90000009.746868312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3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3000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4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5</v>
      </c>
      <c r="AL27" s="123">
        <f>AI27-AJ27</f>
        <v>-4</v>
      </c>
      <c r="AM27" s="123">
        <f>AL27-AL30</f>
        <v>0</v>
      </c>
      <c r="AN27" s="123">
        <f>AF27*3+AG27</f>
        <v>1</v>
      </c>
      <c r="AO27" s="123">
        <f>AN27/AN30*10+BA27</f>
        <v>1.9805825242718447</v>
      </c>
      <c r="AP27" s="123">
        <f>AO27*10000000+BI27*100+AM27/AM30*10+AI27/AI30*1++IF(AQ27=0,ROW(),AQ27)/2000000</f>
        <v>19805923.444579765</v>
      </c>
      <c r="AQ27" s="126">
        <f>VLOOKUP(AE27,db_fifarank,2,FALSE)</f>
        <v>1503.5</v>
      </c>
      <c r="AR27" s="125">
        <f>AP27/AP30</f>
        <v>0.2200657897729078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4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4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5 - 3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2</v>
      </c>
      <c r="AN28" s="123">
        <f>AF28*3+AG28</f>
        <v>1</v>
      </c>
      <c r="AO28" s="123">
        <f>AN28/AN30*10+BA28</f>
        <v>1.9805825242718447</v>
      </c>
      <c r="AP28" s="123">
        <f>AO28*10000000+BI28*100+AM28/AM30*10+AI28/AI30*1++IF(AQ28=0,ROW(),AQ28)/2000000</f>
        <v>19805925.952554863</v>
      </c>
      <c r="AQ28" s="126">
        <f>VLOOKUP(AE28,db_fifarank,2,FALSE)</f>
        <v>1580.67</v>
      </c>
      <c r="AR28" s="125">
        <f>AP28/AP30</f>
        <v>0.22006581763929445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4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3 - 5</v>
      </c>
      <c r="P29" s="34">
        <f>L29*3+M29</f>
        <v>1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3</v>
      </c>
      <c r="AL29" s="123">
        <f>AI29-AJ29</f>
        <v>2</v>
      </c>
      <c r="AM29" s="123">
        <f>AL29-AL30</f>
        <v>6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60000007.381751902</v>
      </c>
      <c r="AQ29" s="126">
        <f>VLOOKUP(AE29,db_fifarank,2,FALSE)</f>
        <v>1599.04</v>
      </c>
      <c r="AR29" s="125">
        <f>AP29/AP30</f>
        <v>0.66666666907970007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4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7</v>
      </c>
      <c r="AL30" s="123">
        <f>MIN(AL26:AL29)</f>
        <v>-4</v>
      </c>
      <c r="AM30" s="123">
        <f>MAX(AM26:AM29)+1</f>
        <v>9</v>
      </c>
      <c r="AN30" s="123">
        <f>MAX(AN26:AN29)+1</f>
        <v>10</v>
      </c>
      <c r="AO30" s="123">
        <f>MAX(AO26:AO29)+1</f>
        <v>10</v>
      </c>
      <c r="AP30" s="123">
        <f>MAX(AP26:AP29)+1</f>
        <v>90000010.746868312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41">
        <v>84</v>
      </c>
      <c r="BL30" s="24" t="str">
        <f>AS50</f>
        <v>Spain</v>
      </c>
      <c r="BM30" s="61">
        <v>4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4000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4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4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2</v>
      </c>
      <c r="AL32" s="123">
        <f>AI32-AJ32</f>
        <v>7</v>
      </c>
      <c r="AM32" s="123">
        <f>AL32-AL36</f>
        <v>16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90000010.312629908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4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9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7.1924990959324401E-12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United States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4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5 - 4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3</v>
      </c>
      <c r="AL34" s="123">
        <f>AI34-AJ34</f>
        <v>1</v>
      </c>
      <c r="AM34" s="123">
        <f>AL34-AL36</f>
        <v>10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49805929.5840903</v>
      </c>
      <c r="AQ34" s="126">
        <f>VLOOKUP(AE34,db_fifarank,2,FALSE)</f>
        <v>1532.98</v>
      </c>
      <c r="AR34" s="125">
        <f>AP34/AP36</f>
        <v>0.55339914804100609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United States</v>
      </c>
      <c r="BM34" s="61">
        <v>1</v>
      </c>
      <c r="BN34" s="63">
        <v>2</v>
      </c>
      <c r="BO34" s="25"/>
      <c r="BP34" s="112">
        <f>IF(OR(BM34="",BM35="",AND(BN34="",BN35&lt;&gt;""),AND(BN35="",BN34&lt;&gt;""),AND(BO34="",BO35&lt;&gt;""),AND(BO35="",BO34&lt;&gt;"")),"",BM34*1000+BN34*10+BO34)</f>
        <v>1020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4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4 - 3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4</v>
      </c>
      <c r="AL35" s="123">
        <f>AI35-AJ35</f>
        <v>1</v>
      </c>
      <c r="AM35" s="123">
        <f>AL35-AL36</f>
        <v>10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49805929.684121199</v>
      </c>
      <c r="AQ35" s="126">
        <f>VLOOKUP(AE35,db_fifarank,2,FALSE)</f>
        <v>1594.78</v>
      </c>
      <c r="AR35" s="125">
        <f>AP35/AP36</f>
        <v>0.55339914915246036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Ivory Coast</v>
      </c>
      <c r="BM35" s="62">
        <v>1</v>
      </c>
      <c r="BN35" s="64">
        <v>1</v>
      </c>
      <c r="BO35" s="27"/>
      <c r="BP35" s="113">
        <f>IF(BP34="","",BM35*1000+BN35*10+BO35)</f>
        <v>1010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4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0 - 9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10</v>
      </c>
      <c r="AL36" s="123">
        <f>MIN(AL32:AL35)</f>
        <v>-9</v>
      </c>
      <c r="AM36" s="123">
        <f>MAX(AM32:AM35)+1</f>
        <v>17</v>
      </c>
      <c r="AN36" s="123">
        <f>MAX(AN32:AN35)+1</f>
        <v>10</v>
      </c>
      <c r="AO36" s="123">
        <f>MAX(AO32:AO35)+1</f>
        <v>10</v>
      </c>
      <c r="AP36" s="123">
        <f>MAX(AP32:AP35)+1</f>
        <v>90000011.312629908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4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3</v>
      </c>
      <c r="CP37" s="63">
        <v>3</v>
      </c>
      <c r="CQ37" s="25"/>
      <c r="CR37" s="111">
        <f>IF(OR(CO37="",CO38="",AND(CP37="",CP38&lt;&gt;""),AND(CP38="",CP37&lt;&gt;""),AND(CQ37="",CQ38&lt;&gt;""),AND(CQ38="",CQ37&lt;&gt;"")),"",CO37*1000+CP37*10+CQ37)</f>
        <v>3030</v>
      </c>
    </row>
    <row r="38" spans="1:96" x14ac:dyDescent="0.4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3</v>
      </c>
      <c r="AL38" s="123">
        <f>AI38-AJ38</f>
        <v>2</v>
      </c>
      <c r="AM38" s="123">
        <f>AL38-AL42</f>
        <v>5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87500009.167545587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0</v>
      </c>
      <c r="BN38" s="63">
        <v>2</v>
      </c>
      <c r="BO38" s="25"/>
      <c r="BP38" s="116">
        <f>IF(OR(BM38="",BM39="",AND(BN38="",BN39&lt;&gt;""),AND(BN39="",BN38&lt;&gt;""),AND(BO38="",BO39&lt;&gt;""),AND(BO39="",BO38&lt;&gt;"")),"",BM38*1000+BN38*10+BO38)</f>
        <v>20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England</v>
      </c>
      <c r="CO38" s="62">
        <v>3</v>
      </c>
      <c r="CP38" s="64">
        <v>4</v>
      </c>
      <c r="CQ38" s="27"/>
      <c r="CR38" s="111">
        <f>IF(CR37="","",CO38*1000+CP38*10+CQ38)</f>
        <v>3040</v>
      </c>
    </row>
    <row r="39" spans="1:96" x14ac:dyDescent="0.4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5 - 3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4</v>
      </c>
      <c r="AL39" s="123">
        <f>AI39-AJ39</f>
        <v>0</v>
      </c>
      <c r="AM39" s="123">
        <f>AL39-AL42</f>
        <v>3</v>
      </c>
      <c r="AN39" s="123">
        <f>AF39*3+AG39</f>
        <v>4</v>
      </c>
      <c r="AO39" s="123">
        <f>AN39/AN42*10+BA39</f>
        <v>5</v>
      </c>
      <c r="AP39" s="123">
        <f>AO39*10000000+BI39*100+AM39/AM42*10+AI39/AI42*1++IF(AQ39=0,ROW(),AQ39)/2000000</f>
        <v>50000005.667496882</v>
      </c>
      <c r="AQ39" s="126">
        <f>VLOOKUP(AE39,db_fifarank,2,FALSE)</f>
        <v>1660.43</v>
      </c>
      <c r="AR39" s="125">
        <f>AP39/AP42</f>
        <v>0.57142856979966683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Korea Republic</v>
      </c>
      <c r="BM39" s="62">
        <v>0</v>
      </c>
      <c r="BN39" s="64">
        <v>1</v>
      </c>
      <c r="BO39" s="27"/>
      <c r="BP39" s="112">
        <f>IF(BP38="","",BM39*1000+BN39*10+BO39)</f>
        <v>10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4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3 - 2</v>
      </c>
      <c r="P40" s="34">
        <f>L40*3+M40</f>
        <v>5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2</v>
      </c>
      <c r="AL40" s="123">
        <f>AI40-AJ40</f>
        <v>1</v>
      </c>
      <c r="AM40" s="123">
        <f>AL40-AL42</f>
        <v>4</v>
      </c>
      <c r="AN40" s="123">
        <f>AF40*3+AG40</f>
        <v>5</v>
      </c>
      <c r="AO40" s="123">
        <f>AN40/AN42*10+BA40</f>
        <v>6.25</v>
      </c>
      <c r="AP40" s="123">
        <f>AO40*10000000+BI40*100+AM40/AM42*10+AI40/AI42*1++IF(AQ40=0,ROW(),AQ40)/2000000</f>
        <v>62500007.167424046</v>
      </c>
      <c r="AQ40" s="126">
        <f>VLOOKUP(AE40,db_fifarank,2,FALSE)</f>
        <v>1514.77</v>
      </c>
      <c r="AR40" s="125">
        <f>AP40/AP42</f>
        <v>0.71428571319875989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4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4 - 4</v>
      </c>
      <c r="P41" s="34">
        <f>L41*3+M41</f>
        <v>4</v>
      </c>
      <c r="R41" s="123">
        <f>DATE(2026,6,20)+TIME(6,0,0)+gmt_delta</f>
        <v>46193.708333333336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0.33407485833333334</v>
      </c>
      <c r="AQ41" s="126">
        <f>VLOOKUP(AE41,db_fifarank,2,FALSE)</f>
        <v>1483.05</v>
      </c>
      <c r="AR41" s="125">
        <f>AP41/AP42</f>
        <v>3.8179979372990313E-9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4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2 - 5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6</v>
      </c>
      <c r="AL42" s="123">
        <f>MIN(AL38:AL41)</f>
        <v>-3</v>
      </c>
      <c r="AM42" s="123">
        <f>MAX(AM38:AM41)+1</f>
        <v>6</v>
      </c>
      <c r="AN42" s="123">
        <f>MAX(AN38:AN41)+1</f>
        <v>8</v>
      </c>
      <c r="AO42" s="123">
        <f>MAX(AO38:AO41)+1</f>
        <v>9.75</v>
      </c>
      <c r="AP42" s="123">
        <f>MAX(AP38:AP41)+1</f>
        <v>87500010.167545587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4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4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4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0</v>
      </c>
      <c r="AL44" s="123">
        <f>AI44-AJ44</f>
        <v>7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90000010.042534024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4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7 - 0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3</v>
      </c>
      <c r="AL45" s="123">
        <f>AI45-AJ45</f>
        <v>-1</v>
      </c>
      <c r="AM45" s="123">
        <f>AL45-AL48</f>
        <v>3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40000002.750781618</v>
      </c>
      <c r="AQ45" s="126">
        <f>VLOOKUP(AE45,db_fifarank,2,FALSE)</f>
        <v>1563.24</v>
      </c>
      <c r="AR45" s="125">
        <f>AP45/AP48</f>
        <v>0.44444442047765537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4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2 - 3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4</v>
      </c>
      <c r="AL46" s="123">
        <f>AI46-AJ46</f>
        <v>-2</v>
      </c>
      <c r="AM46" s="123">
        <f>AL46-AL48</f>
        <v>2</v>
      </c>
      <c r="AN46" s="123">
        <f>AF46*3+AG46</f>
        <v>2</v>
      </c>
      <c r="AO46" s="123">
        <f>AN46/AN48*10+BA46</f>
        <v>2</v>
      </c>
      <c r="AP46" s="123">
        <f>AO46*10000000+BI46*100+AM46/AM48*10+AI46/AI48*1++IF(AQ46=0,ROW(),AQ46)/2000000</f>
        <v>20000001.917474318</v>
      </c>
      <c r="AQ46" s="126">
        <f>VLOOKUP(AE46,db_fifarank,2,FALSE)</f>
        <v>1615.3</v>
      </c>
      <c r="AR46" s="125">
        <f>AP46/AP48</f>
        <v>0.22222221626197705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4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2 - 4</v>
      </c>
      <c r="P47" s="34">
        <f>L47*3+M47</f>
        <v>2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10000000.125640785</v>
      </c>
      <c r="AQ47" s="126">
        <f>VLOOKUP(AE47,db_fifarank,2,FALSE)</f>
        <v>1281.57</v>
      </c>
      <c r="AR47" s="125">
        <f>AP47/AP48</f>
        <v>0.11111109887436328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4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8</v>
      </c>
      <c r="AL48" s="123">
        <f>MIN(AL44:AL47)</f>
        <v>-4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90000011.042534024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3</v>
      </c>
      <c r="CP48" s="63">
        <v>3</v>
      </c>
      <c r="CQ48" s="25">
        <v>4</v>
      </c>
      <c r="CR48" s="111">
        <f>IF(OR(CO48="",CO49="",AND(CP48="",CP49&lt;&gt;""),AND(CP49="",CP48&lt;&gt;""),AND(CQ48="",CQ49&lt;&gt;""),AND(CQ49="",CQ48&lt;&gt;"")),"",CO48*1000+CP48*10+CQ48)</f>
        <v>3034</v>
      </c>
    </row>
    <row r="49" spans="1:96" x14ac:dyDescent="0.4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42"/>
      <c r="CN49" s="26" t="str">
        <f>IF(CK55&gt;CK56,CG56,IF(CK55&lt;CK56,CG55,""))</f>
        <v>Argentina</v>
      </c>
      <c r="CO49" s="62">
        <v>3</v>
      </c>
      <c r="CP49" s="64">
        <v>3</v>
      </c>
      <c r="CQ49" s="27">
        <v>2</v>
      </c>
      <c r="CR49" s="111">
        <f>IF(CR48="","",CO49*1000+CP49*10+CQ49)</f>
        <v>3032</v>
      </c>
    </row>
    <row r="50" spans="1:96" x14ac:dyDescent="0.4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90000010.186652496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5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5000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4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0.100683065</v>
      </c>
      <c r="AQ51" s="126">
        <f>VLOOKUP(AE51,db_fifarank,2,FALSE)</f>
        <v>1366.13</v>
      </c>
      <c r="AR51" s="125">
        <f>AP51/AP54</f>
        <v>1.1187005831720592E-9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Saudi Arabia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4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7</v>
      </c>
      <c r="AL52" s="123">
        <f>AI52-AJ52</f>
        <v>-3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30000002.543567855</v>
      </c>
      <c r="AQ52" s="126">
        <f>VLOOKUP(AE52,db_fifarank,2,FALSE)</f>
        <v>1421.43</v>
      </c>
      <c r="AR52" s="125">
        <f>AP52/AP54</f>
        <v>0.33333332016315376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4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4 - 7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3</v>
      </c>
      <c r="AL53" s="123">
        <f>AI53-AJ53</f>
        <v>2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60000006.215122253</v>
      </c>
      <c r="AQ53" s="126">
        <f>VLOOKUP(AE53,db_fifarank,2,FALSE)</f>
        <v>1673.07</v>
      </c>
      <c r="AR53" s="125">
        <f>AP53/AP54</f>
        <v>0.66666665285948978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4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1 - 7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10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90000011.186652496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4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4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2</v>
      </c>
      <c r="AL56" s="123">
        <f>AI56-AJ56</f>
        <v>7</v>
      </c>
      <c r="AM56" s="123">
        <f>AL56-AL60</f>
        <v>15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90000010.27593866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4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8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49805928.701815359</v>
      </c>
      <c r="AQ57" s="126">
        <f>VLOOKUP(AE57,db_fifarank,2,FALSE)</f>
        <v>1688.99</v>
      </c>
      <c r="AR57" s="125">
        <f>AP57/AP60</f>
        <v>0.55339913846356248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4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4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9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0.10072357000000001</v>
      </c>
      <c r="AQ58" s="126">
        <f>VLOOKUP(AE58,db_fifarank,2,FALSE)</f>
        <v>1447.14</v>
      </c>
      <c r="AR58" s="125">
        <f>AP58/AP60</f>
        <v>1.1191506375614008E-9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>
        <v>1</v>
      </c>
      <c r="BO58" s="25">
        <v>5</v>
      </c>
      <c r="BP58" s="112">
        <f>IF(OR(BM58="",BM59="",AND(BN58="",BN59&lt;&gt;""),AND(BN59="",BN58&lt;&gt;""),AND(BO58="",BO59&lt;&gt;""),AND(BO59="",BO58&lt;&gt;"")),"",BM58*1000+BN58*10+BO58)</f>
        <v>1015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4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2</v>
      </c>
      <c r="G59" s="20">
        <v>3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4 - 4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9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49805929.326746337</v>
      </c>
      <c r="AQ59" s="126">
        <f>VLOOKUP(AE59,db_fifarank,2,FALSE)</f>
        <v>1550.94</v>
      </c>
      <c r="AR59" s="125">
        <f>AP59/AP60</f>
        <v>0.55339914540723911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42"/>
      <c r="BL59" s="26" t="str">
        <f>AS51</f>
        <v>Uruguay</v>
      </c>
      <c r="BM59" s="62">
        <v>1</v>
      </c>
      <c r="BN59" s="64">
        <v>1</v>
      </c>
      <c r="BO59" s="27">
        <v>2</v>
      </c>
      <c r="BP59" s="113">
        <f>IF(BP58="","",BM59*1000+BN59*10+BO59)</f>
        <v>1012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4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1 - 9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10</v>
      </c>
      <c r="AL60" s="123">
        <f>MIN(AL56:AL59)</f>
        <v>-8</v>
      </c>
      <c r="AM60" s="123">
        <f>MAX(AM56:AM59)+1</f>
        <v>16</v>
      </c>
      <c r="AN60" s="123">
        <f>MAX(AN56:AN59)+1</f>
        <v>10</v>
      </c>
      <c r="AO60" s="123">
        <f>MAX(AO56:AO59)+1</f>
        <v>10</v>
      </c>
      <c r="AP60" s="123">
        <f>MAX(AP56:AP59)+1</f>
        <v>90000011.27593866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>
        <v>2</v>
      </c>
      <c r="BV60" s="25">
        <v>4</v>
      </c>
      <c r="BW60" s="112">
        <f>IF(OR(BT60="",BT61="",AND(BU60="",BU61&lt;&gt;""),AND(BU61="",BU60&lt;&gt;""),AND(BV60="",BV61&lt;&gt;""),AND(BV61="",BV60&lt;&gt;"")),"",BT60*1000+BU60*10+BV60)</f>
        <v>2024</v>
      </c>
      <c r="BX60" s="112"/>
      <c r="BY60" s="21"/>
      <c r="BZ60" s="21"/>
      <c r="CA60" s="21"/>
      <c r="CB60" s="21"/>
      <c r="CC60" s="21"/>
      <c r="CD60" s="114"/>
    </row>
    <row r="61" spans="1:96" x14ac:dyDescent="0.4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Turkey</v>
      </c>
      <c r="BT61" s="62">
        <v>2</v>
      </c>
      <c r="BU61" s="64">
        <v>2</v>
      </c>
      <c r="BV61" s="27">
        <v>3</v>
      </c>
      <c r="BW61" s="113">
        <f>IF(BW60="","",BT61*1000+BU61*10+BV61)</f>
        <v>2023</v>
      </c>
      <c r="BX61" s="112"/>
      <c r="BY61" s="21"/>
      <c r="BZ61" s="21"/>
      <c r="CA61" s="21"/>
      <c r="CB61" s="21"/>
      <c r="CC61" s="21"/>
      <c r="CD61" s="114"/>
    </row>
    <row r="62" spans="1:96" x14ac:dyDescent="0.4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2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11</v>
      </c>
      <c r="AJ62" s="123">
        <f>SUMIF($E$7:$E$78,$AE62,$G$7:$G$78) + SUMIF($H$7:$H$78,$AE62,$F$7:$F$78)</f>
        <v>1</v>
      </c>
      <c r="AL62" s="123">
        <f>AI62-AJ62</f>
        <v>10</v>
      </c>
      <c r="AM62" s="123">
        <f>AL62-AL66</f>
        <v>18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90000010.391288295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4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11 - 1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5</v>
      </c>
      <c r="AL63" s="123">
        <f>AI63-AJ63</f>
        <v>-2</v>
      </c>
      <c r="AM63" s="123">
        <f>AL63-AL66</f>
        <v>6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49805926.709647737</v>
      </c>
      <c r="AQ63" s="126">
        <f>VLOOKUP(AE63,db_fifarank,2,FALSE)</f>
        <v>1564.26</v>
      </c>
      <c r="AR63" s="125">
        <f>AP63/AP66</f>
        <v>0.55339911561909849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4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4 - 4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4</v>
      </c>
      <c r="AL64" s="123">
        <f>AI64-AJ64</f>
        <v>0</v>
      </c>
      <c r="AM64" s="123">
        <f>AL64-AL66</f>
        <v>8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49805927.845627248</v>
      </c>
      <c r="AQ64" s="126">
        <f>VLOOKUP(AE64,db_fifarank,2,FALSE)</f>
        <v>1593.45</v>
      </c>
      <c r="AR64" s="125">
        <f>AP64/AP66</f>
        <v>0.5533991282410915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3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3000</v>
      </c>
    </row>
    <row r="65" spans="1:95" x14ac:dyDescent="0.4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3 - 5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9</v>
      </c>
      <c r="AL65" s="123">
        <f>AI65-AJ65</f>
        <v>-8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8.4029058333333323E-2</v>
      </c>
      <c r="AQ65" s="126">
        <f>VLOOKUP(AE65,db_fifarank,2,FALSE)</f>
        <v>1391.45</v>
      </c>
      <c r="AR65" s="125">
        <f>AP65/AP66</f>
        <v>9.3365608553097436E-10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4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1 - 9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12</v>
      </c>
      <c r="AL66" s="123">
        <f>MIN(AL62:AL65)</f>
        <v>-8</v>
      </c>
      <c r="AM66" s="123">
        <f>MAX(AM62:AM65)+1</f>
        <v>19</v>
      </c>
      <c r="AN66" s="123">
        <f>MAX(AN62:AN65)+1</f>
        <v>10</v>
      </c>
      <c r="AO66" s="123">
        <f>MAX(AO62:AO65)+1</f>
        <v>10</v>
      </c>
      <c r="AP66" s="123">
        <f>MAX(AP62:AP65)+1</f>
        <v>90000011.391288295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4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4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2</v>
      </c>
      <c r="AL68" s="123">
        <f>AI68-AJ68</f>
        <v>6</v>
      </c>
      <c r="AM68" s="123">
        <f>AL68-AL72</f>
        <v>11</v>
      </c>
      <c r="AN68" s="123">
        <f>AF68*3+AG68</f>
        <v>7</v>
      </c>
      <c r="AO68" s="123">
        <f>AN68/AN72*10+BA68</f>
        <v>9.7401960784313726</v>
      </c>
      <c r="AP68" s="123">
        <f>AO68*10000000+BI68*100+AM68/AM72*10+AI68/AI72*1++IF(AQ68=0,ROW(),AQ68)/2000000</f>
        <v>97402069.860359043</v>
      </c>
      <c r="AQ68" s="126">
        <f>VLOOKUP(AE68,db_fifarank,2,FALSE)</f>
        <v>1763.83</v>
      </c>
      <c r="AR68" s="125">
        <f>AP68/AP72</f>
        <v>0.99999998973327786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101</v>
      </c>
      <c r="BA68" s="126">
        <f>AZ68/AZ72</f>
        <v>0.99019607843137258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101</v>
      </c>
      <c r="BI68" s="126">
        <f>BH68/BH72</f>
        <v>0.99019607843137258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2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2000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England</v>
      </c>
      <c r="CL68" s="131"/>
      <c r="CM68" s="131"/>
      <c r="CN68" s="131"/>
      <c r="CO68" s="131"/>
      <c r="CP68" s="131"/>
      <c r="CQ68" s="131"/>
    </row>
    <row r="69" spans="1:95" x14ac:dyDescent="0.4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8 - 2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2.2352941176470589</v>
      </c>
      <c r="AP69" s="123">
        <f>AO69*10000000+BI69*100+AM69/AM72*10+AI69/AI72*1++IF(AQ69=0,ROW(),AQ69)/2000000</f>
        <v>22353039.81773264</v>
      </c>
      <c r="AQ69" s="126">
        <f>VLOOKUP(AE69,db_fifarank,2,FALSE)</f>
        <v>1478.35</v>
      </c>
      <c r="AR69" s="125">
        <f>AP69/AP72</f>
        <v>0.22949244939339314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100.5</v>
      </c>
      <c r="BA69" s="126">
        <f>AZ69/AZ72</f>
        <v>0.98529411764705888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100.5</v>
      </c>
      <c r="BI69" s="126">
        <f>BH69/BH72</f>
        <v>0.98529411764705888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4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6 - 2</v>
      </c>
      <c r="P70" s="34">
        <f>L70*3+M70</f>
        <v>7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2.2352941176470589</v>
      </c>
      <c r="AP70" s="123">
        <f>AO70*10000000+BI70*100+AM70/AM72*10+AI70/AI72*1++IF(AQ70=0,ROW(),AQ70)/2000000</f>
        <v>22353039.817726135</v>
      </c>
      <c r="AQ70" s="126">
        <f>VLOOKUP(AE70,db_fifarank,2,FALSE)</f>
        <v>1465.34</v>
      </c>
      <c r="AR70" s="125">
        <f>AP70/AP72</f>
        <v>0.22949244939332636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100.5</v>
      </c>
      <c r="BA70" s="126">
        <f>AZ70/AZ72</f>
        <v>0.98529411764705888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100.5</v>
      </c>
      <c r="BI70" s="126">
        <f>BH70/BH72</f>
        <v>0.98529411764705888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4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9</v>
      </c>
      <c r="AN71" s="123">
        <f>AF71*3+AG71</f>
        <v>7</v>
      </c>
      <c r="AO71" s="123">
        <f>AN71/AN72*10+BA71</f>
        <v>9.7401960784313726</v>
      </c>
      <c r="AP71" s="123">
        <f>AO71*10000000+BI71*100+AM71/AM72*10+AI71/AI72*1++IF(AQ71=0,ROW(),AQ71)/2000000</f>
        <v>97402067.971434787</v>
      </c>
      <c r="AQ71" s="126">
        <f>VLOOKUP(AE71,db_fifarank,2,FALSE)</f>
        <v>1693.09</v>
      </c>
      <c r="AR71" s="125">
        <f>AP71/AP72</f>
        <v>0.99999997034021726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101</v>
      </c>
      <c r="BA71" s="126">
        <f>AZ71/AZ72</f>
        <v>0.99019607843137258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101</v>
      </c>
      <c r="BI71" s="126">
        <f>BH71/BH72</f>
        <v>0.99019607843137258</v>
      </c>
      <c r="BK71" s="14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4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9</v>
      </c>
      <c r="AL72" s="123">
        <f>MIN(AL68:AL71)</f>
        <v>-5</v>
      </c>
      <c r="AM72" s="123">
        <f>MAX(AM68:AM71)+1</f>
        <v>12</v>
      </c>
      <c r="AN72" s="123">
        <f>MAX(AN68:AN71)+1</f>
        <v>8</v>
      </c>
      <c r="AO72" s="123">
        <f>MAX(AO68:AO71)+1</f>
        <v>10.740196078431373</v>
      </c>
      <c r="AP72" s="123">
        <f>MAX(AP68:AP71)+1</f>
        <v>97402070.860359043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102</v>
      </c>
    </row>
    <row r="73" spans="1:95" x14ac:dyDescent="0.4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4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4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9</v>
      </c>
      <c r="AJ74" s="123">
        <f>SUMIF($E$7:$E$78,$AE74,$G$7:$G$78) + SUMIF($H$7:$H$78,$AE74,$F$7:$F$78)</f>
        <v>2</v>
      </c>
      <c r="AL74" s="123">
        <f>AI74-AJ74</f>
        <v>7</v>
      </c>
      <c r="AM74" s="123">
        <f>AL74-AL78</f>
        <v>15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90000010.275912985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4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9 - 2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3</v>
      </c>
      <c r="AL75" s="123">
        <f>AI75-AJ75</f>
        <v>3</v>
      </c>
      <c r="AM75" s="123">
        <f>AL75-AL78</f>
        <v>11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60000007.475858539</v>
      </c>
      <c r="AQ75" s="126">
        <f>VLOOKUP(AE75,db_fifarank,2,FALSE)</f>
        <v>1717.07</v>
      </c>
      <c r="AR75" s="125">
        <f>AP75/AP78</f>
        <v>0.66666666620648019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4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5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6 - 3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5</v>
      </c>
      <c r="AL76" s="123">
        <f>AI76-AJ76</f>
        <v>-2</v>
      </c>
      <c r="AM76" s="123">
        <f>AL76-AL78</f>
        <v>6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30000004.050673157</v>
      </c>
      <c r="AQ76" s="126">
        <f>VLOOKUP(AE76,db_fifarank,2,FALSE)</f>
        <v>1346.31</v>
      </c>
      <c r="AR76" s="125">
        <f>AP76/AP78</f>
        <v>0.33333333657817177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4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3 - 5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8</v>
      </c>
      <c r="AL77" s="123">
        <f>AI77-AJ77</f>
        <v>-8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8.559110038757999E-12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4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0 - 8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10</v>
      </c>
      <c r="AL78" s="123">
        <f>MIN(AL74:AL77)</f>
        <v>-8</v>
      </c>
      <c r="AM78" s="123">
        <f>MAX(AM74:AM77)+1</f>
        <v>16</v>
      </c>
      <c r="AN78" s="123">
        <f>MAX(AN74:AN77)+1</f>
        <v>10</v>
      </c>
      <c r="AO78" s="123">
        <f>MAX(AO74:AO77)+1</f>
        <v>10</v>
      </c>
      <c r="AP78" s="123">
        <f>MAX(AP74:AP77)+1</f>
        <v>90000011.275912985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4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4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8794.2865086157144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4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10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4468.5721560514285</v>
      </c>
      <c r="AQ81" s="126">
        <f t="shared" si="37"/>
        <v>1454.96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4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5</v>
      </c>
      <c r="AN82" s="123">
        <f t="shared" si="45"/>
        <v>4</v>
      </c>
      <c r="AP82" s="123">
        <f>AN82/AN92*10000+AM82/AM92*1000+AI82/AI92*100+IF(AQ82=0,ROW(),AQ82)/2000000</f>
        <v>8794.286463460714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4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Ⓕ Japan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8"/>
        <v>4</v>
      </c>
      <c r="AD83" s="123">
        <f t="shared" si="38"/>
        <v>11</v>
      </c>
      <c r="AE83" s="124" t="str">
        <f>J29</f>
        <v>Australia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3</v>
      </c>
      <c r="AJ83" s="123">
        <f t="shared" si="42"/>
        <v>5</v>
      </c>
      <c r="AK83" s="123" t="s">
        <v>3184</v>
      </c>
      <c r="AL83" s="123">
        <f t="shared" si="43"/>
        <v>-2</v>
      </c>
      <c r="AM83" s="123">
        <f t="shared" si="44"/>
        <v>3</v>
      </c>
      <c r="AN83" s="123">
        <f t="shared" si="45"/>
        <v>1</v>
      </c>
      <c r="AP83" s="123">
        <f>AN83/AN92*10000+AM83/AM92*1000+AI83/AI92*100+IF(AQ83=0,ROW(),AQ83)/2000000</f>
        <v>2488.5722189064286</v>
      </c>
      <c r="AQ83" s="126">
        <f t="shared" si="37"/>
        <v>1580.67</v>
      </c>
      <c r="AR83" s="125" t="str">
        <f t="shared" si="50"/>
        <v>AC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4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Ⓐ Korea Republic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4 - 4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4</v>
      </c>
      <c r="AJ84" s="123">
        <f t="shared" si="42"/>
        <v>3</v>
      </c>
      <c r="AK84" s="123" t="s">
        <v>3185</v>
      </c>
      <c r="AL84" s="123">
        <f t="shared" si="43"/>
        <v>1</v>
      </c>
      <c r="AM84" s="123">
        <f t="shared" si="44"/>
        <v>6</v>
      </c>
      <c r="AN84" s="123">
        <f t="shared" si="45"/>
        <v>4</v>
      </c>
      <c r="AP84" s="123">
        <f>AN84/AN92*10000+AM84/AM92*1000+AI84/AI92*100+IF(AQ84=0,ROW(),AQ84)/2000000</f>
        <v>8937.1436236328573</v>
      </c>
      <c r="AQ84" s="126">
        <f t="shared" si="37"/>
        <v>1532.98</v>
      </c>
      <c r="AR84" s="125" t="str">
        <f t="shared" si="50"/>
        <v>ACE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4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4 - 4</v>
      </c>
      <c r="P85" s="101">
        <f t="shared" si="48"/>
        <v>4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3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4</v>
      </c>
      <c r="AJ85" s="123">
        <f t="shared" si="42"/>
        <v>4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4</v>
      </c>
      <c r="AP85" s="123">
        <f>AN85/AN92*10000+AM85/AM92*1000+AI85/AI92*100+IF(AQ85=0,ROW(),AQ85)/2000000</f>
        <v>8794.2865445007137</v>
      </c>
      <c r="AQ85" s="126">
        <f t="shared" si="37"/>
        <v>1660.43</v>
      </c>
      <c r="AR85" s="125" t="str">
        <f t="shared" si="50"/>
        <v>ACEF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4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3 - 5</v>
      </c>
      <c r="P86" s="101">
        <f t="shared" si="48"/>
        <v>4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3</v>
      </c>
      <c r="AN86" s="123">
        <f t="shared" si="45"/>
        <v>2</v>
      </c>
      <c r="AP86" s="123">
        <f>AN86/AN92*10000+AM86/AM92*1000+AI86/AI92*100+IF(AQ86=0,ROW(),AQ86)/2000000</f>
        <v>4468.5722362214283</v>
      </c>
      <c r="AQ86" s="126">
        <f t="shared" si="37"/>
        <v>1615.3</v>
      </c>
      <c r="AR86" s="125" t="str">
        <f t="shared" si="50"/>
        <v>ACEF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4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Ⓛ Ghana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8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4</v>
      </c>
      <c r="AJ87" s="123">
        <f t="shared" si="42"/>
        <v>7</v>
      </c>
      <c r="AK87" s="123" t="s">
        <v>3188</v>
      </c>
      <c r="AL87" s="123">
        <f t="shared" si="43"/>
        <v>-3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6365.7149964292857</v>
      </c>
      <c r="AQ87" s="126">
        <f t="shared" si="37"/>
        <v>1421.43</v>
      </c>
      <c r="AR87" s="125" t="str">
        <f t="shared" si="50"/>
        <v>ACEFH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4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Ⓗ Saudi Arabia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4 - 7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5</v>
      </c>
      <c r="AN88" s="123">
        <f t="shared" si="45"/>
        <v>4</v>
      </c>
      <c r="AP88" s="123">
        <f>AN88/AN92*10000+AM88/AM92*1000+AI88/AI92*100+IF(AQ88=0,ROW(),AQ88)/2000000</f>
        <v>8794.2865587807137</v>
      </c>
      <c r="AQ88" s="126">
        <f t="shared" si="37"/>
        <v>1688.99</v>
      </c>
      <c r="AR88" s="125" t="str">
        <f t="shared" si="50"/>
        <v>ACEFHI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4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2 - 4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6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4</v>
      </c>
      <c r="AP89" s="123">
        <f>AN89/AN92*10000+AM89/AM92*1000+AI89/AI92*100+IF(AQ89=0,ROW(),AQ89)/2000000</f>
        <v>8488.5722107014299</v>
      </c>
      <c r="AQ89" s="126">
        <f t="shared" si="37"/>
        <v>1564.26</v>
      </c>
      <c r="AR89" s="125" t="str">
        <f t="shared" si="50"/>
        <v>ACEFHIJ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4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Ⓑ Qatar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2 - 4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2020.000739175</v>
      </c>
      <c r="AQ90" s="126">
        <f t="shared" si="37"/>
        <v>1478.35</v>
      </c>
      <c r="AR90" s="125" t="str">
        <f t="shared" si="50"/>
        <v>ACEFHIJ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4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Australia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3 - 5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7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6488.5721017264286</v>
      </c>
      <c r="AQ91" s="126">
        <f t="shared" si="37"/>
        <v>1346.31</v>
      </c>
      <c r="AR91" s="125" t="str">
        <f t="shared" si="50"/>
        <v>ACEFHIJL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4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8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4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4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4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4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4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4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4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4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4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8" scale="5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429" workbookViewId="0">
      <selection activeCell="D6" sqref="D6"/>
    </sheetView>
  </sheetViews>
  <sheetFormatPr defaultColWidth="9.1328125" defaultRowHeight="14.25" x14ac:dyDescent="0.45"/>
  <cols>
    <col min="1" max="1" width="2.3984375" style="82" customWidth="1"/>
    <col min="2" max="2" width="9.1328125" style="81"/>
    <col min="3" max="3" width="13.73046875" style="81" customWidth="1"/>
    <col min="4" max="11" width="9.3984375" style="81" customWidth="1"/>
    <col min="12" max="16384" width="9.1328125" style="82"/>
  </cols>
  <sheetData>
    <row r="1" spans="2:11" ht="8.25" customHeight="1" x14ac:dyDescent="0.45"/>
    <row r="2" spans="2:11" ht="21" x14ac:dyDescent="0.45">
      <c r="B2" s="108" t="s">
        <v>3193</v>
      </c>
    </row>
    <row r="3" spans="2:11" x14ac:dyDescent="0.45">
      <c r="B3" s="109">
        <f>MATCH(C3,C6:C500,0)</f>
        <v>218</v>
      </c>
      <c r="C3" s="121" t="str">
        <f>'2026 World Cup'!AR91</f>
        <v>ACEFHIJL</v>
      </c>
      <c r="D3" s="121" t="str">
        <f>VLOOKUP($C3,$C$6:$K$500,2,FALSE)</f>
        <v>3H</v>
      </c>
      <c r="E3" s="121" t="str">
        <f>VLOOKUP($C3,$C$6:$K$500,3,FALSE)</f>
        <v>3J</v>
      </c>
      <c r="F3" s="121" t="str">
        <f>VLOOKUP($C3,$C$6:$K$500,4,FALSE)</f>
        <v>3E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4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4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4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4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4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4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4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4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4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4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4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4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4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4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4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4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4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4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4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4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4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4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4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4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4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4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4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4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4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4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4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4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4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4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4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4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4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4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4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4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4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4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4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4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4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4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4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4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4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4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4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4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4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4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4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4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4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4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4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4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4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4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4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4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4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4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4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4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4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4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4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4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4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4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4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4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4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4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4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4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4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4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4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4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4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4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4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4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4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4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4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4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4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4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4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4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4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4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4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4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4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4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4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4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4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4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4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4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4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4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4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4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4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4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4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4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4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4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4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4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4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4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4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4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4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4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4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4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4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4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4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4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4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4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4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4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4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4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4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4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4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4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4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4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4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4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4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4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4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4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4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4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4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4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4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4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4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4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4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4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4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4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4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4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4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4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4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4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4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4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4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4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4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4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4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4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4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4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4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4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4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4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4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4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4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4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4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4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4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4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4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4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4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4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4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4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4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4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4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4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4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4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4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4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4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4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4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4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4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4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4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4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4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4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4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4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4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4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4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4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4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4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4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4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4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4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4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4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4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4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4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4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4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4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4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4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4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4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4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4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4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4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4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4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4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4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4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4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4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4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4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4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4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4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4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4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4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4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4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4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4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4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4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4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4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4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4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4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4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4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4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4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4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4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4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4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4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4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4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4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4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4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4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4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4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4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4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4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4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4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4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4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4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4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4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4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4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4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4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4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4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4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4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4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4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4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4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4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4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4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4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4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4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4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4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4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4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4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4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4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4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4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4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4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4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4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4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4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4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4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4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4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4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4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4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4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4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4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4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4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4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4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4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4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4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4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4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4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4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4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4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4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4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4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4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4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4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4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4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4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4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4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4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4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4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4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4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4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4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4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4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4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4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4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4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4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4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4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4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4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4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4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4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4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4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4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4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4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4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4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4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4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4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4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4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4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4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4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4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4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4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4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4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4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4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4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4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4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4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4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4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4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4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4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4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4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4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4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4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4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4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4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4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4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4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4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4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4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4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4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4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4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4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4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4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4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4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4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4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4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4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4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4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4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4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4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4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4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4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4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4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4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4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4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4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4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4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4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4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4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4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4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4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4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4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4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4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4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4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4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4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4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4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4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4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4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4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4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4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4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4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4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4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4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4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4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4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4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4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4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4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4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4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4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4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4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Daniel Alexander Novick Goldstein</cp:lastModifiedBy>
  <cp:revision/>
  <cp:lastPrinted>2026-06-10T09:43:17Z</cp:lastPrinted>
  <dcterms:created xsi:type="dcterms:W3CDTF">2017-12-27T19:32:51Z</dcterms:created>
  <dcterms:modified xsi:type="dcterms:W3CDTF">2026-06-11T17:44:04Z</dcterms:modified>
  <cp:category>Sports</cp:category>
  <cp:contentStatus/>
</cp:coreProperties>
</file>
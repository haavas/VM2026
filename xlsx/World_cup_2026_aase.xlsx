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dagfinha_uio_no/Documents/"/>
    </mc:Choice>
  </mc:AlternateContent>
  <xr:revisionPtr revIDLastSave="394" documentId="8_{0BD71E8F-9B26-4818-B476-F313F5587705}" xr6:coauthVersionLast="47" xr6:coauthVersionMax="47" xr10:uidLastSave="{FDDFF849-7EC0-9242-92DD-9EC6B6669912}"/>
  <bookViews>
    <workbookView xWindow="-110" yWindow="-110" windowWidth="25180" windowHeight="1614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/>
  <c r="CR37" i="3"/>
  <c r="CK55" i="3"/>
  <c r="CK56" i="3"/>
  <c r="CK23" i="3"/>
  <c r="CK24" i="3"/>
  <c r="CD64" i="3"/>
  <c r="CD65" i="3"/>
  <c r="CD48" i="3"/>
  <c r="CD49" i="3"/>
  <c r="CD32" i="3"/>
  <c r="CD33" i="3"/>
  <c r="CD16" i="3"/>
  <c r="CD17" i="3"/>
  <c r="BW68" i="3"/>
  <c r="BW69" i="3"/>
  <c r="BW60" i="3"/>
  <c r="BW61" i="3"/>
  <c r="BW52" i="3"/>
  <c r="BW53" i="3"/>
  <c r="BW44" i="3"/>
  <c r="BW45" i="3"/>
  <c r="BW36" i="3"/>
  <c r="BW37" i="3"/>
  <c r="BW28" i="3"/>
  <c r="BW29" i="3"/>
  <c r="BW20" i="3"/>
  <c r="BW21" i="3"/>
  <c r="BW12" i="3"/>
  <c r="BW13" i="3"/>
  <c r="BP70" i="3"/>
  <c r="BP71" i="3"/>
  <c r="BP66" i="3"/>
  <c r="BP67" i="3"/>
  <c r="BP62" i="3"/>
  <c r="BP63" i="3"/>
  <c r="BP58" i="3"/>
  <c r="BP59" i="3"/>
  <c r="BP54" i="3"/>
  <c r="BP55" i="3"/>
  <c r="BP50" i="3"/>
  <c r="BP51" i="3"/>
  <c r="BP46" i="3"/>
  <c r="BP47" i="3"/>
  <c r="BP42" i="3"/>
  <c r="BP43" i="3"/>
  <c r="BP38" i="3"/>
  <c r="BP39" i="3"/>
  <c r="BP34" i="3"/>
  <c r="BP35" i="3"/>
  <c r="BP30" i="3"/>
  <c r="BP31" i="3"/>
  <c r="BP26" i="3"/>
  <c r="BP27" i="3"/>
  <c r="BP22" i="3"/>
  <c r="BP23" i="3"/>
  <c r="BP18" i="3"/>
  <c r="BP19" i="3"/>
  <c r="BP14" i="3"/>
  <c r="BP15" i="3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39" i="3"/>
  <c r="T39" i="3"/>
  <c r="S11" i="3"/>
  <c r="T11" i="3"/>
  <c r="S18" i="3"/>
  <c r="T18" i="3"/>
  <c r="S19" i="3"/>
  <c r="T19" i="3"/>
  <c r="S21" i="3"/>
  <c r="T21" i="3"/>
  <c r="S31" i="3"/>
  <c r="T31" i="3"/>
  <c r="S36" i="3"/>
  <c r="T36" i="3"/>
  <c r="S38" i="3"/>
  <c r="T38" i="3"/>
  <c r="S44" i="3"/>
  <c r="T44" i="3"/>
  <c r="S48" i="3"/>
  <c r="T48" i="3"/>
  <c r="S51" i="3"/>
  <c r="T51" i="3"/>
  <c r="S55" i="3"/>
  <c r="T55" i="3"/>
  <c r="S58" i="3"/>
  <c r="T58" i="3"/>
  <c r="S59" i="3"/>
  <c r="T59" i="3"/>
  <c r="S61" i="3"/>
  <c r="T61" i="3"/>
  <c r="S62" i="3"/>
  <c r="T62" i="3"/>
  <c r="S64" i="3"/>
  <c r="T64" i="3"/>
  <c r="S67" i="3"/>
  <c r="T67" i="3"/>
  <c r="S71" i="3"/>
  <c r="T71" i="3"/>
  <c r="S74" i="3"/>
  <c r="T74" i="3"/>
  <c r="S76" i="3"/>
  <c r="T76" i="3"/>
  <c r="S78" i="3"/>
  <c r="T78" i="3"/>
  <c r="S77" i="3"/>
  <c r="T77" i="3"/>
  <c r="AF68" i="3"/>
  <c r="AG68" i="3"/>
  <c r="AH68" i="3"/>
  <c r="AF69" i="3"/>
  <c r="AG69" i="3"/>
  <c r="AH69" i="3"/>
  <c r="AF70" i="3"/>
  <c r="AG70" i="3"/>
  <c r="AH70" i="3"/>
  <c r="AF71" i="3"/>
  <c r="AG71" i="3"/>
  <c r="AH71" i="3"/>
  <c r="AN68" i="3"/>
  <c r="AN69" i="3"/>
  <c r="AN70" i="3"/>
  <c r="AN71" i="3"/>
  <c r="AN72" i="3"/>
  <c r="AF8" i="3"/>
  <c r="AG8" i="3"/>
  <c r="AN8" i="3"/>
  <c r="AF9" i="3"/>
  <c r="AG9" i="3"/>
  <c r="AN9" i="3"/>
  <c r="U7" i="3"/>
  <c r="AF10" i="3"/>
  <c r="AG10" i="3"/>
  <c r="AN10" i="3"/>
  <c r="AF11" i="3"/>
  <c r="AG11" i="3"/>
  <c r="AN11" i="3"/>
  <c r="U8" i="3"/>
  <c r="AF14" i="3"/>
  <c r="AG14" i="3"/>
  <c r="AN14" i="3"/>
  <c r="AF15" i="3"/>
  <c r="AG15" i="3"/>
  <c r="AN15" i="3"/>
  <c r="U9" i="3"/>
  <c r="AF26" i="3"/>
  <c r="AG26" i="3"/>
  <c r="AN26" i="3"/>
  <c r="AF27" i="3"/>
  <c r="AG27" i="3"/>
  <c r="AN27" i="3"/>
  <c r="U10" i="3"/>
  <c r="AF22" i="3"/>
  <c r="AG22" i="3"/>
  <c r="AN22" i="3"/>
  <c r="AF23" i="3"/>
  <c r="AG23" i="3"/>
  <c r="AN23" i="3"/>
  <c r="U11" i="3"/>
  <c r="AF28" i="3"/>
  <c r="AG28" i="3"/>
  <c r="AN28" i="3"/>
  <c r="AF29" i="3"/>
  <c r="AG29" i="3"/>
  <c r="AN29" i="3"/>
  <c r="U12" i="3"/>
  <c r="AF20" i="3"/>
  <c r="AG20" i="3"/>
  <c r="AN20" i="3"/>
  <c r="AF21" i="3"/>
  <c r="AG21" i="3"/>
  <c r="AN21" i="3"/>
  <c r="U13" i="3"/>
  <c r="AF16" i="3"/>
  <c r="AG16" i="3"/>
  <c r="AN16" i="3"/>
  <c r="AF17" i="3"/>
  <c r="AG17" i="3"/>
  <c r="AN17" i="3"/>
  <c r="U14" i="3"/>
  <c r="AF34" i="3"/>
  <c r="AG34" i="3"/>
  <c r="AN34" i="3"/>
  <c r="AF35" i="3"/>
  <c r="AG35" i="3"/>
  <c r="AN35" i="3"/>
  <c r="U15" i="3"/>
  <c r="AF32" i="3"/>
  <c r="AG32" i="3"/>
  <c r="AN32" i="3"/>
  <c r="AF33" i="3"/>
  <c r="AG33" i="3"/>
  <c r="AN33" i="3"/>
  <c r="U16" i="3"/>
  <c r="AF38" i="3"/>
  <c r="AG38" i="3"/>
  <c r="AN38" i="3"/>
  <c r="AF39" i="3"/>
  <c r="AG39" i="3"/>
  <c r="AN39" i="3"/>
  <c r="U17" i="3"/>
  <c r="AF40" i="3"/>
  <c r="AG40" i="3"/>
  <c r="AN40" i="3"/>
  <c r="AF41" i="3"/>
  <c r="AG41" i="3"/>
  <c r="AN41" i="3"/>
  <c r="U18" i="3"/>
  <c r="AF52" i="3"/>
  <c r="AG52" i="3"/>
  <c r="AN52" i="3"/>
  <c r="AF53" i="3"/>
  <c r="AG53" i="3"/>
  <c r="AN53" i="3"/>
  <c r="U19" i="3"/>
  <c r="AF50" i="3"/>
  <c r="AG50" i="3"/>
  <c r="AN50" i="3"/>
  <c r="AF51" i="3"/>
  <c r="AG51" i="3"/>
  <c r="AN51" i="3"/>
  <c r="U20" i="3"/>
  <c r="AF46" i="3"/>
  <c r="AG46" i="3"/>
  <c r="AN46" i="3"/>
  <c r="AF47" i="3"/>
  <c r="AG47" i="3"/>
  <c r="AN47" i="3"/>
  <c r="U21" i="3"/>
  <c r="AF44" i="3"/>
  <c r="AG44" i="3"/>
  <c r="AN44" i="3"/>
  <c r="AF45" i="3"/>
  <c r="AG45" i="3"/>
  <c r="AN45" i="3"/>
  <c r="U22" i="3"/>
  <c r="AF56" i="3"/>
  <c r="AG56" i="3"/>
  <c r="AN56" i="3"/>
  <c r="AF57" i="3"/>
  <c r="AG57" i="3"/>
  <c r="AN57" i="3"/>
  <c r="U23" i="3"/>
  <c r="AF58" i="3"/>
  <c r="AG58" i="3"/>
  <c r="AN58" i="3"/>
  <c r="AF59" i="3"/>
  <c r="AG59" i="3"/>
  <c r="AN59" i="3"/>
  <c r="U24" i="3"/>
  <c r="AF62" i="3"/>
  <c r="AG62" i="3"/>
  <c r="AN62" i="3"/>
  <c r="AF63" i="3"/>
  <c r="AG63" i="3"/>
  <c r="AN63" i="3"/>
  <c r="U25" i="3"/>
  <c r="AF64" i="3"/>
  <c r="AG64" i="3"/>
  <c r="AN64" i="3"/>
  <c r="AF65" i="3"/>
  <c r="AG65" i="3"/>
  <c r="AN65" i="3"/>
  <c r="U26" i="3"/>
  <c r="AF76" i="3"/>
  <c r="AG76" i="3"/>
  <c r="AN76" i="3"/>
  <c r="AF77" i="3"/>
  <c r="AG77" i="3"/>
  <c r="AN77" i="3"/>
  <c r="U27" i="3"/>
  <c r="AF74" i="3"/>
  <c r="AG74" i="3"/>
  <c r="AN74" i="3"/>
  <c r="AF75" i="3"/>
  <c r="AG75" i="3"/>
  <c r="AN75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AT68" i="3" a="1"/>
  <c r="AT68" i="3"/>
  <c r="AT69" i="3" a="1"/>
  <c r="AT69" i="3"/>
  <c r="AT70" i="3" a="1"/>
  <c r="AT70" i="3"/>
  <c r="AT71" i="3" a="1"/>
  <c r="AT71" i="3"/>
  <c r="AT72" i="3"/>
  <c r="AU68" i="3" a="1"/>
  <c r="AU68" i="3"/>
  <c r="AU69" i="3" a="1"/>
  <c r="AU69" i="3"/>
  <c r="AU70" i="3" a="1"/>
  <c r="AU70" i="3"/>
  <c r="AU71" i="3" a="1"/>
  <c r="AU71" i="3"/>
  <c r="AU72" i="3"/>
  <c r="AV68" i="3" a="1"/>
  <c r="AV68" i="3"/>
  <c r="AW68" i="3" a="1"/>
  <c r="AW68" i="3"/>
  <c r="AX68" i="3"/>
  <c r="AV69" i="3" a="1"/>
  <c r="AV69" i="3"/>
  <c r="AW69" i="3" a="1"/>
  <c r="AW69" i="3"/>
  <c r="AX69" i="3"/>
  <c r="AV70" i="3" a="1"/>
  <c r="AV70" i="3"/>
  <c r="AW70" i="3" a="1"/>
  <c r="AW70" i="3"/>
  <c r="AX70" i="3"/>
  <c r="AV71" i="3" a="1"/>
  <c r="AV71" i="3"/>
  <c r="AW71" i="3" a="1"/>
  <c r="AW71" i="3"/>
  <c r="AX71" i="3"/>
  <c r="AY68" i="3"/>
  <c r="AY69" i="3"/>
  <c r="AY70" i="3"/>
  <c r="AY71" i="3"/>
  <c r="AY72" i="3"/>
  <c r="AV72" i="3"/>
  <c r="AZ68" i="3"/>
  <c r="AZ69" i="3"/>
  <c r="AZ70" i="3"/>
  <c r="AZ71" i="3"/>
  <c r="AZ72" i="3"/>
  <c r="BA68" i="3"/>
  <c r="AO68" i="3"/>
  <c r="AN12" i="3"/>
  <c r="AT8" i="3" a="1"/>
  <c r="AT8" i="3"/>
  <c r="AT9" i="3" a="1"/>
  <c r="AT9" i="3"/>
  <c r="AT10" i="3" a="1"/>
  <c r="AT10" i="3"/>
  <c r="AT11" i="3" a="1"/>
  <c r="AT11" i="3"/>
  <c r="AT12" i="3"/>
  <c r="AU8" i="3" a="1"/>
  <c r="AU8" i="3"/>
  <c r="AU9" i="3" a="1"/>
  <c r="AU9" i="3"/>
  <c r="AU10" i="3" a="1"/>
  <c r="AU10" i="3"/>
  <c r="AU11" i="3" a="1"/>
  <c r="AU11" i="3"/>
  <c r="AU12" i="3"/>
  <c r="AV8" i="3" a="1"/>
  <c r="AV8" i="3"/>
  <c r="AW8" i="3" a="1"/>
  <c r="AW8" i="3"/>
  <c r="AX8" i="3"/>
  <c r="AV9" i="3" a="1"/>
  <c r="AV9" i="3"/>
  <c r="AW9" i="3" a="1"/>
  <c r="AW9" i="3"/>
  <c r="AX9" i="3"/>
  <c r="AV10" i="3" a="1"/>
  <c r="AV10" i="3"/>
  <c r="AW10" i="3" a="1"/>
  <c r="AW10" i="3"/>
  <c r="AX10" i="3"/>
  <c r="AV11" i="3" a="1"/>
  <c r="AV11" i="3"/>
  <c r="AW11" i="3" a="1"/>
  <c r="AW11" i="3"/>
  <c r="AX11" i="3"/>
  <c r="AY8" i="3"/>
  <c r="AY9" i="3"/>
  <c r="AY10" i="3"/>
  <c r="AY11" i="3"/>
  <c r="AY12" i="3"/>
  <c r="AV12" i="3"/>
  <c r="AZ8" i="3"/>
  <c r="AZ9" i="3"/>
  <c r="AZ10" i="3"/>
  <c r="AZ11" i="3"/>
  <c r="AZ12" i="3"/>
  <c r="BA8" i="3"/>
  <c r="AO8" i="3"/>
  <c r="BA9" i="3"/>
  <c r="AO9" i="3"/>
  <c r="X7" i="3"/>
  <c r="BA10" i="3"/>
  <c r="AO10" i="3"/>
  <c r="BA11" i="3"/>
  <c r="AO11" i="3"/>
  <c r="X8" i="3"/>
  <c r="AN18" i="3"/>
  <c r="AT14" i="3" a="1"/>
  <c r="AT14" i="3"/>
  <c r="AT15" i="3" a="1"/>
  <c r="AT15" i="3"/>
  <c r="AT16" i="3" a="1"/>
  <c r="AT16" i="3"/>
  <c r="AT17" i="3" a="1"/>
  <c r="AT17" i="3"/>
  <c r="AT18" i="3"/>
  <c r="AU14" i="3" a="1"/>
  <c r="AU14" i="3"/>
  <c r="AU15" i="3" a="1"/>
  <c r="AU15" i="3"/>
  <c r="AU16" i="3" a="1"/>
  <c r="AU16" i="3"/>
  <c r="AU17" i="3" a="1"/>
  <c r="AU17" i="3"/>
  <c r="AU18" i="3"/>
  <c r="AV14" i="3" a="1"/>
  <c r="AV14" i="3"/>
  <c r="AW14" i="3" a="1"/>
  <c r="AW14" i="3"/>
  <c r="AX14" i="3"/>
  <c r="AV15" i="3" a="1"/>
  <c r="AV15" i="3"/>
  <c r="AW15" i="3" a="1"/>
  <c r="AW15" i="3"/>
  <c r="AX15" i="3"/>
  <c r="AV16" i="3" a="1"/>
  <c r="AV16" i="3"/>
  <c r="AW16" i="3" a="1"/>
  <c r="AW16" i="3"/>
  <c r="AX16" i="3"/>
  <c r="AV17" i="3" a="1"/>
  <c r="AV17" i="3"/>
  <c r="AW17" i="3" a="1"/>
  <c r="AW17" i="3"/>
  <c r="AX17" i="3"/>
  <c r="AY14" i="3"/>
  <c r="AY15" i="3"/>
  <c r="AY16" i="3"/>
  <c r="AY17" i="3"/>
  <c r="AY18" i="3"/>
  <c r="AV18" i="3"/>
  <c r="AZ14" i="3"/>
  <c r="AZ15" i="3"/>
  <c r="AZ16" i="3"/>
  <c r="AZ17" i="3"/>
  <c r="AZ18" i="3"/>
  <c r="BA14" i="3"/>
  <c r="AO14" i="3"/>
  <c r="BA15" i="3"/>
  <c r="AO15" i="3"/>
  <c r="X9" i="3"/>
  <c r="AN30" i="3"/>
  <c r="AT26" i="3" a="1"/>
  <c r="AT26" i="3"/>
  <c r="AT27" i="3" a="1"/>
  <c r="AT27" i="3"/>
  <c r="AT28" i="3" a="1"/>
  <c r="AT28" i="3"/>
  <c r="AT29" i="3" a="1"/>
  <c r="AT29" i="3"/>
  <c r="AT30" i="3"/>
  <c r="AU26" i="3" a="1"/>
  <c r="AU26" i="3"/>
  <c r="AU27" i="3" a="1"/>
  <c r="AU27" i="3"/>
  <c r="AU28" i="3" a="1"/>
  <c r="AU28" i="3"/>
  <c r="AU29" i="3" a="1"/>
  <c r="AU29" i="3"/>
  <c r="AU30" i="3"/>
  <c r="AV26" i="3" a="1"/>
  <c r="AV26" i="3"/>
  <c r="AW26" i="3" a="1"/>
  <c r="AW26" i="3"/>
  <c r="AX26" i="3"/>
  <c r="AV27" i="3" a="1"/>
  <c r="AV27" i="3"/>
  <c r="AW27" i="3" a="1"/>
  <c r="AW27" i="3"/>
  <c r="AX27" i="3"/>
  <c r="AV28" i="3" a="1"/>
  <c r="AV28" i="3"/>
  <c r="AW28" i="3" a="1"/>
  <c r="AW28" i="3"/>
  <c r="AX28" i="3"/>
  <c r="AV29" i="3" a="1"/>
  <c r="AV29" i="3"/>
  <c r="AW29" i="3" a="1"/>
  <c r="AW29" i="3"/>
  <c r="AX29" i="3"/>
  <c r="AY26" i="3"/>
  <c r="AY27" i="3"/>
  <c r="AY28" i="3"/>
  <c r="AY29" i="3"/>
  <c r="AY30" i="3"/>
  <c r="AV30" i="3"/>
  <c r="AZ26" i="3"/>
  <c r="AZ27" i="3"/>
  <c r="AZ28" i="3"/>
  <c r="AZ29" i="3"/>
  <c r="AZ30" i="3"/>
  <c r="BA26" i="3"/>
  <c r="AO26" i="3"/>
  <c r="BA27" i="3"/>
  <c r="AO27" i="3"/>
  <c r="X10" i="3"/>
  <c r="AN24" i="3"/>
  <c r="AT22" i="3" a="1"/>
  <c r="AT22" i="3"/>
  <c r="AT20" i="3" a="1"/>
  <c r="AT20" i="3"/>
  <c r="AT21" i="3" a="1"/>
  <c r="AT21" i="3"/>
  <c r="AT23" i="3" a="1"/>
  <c r="AT23" i="3"/>
  <c r="AT24" i="3"/>
  <c r="AU22" i="3" a="1"/>
  <c r="AU22" i="3"/>
  <c r="AU20" i="3" a="1"/>
  <c r="AU20" i="3"/>
  <c r="AU21" i="3" a="1"/>
  <c r="AU21" i="3"/>
  <c r="AU23" i="3" a="1"/>
  <c r="AU23" i="3"/>
  <c r="AU24" i="3"/>
  <c r="AV22" i="3" a="1"/>
  <c r="AV22" i="3"/>
  <c r="AW22" i="3" a="1"/>
  <c r="AW22" i="3"/>
  <c r="AX22" i="3"/>
  <c r="AV20" i="3" a="1"/>
  <c r="AV20" i="3"/>
  <c r="AW20" i="3" a="1"/>
  <c r="AW20" i="3"/>
  <c r="AX20" i="3"/>
  <c r="AV21" i="3" a="1"/>
  <c r="AV21" i="3"/>
  <c r="AW21" i="3" a="1"/>
  <c r="AW21" i="3"/>
  <c r="AX21" i="3"/>
  <c r="AV23" i="3" a="1"/>
  <c r="AV23" i="3"/>
  <c r="AW23" i="3" a="1"/>
  <c r="AW23" i="3"/>
  <c r="AX23" i="3"/>
  <c r="AY22" i="3"/>
  <c r="AY20" i="3"/>
  <c r="AY21" i="3"/>
  <c r="AY23" i="3"/>
  <c r="AY24" i="3"/>
  <c r="AV24" i="3"/>
  <c r="AZ22" i="3"/>
  <c r="AZ20" i="3"/>
  <c r="AZ21" i="3"/>
  <c r="AZ23" i="3"/>
  <c r="AZ24" i="3"/>
  <c r="BA22" i="3"/>
  <c r="AO22" i="3"/>
  <c r="BA23" i="3"/>
  <c r="AO23" i="3"/>
  <c r="X11" i="3"/>
  <c r="BA28" i="3"/>
  <c r="AO28" i="3"/>
  <c r="BA29" i="3"/>
  <c r="AO29" i="3"/>
  <c r="X12" i="3"/>
  <c r="BA20" i="3"/>
  <c r="AO20" i="3"/>
  <c r="BA21" i="3"/>
  <c r="AO21" i="3"/>
  <c r="X13" i="3"/>
  <c r="BA16" i="3"/>
  <c r="AO16" i="3"/>
  <c r="BA17" i="3"/>
  <c r="AO17" i="3"/>
  <c r="X14" i="3"/>
  <c r="AN36" i="3"/>
  <c r="AT34" i="3" a="1"/>
  <c r="AT34" i="3"/>
  <c r="AT32" i="3" a="1"/>
  <c r="AT32" i="3"/>
  <c r="AT33" i="3" a="1"/>
  <c r="AT33" i="3"/>
  <c r="AT35" i="3" a="1"/>
  <c r="AT35" i="3"/>
  <c r="AT36" i="3"/>
  <c r="AU34" i="3" a="1"/>
  <c r="AU34" i="3"/>
  <c r="AU32" i="3" a="1"/>
  <c r="AU32" i="3"/>
  <c r="AU33" i="3" a="1"/>
  <c r="AU33" i="3"/>
  <c r="AU35" i="3" a="1"/>
  <c r="AU35" i="3"/>
  <c r="AU36" i="3"/>
  <c r="AV34" i="3" a="1"/>
  <c r="AV34" i="3"/>
  <c r="AW34" i="3" a="1"/>
  <c r="AW34" i="3"/>
  <c r="AX34" i="3"/>
  <c r="AV32" i="3" a="1"/>
  <c r="AV32" i="3"/>
  <c r="AW32" i="3" a="1"/>
  <c r="AW32" i="3"/>
  <c r="AX32" i="3"/>
  <c r="AV33" i="3" a="1"/>
  <c r="AV33" i="3"/>
  <c r="AW33" i="3" a="1"/>
  <c r="AW33" i="3"/>
  <c r="AX33" i="3"/>
  <c r="AV35" i="3" a="1"/>
  <c r="AV35" i="3"/>
  <c r="AW35" i="3" a="1"/>
  <c r="AW35" i="3"/>
  <c r="AX35" i="3"/>
  <c r="AY34" i="3"/>
  <c r="AY32" i="3"/>
  <c r="AY33" i="3"/>
  <c r="AY35" i="3"/>
  <c r="AY36" i="3"/>
  <c r="AV36" i="3"/>
  <c r="AZ34" i="3"/>
  <c r="AZ32" i="3"/>
  <c r="AZ33" i="3"/>
  <c r="AZ35" i="3"/>
  <c r="AZ36" i="3"/>
  <c r="BA34" i="3"/>
  <c r="AO34" i="3"/>
  <c r="BA35" i="3"/>
  <c r="AO35" i="3"/>
  <c r="X15" i="3"/>
  <c r="BA32" i="3"/>
  <c r="AO32" i="3"/>
  <c r="BA33" i="3"/>
  <c r="AO33" i="3"/>
  <c r="X16" i="3"/>
  <c r="AN42" i="3"/>
  <c r="AT38" i="3" a="1"/>
  <c r="AT38" i="3"/>
  <c r="AT39" i="3" a="1"/>
  <c r="AT39" i="3"/>
  <c r="AT40" i="3" a="1"/>
  <c r="AT40" i="3"/>
  <c r="AT41" i="3" a="1"/>
  <c r="AT41" i="3"/>
  <c r="AT42" i="3"/>
  <c r="AU38" i="3" a="1"/>
  <c r="AU38" i="3"/>
  <c r="AU39" i="3" a="1"/>
  <c r="AU39" i="3"/>
  <c r="AU40" i="3" a="1"/>
  <c r="AU40" i="3"/>
  <c r="AU41" i="3" a="1"/>
  <c r="AU41" i="3"/>
  <c r="AU42" i="3"/>
  <c r="AV38" i="3" a="1"/>
  <c r="AV38" i="3"/>
  <c r="AW38" i="3" a="1"/>
  <c r="AW38" i="3"/>
  <c r="AX38" i="3"/>
  <c r="AV39" i="3" a="1"/>
  <c r="AV39" i="3"/>
  <c r="AW39" i="3" a="1"/>
  <c r="AW39" i="3"/>
  <c r="AX39" i="3"/>
  <c r="AV40" i="3" a="1"/>
  <c r="AV40" i="3"/>
  <c r="AW40" i="3" a="1"/>
  <c r="AW40" i="3"/>
  <c r="AX40" i="3"/>
  <c r="AV41" i="3" a="1"/>
  <c r="AV41" i="3"/>
  <c r="AW41" i="3" a="1"/>
  <c r="AW41" i="3"/>
  <c r="AX41" i="3"/>
  <c r="AY38" i="3"/>
  <c r="AY39" i="3"/>
  <c r="AY40" i="3"/>
  <c r="AY41" i="3"/>
  <c r="AY42" i="3"/>
  <c r="AV42" i="3"/>
  <c r="AZ38" i="3"/>
  <c r="AZ39" i="3"/>
  <c r="AZ40" i="3"/>
  <c r="AZ41" i="3"/>
  <c r="AZ42" i="3"/>
  <c r="BA38" i="3"/>
  <c r="AO38" i="3"/>
  <c r="BA39" i="3"/>
  <c r="AO39" i="3"/>
  <c r="X17" i="3"/>
  <c r="BA40" i="3"/>
  <c r="AO40" i="3"/>
  <c r="BA41" i="3"/>
  <c r="AO41" i="3"/>
  <c r="X18" i="3"/>
  <c r="AN54" i="3"/>
  <c r="AT52" i="3" a="1"/>
  <c r="AT52" i="3"/>
  <c r="AT50" i="3" a="1"/>
  <c r="AT50" i="3"/>
  <c r="AT51" i="3" a="1"/>
  <c r="AT51" i="3"/>
  <c r="AT53" i="3" a="1"/>
  <c r="AT53" i="3"/>
  <c r="AT54" i="3"/>
  <c r="AU52" i="3" a="1"/>
  <c r="AU52" i="3"/>
  <c r="AU50" i="3" a="1"/>
  <c r="AU50" i="3"/>
  <c r="AU51" i="3" a="1"/>
  <c r="AU51" i="3"/>
  <c r="AU53" i="3" a="1"/>
  <c r="AU53" i="3"/>
  <c r="AU54" i="3"/>
  <c r="AV52" i="3" a="1"/>
  <c r="AV52" i="3"/>
  <c r="AW52" i="3" a="1"/>
  <c r="AW52" i="3"/>
  <c r="AX52" i="3"/>
  <c r="AV50" i="3" a="1"/>
  <c r="AV50" i="3"/>
  <c r="AW50" i="3" a="1"/>
  <c r="AW50" i="3"/>
  <c r="AX50" i="3"/>
  <c r="AV51" i="3" a="1"/>
  <c r="AV51" i="3"/>
  <c r="AW51" i="3" a="1"/>
  <c r="AW51" i="3"/>
  <c r="AX51" i="3"/>
  <c r="AV53" i="3" a="1"/>
  <c r="AV53" i="3"/>
  <c r="AW53" i="3" a="1"/>
  <c r="AW53" i="3"/>
  <c r="AX53" i="3"/>
  <c r="AY52" i="3"/>
  <c r="AY50" i="3"/>
  <c r="AY51" i="3"/>
  <c r="AY53" i="3"/>
  <c r="AY54" i="3"/>
  <c r="AV54" i="3"/>
  <c r="AZ52" i="3"/>
  <c r="AZ50" i="3"/>
  <c r="AZ51" i="3"/>
  <c r="AZ53" i="3"/>
  <c r="AZ54" i="3"/>
  <c r="BA52" i="3"/>
  <c r="AO52" i="3"/>
  <c r="BA53" i="3"/>
  <c r="AO53" i="3"/>
  <c r="X19" i="3"/>
  <c r="BA50" i="3"/>
  <c r="AO50" i="3"/>
  <c r="BA51" i="3"/>
  <c r="AO51" i="3"/>
  <c r="X20" i="3"/>
  <c r="AN48" i="3"/>
  <c r="AT46" i="3" a="1"/>
  <c r="AT46" i="3"/>
  <c r="AT44" i="3" a="1"/>
  <c r="AT44" i="3"/>
  <c r="AT45" i="3" a="1"/>
  <c r="AT45" i="3"/>
  <c r="AT47" i="3" a="1"/>
  <c r="AT47" i="3"/>
  <c r="AT48" i="3"/>
  <c r="AU46" i="3" a="1"/>
  <c r="AU46" i="3"/>
  <c r="AU44" i="3" a="1"/>
  <c r="AU44" i="3"/>
  <c r="AU45" i="3" a="1"/>
  <c r="AU45" i="3"/>
  <c r="AU47" i="3" a="1"/>
  <c r="AU47" i="3"/>
  <c r="AU48" i="3"/>
  <c r="AV46" i="3" a="1"/>
  <c r="AV46" i="3"/>
  <c r="AW46" i="3" a="1"/>
  <c r="AW46" i="3"/>
  <c r="AX46" i="3"/>
  <c r="AV44" i="3" a="1"/>
  <c r="AV44" i="3"/>
  <c r="AW44" i="3" a="1"/>
  <c r="AW44" i="3"/>
  <c r="AX44" i="3"/>
  <c r="AV45" i="3" a="1"/>
  <c r="AV45" i="3"/>
  <c r="AW45" i="3" a="1"/>
  <c r="AW45" i="3"/>
  <c r="AX45" i="3"/>
  <c r="AV47" i="3" a="1"/>
  <c r="AV47" i="3"/>
  <c r="AW47" i="3" a="1"/>
  <c r="AW47" i="3"/>
  <c r="AX47" i="3"/>
  <c r="AY46" i="3"/>
  <c r="AY44" i="3"/>
  <c r="AY45" i="3"/>
  <c r="AY47" i="3"/>
  <c r="AY48" i="3"/>
  <c r="AV48" i="3"/>
  <c r="AZ46" i="3"/>
  <c r="AZ44" i="3"/>
  <c r="AZ45" i="3"/>
  <c r="AZ47" i="3"/>
  <c r="AZ48" i="3"/>
  <c r="BA46" i="3"/>
  <c r="AO46" i="3"/>
  <c r="BA47" i="3"/>
  <c r="AO47" i="3"/>
  <c r="X21" i="3"/>
  <c r="BA44" i="3"/>
  <c r="AO44" i="3"/>
  <c r="BA45" i="3"/>
  <c r="AO45" i="3"/>
  <c r="X22" i="3"/>
  <c r="AN60" i="3"/>
  <c r="AT56" i="3" a="1"/>
  <c r="AT56" i="3"/>
  <c r="AT57" i="3" a="1"/>
  <c r="AT57" i="3"/>
  <c r="AT58" i="3" a="1"/>
  <c r="AT58" i="3"/>
  <c r="AT59" i="3" a="1"/>
  <c r="AT59" i="3"/>
  <c r="AT60" i="3"/>
  <c r="AU56" i="3" a="1"/>
  <c r="AU56" i="3"/>
  <c r="AU57" i="3" a="1"/>
  <c r="AU57" i="3"/>
  <c r="AU58" i="3" a="1"/>
  <c r="AU58" i="3"/>
  <c r="AU59" i="3" a="1"/>
  <c r="AU59" i="3"/>
  <c r="AU60" i="3"/>
  <c r="AV56" i="3" a="1"/>
  <c r="AV56" i="3"/>
  <c r="AW56" i="3" a="1"/>
  <c r="AW56" i="3"/>
  <c r="AX56" i="3"/>
  <c r="AV57" i="3" a="1"/>
  <c r="AV57" i="3"/>
  <c r="AW57" i="3" a="1"/>
  <c r="AW57" i="3"/>
  <c r="AX57" i="3"/>
  <c r="AV58" i="3" a="1"/>
  <c r="AV58" i="3"/>
  <c r="AW58" i="3" a="1"/>
  <c r="AW58" i="3"/>
  <c r="AX58" i="3"/>
  <c r="AV59" i="3" a="1"/>
  <c r="AV59" i="3"/>
  <c r="AW59" i="3" a="1"/>
  <c r="AW59" i="3"/>
  <c r="AX59" i="3"/>
  <c r="AY56" i="3"/>
  <c r="AY57" i="3"/>
  <c r="AY58" i="3"/>
  <c r="AY59" i="3"/>
  <c r="AY60" i="3"/>
  <c r="AV60" i="3"/>
  <c r="AZ56" i="3"/>
  <c r="AZ57" i="3"/>
  <c r="AZ58" i="3"/>
  <c r="AZ59" i="3"/>
  <c r="AZ60" i="3"/>
  <c r="BA56" i="3"/>
  <c r="AO56" i="3"/>
  <c r="BA57" i="3"/>
  <c r="AO57" i="3"/>
  <c r="X23" i="3"/>
  <c r="BA58" i="3"/>
  <c r="AO58" i="3"/>
  <c r="BA59" i="3"/>
  <c r="AO59" i="3"/>
  <c r="X24" i="3"/>
  <c r="AN66" i="3"/>
  <c r="AT62" i="3" a="1"/>
  <c r="AT62" i="3"/>
  <c r="AT63" i="3" a="1"/>
  <c r="AT63" i="3"/>
  <c r="AT64" i="3" a="1"/>
  <c r="AT64" i="3"/>
  <c r="AT65" i="3" a="1"/>
  <c r="AT65" i="3"/>
  <c r="AT66" i="3"/>
  <c r="AU62" i="3" a="1"/>
  <c r="AU62" i="3"/>
  <c r="AU63" i="3" a="1"/>
  <c r="AU63" i="3"/>
  <c r="AU64" i="3" a="1"/>
  <c r="AU64" i="3"/>
  <c r="AU65" i="3" a="1"/>
  <c r="AU65" i="3"/>
  <c r="AU66" i="3"/>
  <c r="AV62" i="3" a="1"/>
  <c r="AV62" i="3"/>
  <c r="AW62" i="3" a="1"/>
  <c r="AW62" i="3"/>
  <c r="AX62" i="3"/>
  <c r="AV63" i="3" a="1"/>
  <c r="AV63" i="3"/>
  <c r="AW63" i="3" a="1"/>
  <c r="AW63" i="3"/>
  <c r="AX63" i="3"/>
  <c r="AV64" i="3" a="1"/>
  <c r="AV64" i="3"/>
  <c r="AW64" i="3" a="1"/>
  <c r="AW64" i="3"/>
  <c r="AX64" i="3"/>
  <c r="AV65" i="3" a="1"/>
  <c r="AV65" i="3"/>
  <c r="AW65" i="3" a="1"/>
  <c r="AW65" i="3"/>
  <c r="AX65" i="3"/>
  <c r="AY62" i="3"/>
  <c r="AY63" i="3"/>
  <c r="AY64" i="3"/>
  <c r="AY65" i="3"/>
  <c r="AY66" i="3"/>
  <c r="AV66" i="3"/>
  <c r="AZ62" i="3"/>
  <c r="AZ63" i="3"/>
  <c r="AZ64" i="3"/>
  <c r="AZ65" i="3"/>
  <c r="AZ66" i="3"/>
  <c r="BA62" i="3"/>
  <c r="AO62" i="3"/>
  <c r="BA63" i="3"/>
  <c r="AO63" i="3"/>
  <c r="X25" i="3"/>
  <c r="BA64" i="3"/>
  <c r="AO64" i="3"/>
  <c r="BA65" i="3"/>
  <c r="AO65" i="3"/>
  <c r="X26" i="3"/>
  <c r="AN78" i="3"/>
  <c r="AT76" i="3" a="1"/>
  <c r="AT76" i="3"/>
  <c r="AT74" i="3" a="1"/>
  <c r="AT74" i="3"/>
  <c r="AT75" i="3" a="1"/>
  <c r="AT75" i="3"/>
  <c r="AT77" i="3" a="1"/>
  <c r="AT77" i="3"/>
  <c r="AT78" i="3"/>
  <c r="AU76" i="3" a="1"/>
  <c r="AU76" i="3"/>
  <c r="AU74" i="3" a="1"/>
  <c r="AU74" i="3"/>
  <c r="AU75" i="3" a="1"/>
  <c r="AU75" i="3"/>
  <c r="AU77" i="3" a="1"/>
  <c r="AU77" i="3"/>
  <c r="AU78" i="3"/>
  <c r="AV76" i="3" a="1"/>
  <c r="AV76" i="3"/>
  <c r="AW76" i="3" a="1"/>
  <c r="AW76" i="3"/>
  <c r="AX76" i="3"/>
  <c r="AV74" i="3" a="1"/>
  <c r="AV74" i="3"/>
  <c r="AW74" i="3" a="1"/>
  <c r="AW74" i="3"/>
  <c r="AX74" i="3"/>
  <c r="AV75" i="3" a="1"/>
  <c r="AV75" i="3"/>
  <c r="AW75" i="3" a="1"/>
  <c r="AW75" i="3"/>
  <c r="AX75" i="3"/>
  <c r="AV77" i="3" a="1"/>
  <c r="AV77" i="3"/>
  <c r="AW77" i="3" a="1"/>
  <c r="AW77" i="3"/>
  <c r="AX77" i="3"/>
  <c r="AY76" i="3"/>
  <c r="AY74" i="3"/>
  <c r="AY75" i="3"/>
  <c r="AY77" i="3"/>
  <c r="AY78" i="3"/>
  <c r="AV78" i="3"/>
  <c r="AZ76" i="3"/>
  <c r="AZ74" i="3"/>
  <c r="AZ75" i="3"/>
  <c r="AZ77" i="3"/>
  <c r="AZ78" i="3"/>
  <c r="BA76" i="3"/>
  <c r="AO76" i="3"/>
  <c r="BA77" i="3"/>
  <c r="AO77" i="3"/>
  <c r="X27" i="3"/>
  <c r="BA74" i="3"/>
  <c r="AO74" i="3"/>
  <c r="BA75" i="3"/>
  <c r="AO75" i="3"/>
  <c r="X28" i="3"/>
  <c r="BA69" i="3"/>
  <c r="AO69" i="3"/>
  <c r="X29" i="3"/>
  <c r="BA70" i="3"/>
  <c r="AO70" i="3"/>
  <c r="BA71" i="3"/>
  <c r="AO71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BB68" i="3" a="1"/>
  <c r="BB68" i="3"/>
  <c r="BB69" i="3" a="1"/>
  <c r="BB69" i="3"/>
  <c r="BB70" i="3" a="1"/>
  <c r="BB70" i="3"/>
  <c r="BB71" i="3" a="1"/>
  <c r="BB71" i="3"/>
  <c r="BB72" i="3"/>
  <c r="BC68" i="3" a="1"/>
  <c r="BC68" i="3"/>
  <c r="BC69" i="3" a="1"/>
  <c r="BC69" i="3"/>
  <c r="BC70" i="3" a="1"/>
  <c r="BC70" i="3"/>
  <c r="BC71" i="3" a="1"/>
  <c r="BC71" i="3"/>
  <c r="BC72" i="3"/>
  <c r="BD68" i="3" a="1"/>
  <c r="BD68" i="3"/>
  <c r="BE68" i="3" a="1"/>
  <c r="BE68" i="3"/>
  <c r="BF68" i="3"/>
  <c r="BD69" i="3" a="1"/>
  <c r="BD69" i="3"/>
  <c r="BE69" i="3" a="1"/>
  <c r="BE69" i="3"/>
  <c r="BF69" i="3"/>
  <c r="BD70" i="3" a="1"/>
  <c r="BD70" i="3"/>
  <c r="BE70" i="3" a="1"/>
  <c r="BE70" i="3"/>
  <c r="BF70" i="3"/>
  <c r="BD71" i="3" a="1"/>
  <c r="BD71" i="3"/>
  <c r="BE71" i="3" a="1"/>
  <c r="BE71" i="3"/>
  <c r="BF71" i="3"/>
  <c r="BG68" i="3"/>
  <c r="BG69" i="3"/>
  <c r="BG70" i="3"/>
  <c r="BG71" i="3"/>
  <c r="BG72" i="3"/>
  <c r="BD72" i="3"/>
  <c r="BH68" i="3"/>
  <c r="BH69" i="3"/>
  <c r="BH70" i="3"/>
  <c r="BH71" i="3"/>
  <c r="BH72" i="3"/>
  <c r="BI68" i="3"/>
  <c r="AI68" i="3"/>
  <c r="AJ68" i="3"/>
  <c r="AL68" i="3"/>
  <c r="AI69" i="3"/>
  <c r="AJ69" i="3"/>
  <c r="AL69" i="3"/>
  <c r="AI70" i="3"/>
  <c r="AJ70" i="3"/>
  <c r="AL70" i="3"/>
  <c r="AI71" i="3"/>
  <c r="AJ71" i="3"/>
  <c r="AL71" i="3"/>
  <c r="AL72" i="3"/>
  <c r="AM68" i="3"/>
  <c r="AM69" i="3"/>
  <c r="AM70" i="3"/>
  <c r="AM71" i="3"/>
  <c r="AM72" i="3"/>
  <c r="AI72" i="3"/>
  <c r="AP68" i="3"/>
  <c r="BI69" i="3"/>
  <c r="AP69" i="3"/>
  <c r="BI70" i="3"/>
  <c r="AP70" i="3"/>
  <c r="BI71" i="3"/>
  <c r="AP71" i="3"/>
  <c r="AP72" i="3"/>
  <c r="AR68" i="3"/>
  <c r="AR69" i="3"/>
  <c r="AR70" i="3"/>
  <c r="AR71" i="3"/>
  <c r="AD68" i="3"/>
  <c r="AD69" i="3"/>
  <c r="AD70" i="3"/>
  <c r="AD71" i="3"/>
  <c r="J70" i="3"/>
  <c r="AS69" i="3"/>
  <c r="BL26" i="3"/>
  <c r="S86" i="3"/>
  <c r="AH50" i="3"/>
  <c r="AH51" i="3"/>
  <c r="AH52" i="3"/>
  <c r="AH53" i="3"/>
  <c r="BB50" i="3" a="1"/>
  <c r="BB50" i="3"/>
  <c r="BB51" i="3" a="1"/>
  <c r="BB51" i="3"/>
  <c r="BB52" i="3" a="1"/>
  <c r="BB52" i="3"/>
  <c r="BB53" i="3" a="1"/>
  <c r="BB53" i="3"/>
  <c r="BB54" i="3"/>
  <c r="BC50" i="3" a="1"/>
  <c r="BC50" i="3"/>
  <c r="BC51" i="3" a="1"/>
  <c r="BC51" i="3"/>
  <c r="BC52" i="3" a="1"/>
  <c r="BC52" i="3"/>
  <c r="BC53" i="3" a="1"/>
  <c r="BC53" i="3"/>
  <c r="BC54" i="3"/>
  <c r="BD50" i="3" a="1"/>
  <c r="BD50" i="3"/>
  <c r="BE50" i="3" a="1"/>
  <c r="BE50" i="3"/>
  <c r="BF50" i="3"/>
  <c r="BD51" i="3" a="1"/>
  <c r="BD51" i="3"/>
  <c r="BE51" i="3" a="1"/>
  <c r="BE51" i="3"/>
  <c r="BF51" i="3"/>
  <c r="BD52" i="3" a="1"/>
  <c r="BD52" i="3"/>
  <c r="BE52" i="3" a="1"/>
  <c r="BE52" i="3"/>
  <c r="BF52" i="3"/>
  <c r="BD53" i="3" a="1"/>
  <c r="BD53" i="3"/>
  <c r="BE53" i="3" a="1"/>
  <c r="BE53" i="3"/>
  <c r="BF53" i="3"/>
  <c r="BG50" i="3"/>
  <c r="BG51" i="3"/>
  <c r="BG52" i="3"/>
  <c r="BG53" i="3"/>
  <c r="BG54" i="3"/>
  <c r="BD54" i="3"/>
  <c r="BH50" i="3"/>
  <c r="BH51" i="3"/>
  <c r="BH52" i="3"/>
  <c r="BH53" i="3"/>
  <c r="BH54" i="3"/>
  <c r="BI50" i="3"/>
  <c r="AI50" i="3"/>
  <c r="AJ50" i="3"/>
  <c r="AL50" i="3"/>
  <c r="AI51" i="3"/>
  <c r="AJ51" i="3"/>
  <c r="AL51" i="3"/>
  <c r="AI52" i="3"/>
  <c r="AJ52" i="3"/>
  <c r="AL52" i="3"/>
  <c r="AI53" i="3"/>
  <c r="AJ53" i="3"/>
  <c r="AL53" i="3"/>
  <c r="AL54" i="3"/>
  <c r="AM50" i="3"/>
  <c r="AM51" i="3"/>
  <c r="AM52" i="3"/>
  <c r="AM53" i="3"/>
  <c r="AM54" i="3"/>
  <c r="AI54" i="3"/>
  <c r="AP50" i="3"/>
  <c r="BI51" i="3"/>
  <c r="AP51" i="3"/>
  <c r="BI52" i="3"/>
  <c r="AP52" i="3"/>
  <c r="BI53" i="3"/>
  <c r="AP53" i="3"/>
  <c r="AP54" i="3"/>
  <c r="AR50" i="3"/>
  <c r="AR51" i="3"/>
  <c r="AR52" i="3"/>
  <c r="AR53" i="3"/>
  <c r="AD50" i="3"/>
  <c r="J51" i="3"/>
  <c r="AS50" i="3"/>
  <c r="BL30" i="3"/>
  <c r="S87" i="3"/>
  <c r="AH8" i="3"/>
  <c r="AH9" i="3"/>
  <c r="AH10" i="3"/>
  <c r="AH11" i="3"/>
  <c r="BB8" i="3" a="1"/>
  <c r="BB8" i="3"/>
  <c r="BB9" i="3" a="1"/>
  <c r="BB9" i="3"/>
  <c r="BB10" i="3" a="1"/>
  <c r="BB10" i="3"/>
  <c r="BB11" i="3" a="1"/>
  <c r="BB11" i="3"/>
  <c r="BB12" i="3"/>
  <c r="BC8" i="3" a="1"/>
  <c r="BC8" i="3"/>
  <c r="BC9" i="3" a="1"/>
  <c r="BC9" i="3"/>
  <c r="BC10" i="3" a="1"/>
  <c r="BC10" i="3"/>
  <c r="BC11" i="3" a="1"/>
  <c r="BC11" i="3"/>
  <c r="BC12" i="3"/>
  <c r="BD8" i="3" a="1"/>
  <c r="BD8" i="3"/>
  <c r="BE8" i="3" a="1"/>
  <c r="BE8" i="3"/>
  <c r="BF8" i="3"/>
  <c r="BD9" i="3" a="1"/>
  <c r="BD9" i="3"/>
  <c r="BE9" i="3" a="1"/>
  <c r="BE9" i="3"/>
  <c r="BF9" i="3"/>
  <c r="BD10" i="3" a="1"/>
  <c r="BD10" i="3"/>
  <c r="BE10" i="3" a="1"/>
  <c r="BE10" i="3"/>
  <c r="BF10" i="3"/>
  <c r="BD11" i="3" a="1"/>
  <c r="BD11" i="3"/>
  <c r="BE11" i="3" a="1"/>
  <c r="BE11" i="3"/>
  <c r="BF11" i="3"/>
  <c r="BG8" i="3"/>
  <c r="BG9" i="3"/>
  <c r="BG10" i="3"/>
  <c r="BG11" i="3"/>
  <c r="BG12" i="3"/>
  <c r="BD12" i="3"/>
  <c r="BH8" i="3"/>
  <c r="BH9" i="3"/>
  <c r="BH10" i="3"/>
  <c r="BH11" i="3"/>
  <c r="BH12" i="3"/>
  <c r="BI8" i="3"/>
  <c r="AI8" i="3"/>
  <c r="AJ8" i="3"/>
  <c r="AL8" i="3"/>
  <c r="AI9" i="3"/>
  <c r="AJ9" i="3"/>
  <c r="AL9" i="3"/>
  <c r="AI10" i="3"/>
  <c r="AJ10" i="3"/>
  <c r="AL10" i="3"/>
  <c r="AI11" i="3"/>
  <c r="AJ11" i="3"/>
  <c r="AL11" i="3"/>
  <c r="AL12" i="3"/>
  <c r="AM8" i="3"/>
  <c r="AM9" i="3"/>
  <c r="AM10" i="3"/>
  <c r="AM11" i="3"/>
  <c r="AM12" i="3"/>
  <c r="AI12" i="3"/>
  <c r="AP8" i="3"/>
  <c r="BI9" i="3"/>
  <c r="AP9" i="3"/>
  <c r="BI10" i="3"/>
  <c r="AP10" i="3"/>
  <c r="BI11" i="3"/>
  <c r="AP11" i="3"/>
  <c r="AP12" i="3"/>
  <c r="AR8" i="3"/>
  <c r="AR9" i="3"/>
  <c r="AR10" i="3"/>
  <c r="AR11" i="3"/>
  <c r="AD8" i="3"/>
  <c r="AD9" i="3"/>
  <c r="AD10" i="3"/>
  <c r="AD11" i="3"/>
  <c r="J10" i="3"/>
  <c r="AS9" i="3"/>
  <c r="BL18" i="3"/>
  <c r="S88" i="3"/>
  <c r="AH38" i="3"/>
  <c r="AH39" i="3"/>
  <c r="AH40" i="3"/>
  <c r="AH41" i="3"/>
  <c r="BB38" i="3" a="1"/>
  <c r="BB38" i="3"/>
  <c r="BB39" i="3" a="1"/>
  <c r="BB39" i="3"/>
  <c r="BB40" i="3" a="1"/>
  <c r="BB40" i="3"/>
  <c r="BB41" i="3" a="1"/>
  <c r="BB41" i="3"/>
  <c r="BB42" i="3"/>
  <c r="BC38" i="3" a="1"/>
  <c r="BC38" i="3"/>
  <c r="BC39" i="3" a="1"/>
  <c r="BC39" i="3"/>
  <c r="BC40" i="3" a="1"/>
  <c r="BC40" i="3"/>
  <c r="BC41" i="3" a="1"/>
  <c r="BC41" i="3"/>
  <c r="BC42" i="3"/>
  <c r="BD38" i="3" a="1"/>
  <c r="BD38" i="3"/>
  <c r="BE38" i="3" a="1"/>
  <c r="BE38" i="3"/>
  <c r="BF38" i="3"/>
  <c r="BD39" i="3" a="1"/>
  <c r="BD39" i="3"/>
  <c r="BE39" i="3" a="1"/>
  <c r="BE39" i="3"/>
  <c r="BF39" i="3"/>
  <c r="BD40" i="3" a="1"/>
  <c r="BD40" i="3"/>
  <c r="BE40" i="3" a="1"/>
  <c r="BE40" i="3"/>
  <c r="BF40" i="3"/>
  <c r="BD41" i="3" a="1"/>
  <c r="BD41" i="3"/>
  <c r="BE41" i="3" a="1"/>
  <c r="BE41" i="3"/>
  <c r="BF41" i="3"/>
  <c r="BG38" i="3"/>
  <c r="BG39" i="3"/>
  <c r="BG40" i="3"/>
  <c r="BG41" i="3"/>
  <c r="BG42" i="3"/>
  <c r="BD42" i="3"/>
  <c r="BH38" i="3"/>
  <c r="BH39" i="3"/>
  <c r="BH40" i="3"/>
  <c r="BH41" i="3"/>
  <c r="BH42" i="3"/>
  <c r="BI38" i="3"/>
  <c r="AI38" i="3"/>
  <c r="AJ38" i="3"/>
  <c r="AL38" i="3"/>
  <c r="AI39" i="3"/>
  <c r="AJ39" i="3"/>
  <c r="AL39" i="3"/>
  <c r="AI40" i="3"/>
  <c r="AJ40" i="3"/>
  <c r="AL40" i="3"/>
  <c r="AI41" i="3"/>
  <c r="AJ41" i="3"/>
  <c r="AL41" i="3"/>
  <c r="AL42" i="3"/>
  <c r="AM38" i="3"/>
  <c r="AM39" i="3"/>
  <c r="AM40" i="3"/>
  <c r="AM41" i="3"/>
  <c r="AM42" i="3"/>
  <c r="AI42" i="3"/>
  <c r="AP38" i="3"/>
  <c r="BI39" i="3"/>
  <c r="AP39" i="3"/>
  <c r="BI40" i="3"/>
  <c r="AP40" i="3"/>
  <c r="BI41" i="3"/>
  <c r="AP41" i="3"/>
  <c r="AP42" i="3"/>
  <c r="AR38" i="3"/>
  <c r="AR39" i="3"/>
  <c r="AR40" i="3"/>
  <c r="AR41" i="3"/>
  <c r="AD38" i="3"/>
  <c r="J39" i="3"/>
  <c r="AS38" i="3"/>
  <c r="BL22" i="3"/>
  <c r="S89" i="3"/>
  <c r="AH26" i="3"/>
  <c r="AH27" i="3"/>
  <c r="AH28" i="3"/>
  <c r="AH29" i="3"/>
  <c r="BB26" i="3" a="1"/>
  <c r="BB26" i="3"/>
  <c r="BB27" i="3" a="1"/>
  <c r="BB27" i="3"/>
  <c r="BB28" i="3" a="1"/>
  <c r="BB28" i="3"/>
  <c r="BB29" i="3" a="1"/>
  <c r="BB29" i="3"/>
  <c r="BB30" i="3"/>
  <c r="BC26" i="3" a="1"/>
  <c r="BC26" i="3"/>
  <c r="BC27" i="3" a="1"/>
  <c r="BC27" i="3"/>
  <c r="BC28" i="3" a="1"/>
  <c r="BC28" i="3"/>
  <c r="BC29" i="3" a="1"/>
  <c r="BC29" i="3"/>
  <c r="BC30" i="3"/>
  <c r="BD26" i="3" a="1"/>
  <c r="BD26" i="3"/>
  <c r="BE26" i="3" a="1"/>
  <c r="BE26" i="3"/>
  <c r="BF26" i="3"/>
  <c r="BD27" i="3" a="1"/>
  <c r="BD27" i="3"/>
  <c r="BE27" i="3" a="1"/>
  <c r="BE27" i="3"/>
  <c r="BF27" i="3"/>
  <c r="BD28" i="3" a="1"/>
  <c r="BD28" i="3"/>
  <c r="BE28" i="3" a="1"/>
  <c r="BE28" i="3"/>
  <c r="BF28" i="3"/>
  <c r="BD29" i="3" a="1"/>
  <c r="BD29" i="3"/>
  <c r="BE29" i="3" a="1"/>
  <c r="BE29" i="3"/>
  <c r="BF29" i="3"/>
  <c r="BG26" i="3"/>
  <c r="BG27" i="3"/>
  <c r="BG28" i="3"/>
  <c r="BG29" i="3"/>
  <c r="BG30" i="3"/>
  <c r="BD30" i="3"/>
  <c r="BH26" i="3"/>
  <c r="BH27" i="3"/>
  <c r="BH28" i="3"/>
  <c r="BH29" i="3"/>
  <c r="BH30" i="3"/>
  <c r="BI26" i="3"/>
  <c r="AI26" i="3"/>
  <c r="AJ26" i="3"/>
  <c r="AL26" i="3"/>
  <c r="AI27" i="3"/>
  <c r="AJ27" i="3"/>
  <c r="AL27" i="3"/>
  <c r="AI28" i="3"/>
  <c r="AJ28" i="3"/>
  <c r="AL28" i="3"/>
  <c r="AI29" i="3"/>
  <c r="AJ29" i="3"/>
  <c r="AL29" i="3"/>
  <c r="AL30" i="3"/>
  <c r="AM26" i="3"/>
  <c r="AM27" i="3"/>
  <c r="AM28" i="3"/>
  <c r="AM29" i="3"/>
  <c r="AM30" i="3"/>
  <c r="AI30" i="3"/>
  <c r="AP26" i="3"/>
  <c r="BI27" i="3"/>
  <c r="AP27" i="3"/>
  <c r="BI28" i="3"/>
  <c r="AP28" i="3"/>
  <c r="BI29" i="3"/>
  <c r="AP29" i="3"/>
  <c r="AP30" i="3"/>
  <c r="AR26" i="3"/>
  <c r="AR27" i="3"/>
  <c r="AR28" i="3"/>
  <c r="AR29" i="3"/>
  <c r="AD26" i="3"/>
  <c r="J27" i="3"/>
  <c r="AS26" i="3"/>
  <c r="BL34" i="3"/>
  <c r="S90" i="3"/>
  <c r="L9" i="3"/>
  <c r="M9" i="3"/>
  <c r="N9" i="3"/>
  <c r="K9" i="3"/>
  <c r="L10" i="3"/>
  <c r="M10" i="3"/>
  <c r="N10" i="3"/>
  <c r="K10" i="3"/>
  <c r="L11" i="3"/>
  <c r="M11" i="3"/>
  <c r="N11" i="3"/>
  <c r="K11" i="3"/>
  <c r="L12" i="3"/>
  <c r="M12" i="3"/>
  <c r="N12" i="3"/>
  <c r="K12" i="3"/>
  <c r="BB14" i="3" a="1"/>
  <c r="BB14" i="3"/>
  <c r="BB15" i="3" a="1"/>
  <c r="BB15" i="3"/>
  <c r="BB16" i="3" a="1"/>
  <c r="BB16" i="3"/>
  <c r="BB17" i="3" a="1"/>
  <c r="BB17" i="3"/>
  <c r="BB18" i="3"/>
  <c r="BC14" i="3" a="1"/>
  <c r="BC14" i="3"/>
  <c r="BC15" i="3" a="1"/>
  <c r="BC15" i="3"/>
  <c r="BC16" i="3" a="1"/>
  <c r="BC16" i="3"/>
  <c r="BC17" i="3" a="1"/>
  <c r="BC17" i="3"/>
  <c r="BC18" i="3"/>
  <c r="BD14" i="3" a="1"/>
  <c r="BD14" i="3"/>
  <c r="BE14" i="3" a="1"/>
  <c r="BE14" i="3"/>
  <c r="BF14" i="3"/>
  <c r="BD15" i="3" a="1"/>
  <c r="BD15" i="3"/>
  <c r="BE15" i="3" a="1"/>
  <c r="BE15" i="3"/>
  <c r="BF15" i="3"/>
  <c r="BD16" i="3" a="1"/>
  <c r="BD16" i="3"/>
  <c r="BE16" i="3" a="1"/>
  <c r="BE16" i="3"/>
  <c r="BF16" i="3"/>
  <c r="BD17" i="3" a="1"/>
  <c r="BD17" i="3"/>
  <c r="BE17" i="3" a="1"/>
  <c r="BE17" i="3"/>
  <c r="BF17" i="3"/>
  <c r="BG14" i="3"/>
  <c r="BG15" i="3"/>
  <c r="BG16" i="3"/>
  <c r="BG17" i="3"/>
  <c r="BG18" i="3"/>
  <c r="BD18" i="3"/>
  <c r="BH14" i="3"/>
  <c r="BH15" i="3"/>
  <c r="BH16" i="3"/>
  <c r="BH17" i="3"/>
  <c r="BH18" i="3"/>
  <c r="BI14" i="3"/>
  <c r="AI14" i="3"/>
  <c r="AJ14" i="3"/>
  <c r="AL14" i="3"/>
  <c r="AI15" i="3"/>
  <c r="AJ15" i="3"/>
  <c r="AL15" i="3"/>
  <c r="AI16" i="3"/>
  <c r="AJ16" i="3"/>
  <c r="AL16" i="3"/>
  <c r="AI17" i="3"/>
  <c r="AJ17" i="3"/>
  <c r="AL17" i="3"/>
  <c r="AL18" i="3"/>
  <c r="AM14" i="3"/>
  <c r="AM15" i="3"/>
  <c r="AM16" i="3"/>
  <c r="AM17" i="3"/>
  <c r="AM18" i="3"/>
  <c r="AI18" i="3"/>
  <c r="AP14" i="3"/>
  <c r="BI15" i="3"/>
  <c r="AP15" i="3"/>
  <c r="BI16" i="3"/>
  <c r="AP16" i="3"/>
  <c r="BI17" i="3"/>
  <c r="AP17" i="3"/>
  <c r="AP18" i="3"/>
  <c r="AR14" i="3"/>
  <c r="AR15" i="3"/>
  <c r="AR16" i="3"/>
  <c r="AR17" i="3"/>
  <c r="AD14" i="3"/>
  <c r="AD15" i="3"/>
  <c r="AD16" i="3"/>
  <c r="AD17" i="3"/>
  <c r="L15" i="3"/>
  <c r="M15" i="3"/>
  <c r="AH17" i="3"/>
  <c r="N15" i="3"/>
  <c r="K15" i="3"/>
  <c r="L16" i="3"/>
  <c r="M16" i="3"/>
  <c r="AH15" i="3"/>
  <c r="AH14" i="3"/>
  <c r="N16" i="3"/>
  <c r="K16" i="3"/>
  <c r="L17" i="3"/>
  <c r="M17" i="3"/>
  <c r="N17" i="3"/>
  <c r="K17" i="3"/>
  <c r="L18" i="3"/>
  <c r="M18" i="3"/>
  <c r="AH16" i="3"/>
  <c r="N18" i="3"/>
  <c r="K18" i="3"/>
  <c r="BB20" i="3" a="1"/>
  <c r="BB20" i="3"/>
  <c r="BB21" i="3" a="1"/>
  <c r="BB21" i="3"/>
  <c r="BB22" i="3" a="1"/>
  <c r="BB22" i="3"/>
  <c r="BB23" i="3" a="1"/>
  <c r="BB23" i="3"/>
  <c r="BB24" i="3"/>
  <c r="BC20" i="3" a="1"/>
  <c r="BC20" i="3"/>
  <c r="BC21" i="3" a="1"/>
  <c r="BC21" i="3"/>
  <c r="BC22" i="3" a="1"/>
  <c r="BC22" i="3"/>
  <c r="BC23" i="3" a="1"/>
  <c r="BC23" i="3"/>
  <c r="BC24" i="3"/>
  <c r="BD20" i="3" a="1"/>
  <c r="BD20" i="3"/>
  <c r="BE20" i="3" a="1"/>
  <c r="BE20" i="3"/>
  <c r="BF20" i="3"/>
  <c r="BD21" i="3" a="1"/>
  <c r="BD21" i="3"/>
  <c r="BE21" i="3" a="1"/>
  <c r="BE21" i="3"/>
  <c r="BF21" i="3"/>
  <c r="BD22" i="3" a="1"/>
  <c r="BD22" i="3"/>
  <c r="BE22" i="3" a="1"/>
  <c r="BE22" i="3"/>
  <c r="BF22" i="3"/>
  <c r="BD23" i="3" a="1"/>
  <c r="BD23" i="3"/>
  <c r="BE23" i="3" a="1"/>
  <c r="BE23" i="3"/>
  <c r="BF23" i="3"/>
  <c r="BG20" i="3"/>
  <c r="BG21" i="3"/>
  <c r="BG22" i="3"/>
  <c r="BG23" i="3"/>
  <c r="BG24" i="3"/>
  <c r="BD24" i="3"/>
  <c r="BH20" i="3"/>
  <c r="BH21" i="3"/>
  <c r="BH22" i="3"/>
  <c r="BH23" i="3"/>
  <c r="BH24" i="3"/>
  <c r="BI20" i="3"/>
  <c r="AI20" i="3"/>
  <c r="AJ20" i="3"/>
  <c r="AL20" i="3"/>
  <c r="AI21" i="3"/>
  <c r="AJ21" i="3"/>
  <c r="AL21" i="3"/>
  <c r="AI22" i="3"/>
  <c r="AJ22" i="3"/>
  <c r="AL22" i="3"/>
  <c r="AI23" i="3"/>
  <c r="AJ23" i="3"/>
  <c r="AL23" i="3"/>
  <c r="AL24" i="3"/>
  <c r="AM20" i="3"/>
  <c r="AM21" i="3"/>
  <c r="AM22" i="3"/>
  <c r="AM23" i="3"/>
  <c r="AM24" i="3"/>
  <c r="AI24" i="3"/>
  <c r="AP20" i="3"/>
  <c r="BI21" i="3"/>
  <c r="AP21" i="3"/>
  <c r="BI22" i="3"/>
  <c r="AP22" i="3"/>
  <c r="BI23" i="3"/>
  <c r="AP23" i="3"/>
  <c r="AP24" i="3"/>
  <c r="AR20" i="3"/>
  <c r="AR21" i="3"/>
  <c r="AR22" i="3"/>
  <c r="AR23" i="3"/>
  <c r="AD20" i="3"/>
  <c r="AD21" i="3"/>
  <c r="L21" i="3"/>
  <c r="M21" i="3"/>
  <c r="AH20" i="3"/>
  <c r="AH21" i="3"/>
  <c r="N21" i="3"/>
  <c r="K21" i="3"/>
  <c r="L22" i="3"/>
  <c r="M22" i="3"/>
  <c r="N22" i="3"/>
  <c r="K22" i="3"/>
  <c r="AD22" i="3"/>
  <c r="AD23" i="3"/>
  <c r="L23" i="3"/>
  <c r="M23" i="3"/>
  <c r="AH23" i="3"/>
  <c r="AH22" i="3"/>
  <c r="N23" i="3"/>
  <c r="K23" i="3"/>
  <c r="L24" i="3"/>
  <c r="M24" i="3"/>
  <c r="N24" i="3"/>
  <c r="K24" i="3"/>
  <c r="L27" i="3"/>
  <c r="M27" i="3"/>
  <c r="N27" i="3"/>
  <c r="K27" i="3"/>
  <c r="AD27" i="3"/>
  <c r="AD28" i="3"/>
  <c r="AD29" i="3"/>
  <c r="L28" i="3"/>
  <c r="M28" i="3"/>
  <c r="N28" i="3"/>
  <c r="K28" i="3"/>
  <c r="L29" i="3"/>
  <c r="M29" i="3"/>
  <c r="N29" i="3"/>
  <c r="K29" i="3"/>
  <c r="L30" i="3"/>
  <c r="M30" i="3"/>
  <c r="N30" i="3"/>
  <c r="K30" i="3"/>
  <c r="BB32" i="3" a="1"/>
  <c r="BB32" i="3"/>
  <c r="BB33" i="3" a="1"/>
  <c r="BB33" i="3"/>
  <c r="BB34" i="3" a="1"/>
  <c r="BB34" i="3"/>
  <c r="BB35" i="3" a="1"/>
  <c r="BB35" i="3"/>
  <c r="BB36" i="3"/>
  <c r="BC32" i="3" a="1"/>
  <c r="BC32" i="3"/>
  <c r="BC33" i="3" a="1"/>
  <c r="BC33" i="3"/>
  <c r="BC34" i="3" a="1"/>
  <c r="BC34" i="3"/>
  <c r="BC35" i="3" a="1"/>
  <c r="BC35" i="3"/>
  <c r="BC36" i="3"/>
  <c r="BD32" i="3" a="1"/>
  <c r="BD32" i="3"/>
  <c r="BE32" i="3" a="1"/>
  <c r="BE32" i="3"/>
  <c r="BF32" i="3"/>
  <c r="BD33" i="3" a="1"/>
  <c r="BD33" i="3"/>
  <c r="BE33" i="3" a="1"/>
  <c r="BE33" i="3"/>
  <c r="BF33" i="3"/>
  <c r="BD34" i="3" a="1"/>
  <c r="BD34" i="3"/>
  <c r="BE34" i="3" a="1"/>
  <c r="BE34" i="3"/>
  <c r="BF34" i="3"/>
  <c r="BD35" i="3" a="1"/>
  <c r="BD35" i="3"/>
  <c r="BE35" i="3" a="1"/>
  <c r="BE35" i="3"/>
  <c r="BF35" i="3"/>
  <c r="BG32" i="3"/>
  <c r="BG33" i="3"/>
  <c r="BG34" i="3"/>
  <c r="BG35" i="3"/>
  <c r="BG36" i="3"/>
  <c r="BD36" i="3"/>
  <c r="BH32" i="3"/>
  <c r="BH33" i="3"/>
  <c r="BH34" i="3"/>
  <c r="BH35" i="3"/>
  <c r="BH36" i="3"/>
  <c r="BI32" i="3"/>
  <c r="AI32" i="3"/>
  <c r="AJ32" i="3"/>
  <c r="AL32" i="3"/>
  <c r="AI33" i="3"/>
  <c r="AJ33" i="3"/>
  <c r="AL33" i="3"/>
  <c r="AI34" i="3"/>
  <c r="AJ34" i="3"/>
  <c r="AL34" i="3"/>
  <c r="AI35" i="3"/>
  <c r="AJ35" i="3"/>
  <c r="AL35" i="3"/>
  <c r="AL36" i="3"/>
  <c r="AM32" i="3"/>
  <c r="AM33" i="3"/>
  <c r="AM34" i="3"/>
  <c r="AM35" i="3"/>
  <c r="AM36" i="3"/>
  <c r="AI36" i="3"/>
  <c r="AP32" i="3"/>
  <c r="BI33" i="3"/>
  <c r="AP33" i="3"/>
  <c r="BI34" i="3"/>
  <c r="AP34" i="3"/>
  <c r="BI35" i="3"/>
  <c r="AP35" i="3"/>
  <c r="AP36" i="3"/>
  <c r="AR32" i="3"/>
  <c r="AR33" i="3"/>
  <c r="AR34" i="3"/>
  <c r="AR35" i="3"/>
  <c r="AD32" i="3"/>
  <c r="AD33" i="3"/>
  <c r="AD34" i="3"/>
  <c r="L33" i="3"/>
  <c r="M33" i="3"/>
  <c r="AH32" i="3"/>
  <c r="AH34" i="3"/>
  <c r="N33" i="3"/>
  <c r="K33" i="3"/>
  <c r="L34" i="3"/>
  <c r="M34" i="3"/>
  <c r="N34" i="3"/>
  <c r="K34" i="3"/>
  <c r="AD35" i="3"/>
  <c r="L35" i="3"/>
  <c r="M35" i="3"/>
  <c r="AH35" i="3"/>
  <c r="N35" i="3"/>
  <c r="K35" i="3"/>
  <c r="L36" i="3"/>
  <c r="M36" i="3"/>
  <c r="AH33" i="3"/>
  <c r="N36" i="3"/>
  <c r="K36" i="3"/>
  <c r="L39" i="3"/>
  <c r="M39" i="3"/>
  <c r="N39" i="3"/>
  <c r="K39" i="3"/>
  <c r="AD39" i="3"/>
  <c r="L40" i="3"/>
  <c r="M40" i="3"/>
  <c r="N40" i="3"/>
  <c r="K40" i="3"/>
  <c r="AD40" i="3"/>
  <c r="L41" i="3"/>
  <c r="M41" i="3"/>
  <c r="N41" i="3"/>
  <c r="K41" i="3"/>
  <c r="AD41" i="3"/>
  <c r="L42" i="3"/>
  <c r="M42" i="3"/>
  <c r="N42" i="3"/>
  <c r="K42" i="3"/>
  <c r="BB44" i="3" a="1"/>
  <c r="BB44" i="3"/>
  <c r="BB45" i="3" a="1"/>
  <c r="BB45" i="3"/>
  <c r="BB46" i="3" a="1"/>
  <c r="BB46" i="3"/>
  <c r="BB47" i="3" a="1"/>
  <c r="BB47" i="3"/>
  <c r="BB48" i="3"/>
  <c r="BC44" i="3" a="1"/>
  <c r="BC44" i="3"/>
  <c r="BC45" i="3" a="1"/>
  <c r="BC45" i="3"/>
  <c r="BC46" i="3" a="1"/>
  <c r="BC46" i="3"/>
  <c r="BC47" i="3" a="1"/>
  <c r="BC47" i="3"/>
  <c r="BC48" i="3"/>
  <c r="BD44" i="3" a="1"/>
  <c r="BD44" i="3"/>
  <c r="BE44" i="3" a="1"/>
  <c r="BE44" i="3"/>
  <c r="BF44" i="3"/>
  <c r="BD45" i="3" a="1"/>
  <c r="BD45" i="3"/>
  <c r="BE45" i="3" a="1"/>
  <c r="BE45" i="3"/>
  <c r="BF45" i="3"/>
  <c r="BD46" i="3" a="1"/>
  <c r="BD46" i="3"/>
  <c r="BE46" i="3" a="1"/>
  <c r="BE46" i="3"/>
  <c r="BF46" i="3"/>
  <c r="BD47" i="3" a="1"/>
  <c r="BD47" i="3"/>
  <c r="BE47" i="3" a="1"/>
  <c r="BE47" i="3"/>
  <c r="BF47" i="3"/>
  <c r="BG44" i="3"/>
  <c r="BG45" i="3"/>
  <c r="BG46" i="3"/>
  <c r="BG47" i="3"/>
  <c r="BG48" i="3"/>
  <c r="BD48" i="3"/>
  <c r="BH44" i="3"/>
  <c r="BH45" i="3"/>
  <c r="BH46" i="3"/>
  <c r="BH47" i="3"/>
  <c r="BH48" i="3"/>
  <c r="BI44" i="3"/>
  <c r="AI44" i="3"/>
  <c r="AJ44" i="3"/>
  <c r="AL44" i="3"/>
  <c r="AI45" i="3"/>
  <c r="AJ45" i="3"/>
  <c r="AL45" i="3"/>
  <c r="AI46" i="3"/>
  <c r="AJ46" i="3"/>
  <c r="AL46" i="3"/>
  <c r="AI47" i="3"/>
  <c r="AJ47" i="3"/>
  <c r="AL47" i="3"/>
  <c r="AL48" i="3"/>
  <c r="AM44" i="3"/>
  <c r="AM45" i="3"/>
  <c r="AM46" i="3"/>
  <c r="AM47" i="3"/>
  <c r="AM48" i="3"/>
  <c r="AI48" i="3"/>
  <c r="AP44" i="3"/>
  <c r="BI45" i="3"/>
  <c r="AP45" i="3"/>
  <c r="BI46" i="3"/>
  <c r="AP46" i="3"/>
  <c r="BI47" i="3"/>
  <c r="AP47" i="3"/>
  <c r="AP48" i="3"/>
  <c r="AR44" i="3"/>
  <c r="AR45" i="3"/>
  <c r="AR46" i="3"/>
  <c r="AR47" i="3"/>
  <c r="AD44" i="3"/>
  <c r="L45" i="3"/>
  <c r="M45" i="3"/>
  <c r="AH44" i="3"/>
  <c r="N45" i="3"/>
  <c r="K45" i="3"/>
  <c r="AD45" i="3"/>
  <c r="AD46" i="3"/>
  <c r="L46" i="3"/>
  <c r="M46" i="3"/>
  <c r="AH45" i="3"/>
  <c r="AH46" i="3"/>
  <c r="N46" i="3"/>
  <c r="K46" i="3"/>
  <c r="L47" i="3"/>
  <c r="M47" i="3"/>
  <c r="N47" i="3"/>
  <c r="K47" i="3"/>
  <c r="AD47" i="3"/>
  <c r="L48" i="3"/>
  <c r="M48" i="3"/>
  <c r="AH47" i="3"/>
  <c r="N48" i="3"/>
  <c r="K48" i="3"/>
  <c r="L51" i="3"/>
  <c r="M51" i="3"/>
  <c r="N51" i="3"/>
  <c r="K51" i="3"/>
  <c r="AD51" i="3"/>
  <c r="AD52" i="3"/>
  <c r="AD53" i="3"/>
  <c r="L52" i="3"/>
  <c r="M52" i="3"/>
  <c r="N52" i="3"/>
  <c r="K52" i="3"/>
  <c r="L53" i="3"/>
  <c r="M53" i="3"/>
  <c r="N53" i="3"/>
  <c r="K53" i="3"/>
  <c r="L54" i="3"/>
  <c r="M54" i="3"/>
  <c r="N54" i="3"/>
  <c r="K54" i="3"/>
  <c r="BB56" i="3" a="1"/>
  <c r="BB56" i="3"/>
  <c r="BC56" i="3" a="1"/>
  <c r="BC56" i="3"/>
  <c r="BD56" i="3" a="1"/>
  <c r="BE56" i="3" a="1"/>
  <c r="BD56" i="3"/>
  <c r="BE56" i="3"/>
  <c r="BF56" i="3"/>
  <c r="BB57" i="3" a="1"/>
  <c r="BB57" i="3"/>
  <c r="BB58" i="3" a="1"/>
  <c r="BB58" i="3"/>
  <c r="BB59" i="3" a="1"/>
  <c r="BB59" i="3"/>
  <c r="BB60" i="3"/>
  <c r="BC57" i="3" a="1"/>
  <c r="BC57" i="3"/>
  <c r="BC58" i="3" a="1"/>
  <c r="BC58" i="3"/>
  <c r="BC59" i="3" a="1"/>
  <c r="BC59" i="3"/>
  <c r="BC60" i="3"/>
  <c r="BD57" i="3" a="1"/>
  <c r="BD57" i="3"/>
  <c r="BE57" i="3" a="1"/>
  <c r="BE57" i="3"/>
  <c r="BF57" i="3"/>
  <c r="BD58" i="3" a="1"/>
  <c r="BD58" i="3"/>
  <c r="BE58" i="3" a="1"/>
  <c r="BE58" i="3"/>
  <c r="BF58" i="3"/>
  <c r="BD59" i="3" a="1"/>
  <c r="BD59" i="3"/>
  <c r="BE59" i="3" a="1"/>
  <c r="BE59" i="3"/>
  <c r="BF59" i="3"/>
  <c r="BG56" i="3"/>
  <c r="BG57" i="3"/>
  <c r="BG58" i="3"/>
  <c r="BG59" i="3"/>
  <c r="BG60" i="3"/>
  <c r="BD60" i="3"/>
  <c r="BH56" i="3"/>
  <c r="BH57" i="3"/>
  <c r="BH58" i="3"/>
  <c r="BH59" i="3"/>
  <c r="BH60" i="3"/>
  <c r="BI56" i="3"/>
  <c r="AI56" i="3"/>
  <c r="AJ56" i="3"/>
  <c r="AL56" i="3"/>
  <c r="AI57" i="3"/>
  <c r="AJ57" i="3"/>
  <c r="AL57" i="3"/>
  <c r="AI58" i="3"/>
  <c r="AJ58" i="3"/>
  <c r="AL58" i="3"/>
  <c r="AI59" i="3"/>
  <c r="AJ59" i="3"/>
  <c r="AL59" i="3"/>
  <c r="AL60" i="3"/>
  <c r="AM56" i="3"/>
  <c r="AM57" i="3"/>
  <c r="AM58" i="3"/>
  <c r="AM59" i="3"/>
  <c r="AM60" i="3"/>
  <c r="AI60" i="3"/>
  <c r="AP56" i="3"/>
  <c r="BI57" i="3"/>
  <c r="AP57" i="3"/>
  <c r="BI58" i="3"/>
  <c r="AP58" i="3"/>
  <c r="BI59" i="3"/>
  <c r="AP59" i="3"/>
  <c r="AP60" i="3"/>
  <c r="AR56" i="3"/>
  <c r="AR57" i="3"/>
  <c r="AR58" i="3"/>
  <c r="AR59" i="3"/>
  <c r="AD56" i="3"/>
  <c r="L57" i="3"/>
  <c r="M57" i="3"/>
  <c r="AH56" i="3"/>
  <c r="N57" i="3"/>
  <c r="K57" i="3"/>
  <c r="AD57" i="3"/>
  <c r="AD58" i="3"/>
  <c r="AD59" i="3"/>
  <c r="L58" i="3"/>
  <c r="M58" i="3"/>
  <c r="AH59" i="3"/>
  <c r="N58" i="3"/>
  <c r="K58" i="3"/>
  <c r="L59" i="3"/>
  <c r="M59" i="3"/>
  <c r="AH57" i="3"/>
  <c r="N59" i="3"/>
  <c r="K59" i="3"/>
  <c r="L60" i="3"/>
  <c r="M60" i="3"/>
  <c r="AH58" i="3"/>
  <c r="N60" i="3"/>
  <c r="K60" i="3"/>
  <c r="BB62" i="3" a="1"/>
  <c r="BB62" i="3"/>
  <c r="BB63" i="3" a="1"/>
  <c r="BB63" i="3"/>
  <c r="BB64" i="3" a="1"/>
  <c r="BB64" i="3"/>
  <c r="BB65" i="3" a="1"/>
  <c r="BB65" i="3"/>
  <c r="BB66" i="3"/>
  <c r="BC62" i="3" a="1"/>
  <c r="BC62" i="3"/>
  <c r="BC63" i="3" a="1"/>
  <c r="BC63" i="3"/>
  <c r="BC64" i="3" a="1"/>
  <c r="BC64" i="3"/>
  <c r="BC65" i="3" a="1"/>
  <c r="BC65" i="3"/>
  <c r="BC66" i="3"/>
  <c r="BD62" i="3" a="1"/>
  <c r="BD62" i="3"/>
  <c r="BE62" i="3" a="1"/>
  <c r="BE62" i="3"/>
  <c r="BF62" i="3"/>
  <c r="BD63" i="3" a="1"/>
  <c r="BD63" i="3"/>
  <c r="BE63" i="3" a="1"/>
  <c r="BE63" i="3"/>
  <c r="BF63" i="3"/>
  <c r="BD64" i="3" a="1"/>
  <c r="BD64" i="3"/>
  <c r="BE64" i="3" a="1"/>
  <c r="BE64" i="3"/>
  <c r="BF64" i="3"/>
  <c r="BD65" i="3" a="1"/>
  <c r="BD65" i="3"/>
  <c r="BE65" i="3" a="1"/>
  <c r="BE65" i="3"/>
  <c r="BF65" i="3"/>
  <c r="BG62" i="3"/>
  <c r="BG63" i="3"/>
  <c r="BG64" i="3"/>
  <c r="BG65" i="3"/>
  <c r="BG66" i="3"/>
  <c r="BD66" i="3"/>
  <c r="BH62" i="3"/>
  <c r="BH63" i="3"/>
  <c r="BH64" i="3"/>
  <c r="BH65" i="3"/>
  <c r="BH66" i="3"/>
  <c r="BI62" i="3"/>
  <c r="AI62" i="3"/>
  <c r="AJ62" i="3"/>
  <c r="AL62" i="3"/>
  <c r="AI63" i="3"/>
  <c r="AJ63" i="3"/>
  <c r="AL63" i="3"/>
  <c r="AI64" i="3"/>
  <c r="AJ64" i="3"/>
  <c r="AL64" i="3"/>
  <c r="AI65" i="3"/>
  <c r="AJ65" i="3"/>
  <c r="AL65" i="3"/>
  <c r="AL66" i="3"/>
  <c r="AM62" i="3"/>
  <c r="AM63" i="3"/>
  <c r="AM64" i="3"/>
  <c r="AM65" i="3"/>
  <c r="AM66" i="3"/>
  <c r="AI66" i="3"/>
  <c r="AP62" i="3"/>
  <c r="BI63" i="3"/>
  <c r="AP63" i="3"/>
  <c r="BI64" i="3"/>
  <c r="AP64" i="3"/>
  <c r="BI65" i="3"/>
  <c r="AP65" i="3"/>
  <c r="AP66" i="3"/>
  <c r="AR62" i="3"/>
  <c r="AR63" i="3"/>
  <c r="AR64" i="3"/>
  <c r="AR65" i="3"/>
  <c r="AD62" i="3"/>
  <c r="L63" i="3"/>
  <c r="M63" i="3"/>
  <c r="AH62" i="3"/>
  <c r="N63" i="3"/>
  <c r="K63" i="3"/>
  <c r="AD63" i="3"/>
  <c r="L64" i="3"/>
  <c r="M64" i="3"/>
  <c r="AH63" i="3"/>
  <c r="N64" i="3"/>
  <c r="K64" i="3"/>
  <c r="AD64" i="3"/>
  <c r="L65" i="3"/>
  <c r="M65" i="3"/>
  <c r="AH64" i="3"/>
  <c r="N65" i="3"/>
  <c r="K65" i="3"/>
  <c r="AD65" i="3"/>
  <c r="L66" i="3"/>
  <c r="M66" i="3"/>
  <c r="AH65" i="3"/>
  <c r="N66" i="3"/>
  <c r="K66" i="3"/>
  <c r="L69" i="3"/>
  <c r="M69" i="3"/>
  <c r="N69" i="3"/>
  <c r="K69" i="3"/>
  <c r="L70" i="3"/>
  <c r="M70" i="3"/>
  <c r="N70" i="3"/>
  <c r="K70" i="3"/>
  <c r="L71" i="3"/>
  <c r="M71" i="3"/>
  <c r="N71" i="3"/>
  <c r="K71" i="3"/>
  <c r="L72" i="3"/>
  <c r="M72" i="3"/>
  <c r="N72" i="3"/>
  <c r="K72" i="3"/>
  <c r="BB74" i="3" a="1"/>
  <c r="BB74" i="3"/>
  <c r="BB75" i="3" a="1"/>
  <c r="BB75" i="3"/>
  <c r="BB76" i="3" a="1"/>
  <c r="BB76" i="3"/>
  <c r="BB77" i="3" a="1"/>
  <c r="BB77" i="3"/>
  <c r="BB78" i="3"/>
  <c r="BC74" i="3" a="1"/>
  <c r="BC74" i="3"/>
  <c r="BC75" i="3" a="1"/>
  <c r="BC75" i="3"/>
  <c r="BC76" i="3" a="1"/>
  <c r="BC76" i="3"/>
  <c r="BC77" i="3" a="1"/>
  <c r="BC77" i="3"/>
  <c r="BC78" i="3"/>
  <c r="BD74" i="3" a="1"/>
  <c r="BD74" i="3"/>
  <c r="BE74" i="3" a="1"/>
  <c r="BE74" i="3"/>
  <c r="BF74" i="3"/>
  <c r="BD75" i="3" a="1"/>
  <c r="BD75" i="3"/>
  <c r="BE75" i="3" a="1"/>
  <c r="BE75" i="3"/>
  <c r="BF75" i="3"/>
  <c r="BD76" i="3" a="1"/>
  <c r="BD76" i="3"/>
  <c r="BE76" i="3" a="1"/>
  <c r="BE76" i="3"/>
  <c r="BF76" i="3"/>
  <c r="BD77" i="3" a="1"/>
  <c r="BD77" i="3"/>
  <c r="BE77" i="3" a="1"/>
  <c r="BE77" i="3"/>
  <c r="BF77" i="3"/>
  <c r="BG74" i="3"/>
  <c r="BG75" i="3"/>
  <c r="BG76" i="3"/>
  <c r="BG77" i="3"/>
  <c r="BG78" i="3"/>
  <c r="BD78" i="3"/>
  <c r="BH74" i="3"/>
  <c r="BH75" i="3"/>
  <c r="BH76" i="3"/>
  <c r="BH77" i="3"/>
  <c r="BH78" i="3"/>
  <c r="BI74" i="3"/>
  <c r="AI74" i="3"/>
  <c r="AJ74" i="3"/>
  <c r="AL74" i="3"/>
  <c r="AI75" i="3"/>
  <c r="AJ75" i="3"/>
  <c r="AL75" i="3"/>
  <c r="AI76" i="3"/>
  <c r="AJ76" i="3"/>
  <c r="AL76" i="3"/>
  <c r="AI77" i="3"/>
  <c r="AJ77" i="3"/>
  <c r="AL77" i="3"/>
  <c r="AL78" i="3"/>
  <c r="AM74" i="3"/>
  <c r="AM75" i="3"/>
  <c r="AM76" i="3"/>
  <c r="AM77" i="3"/>
  <c r="AM78" i="3"/>
  <c r="AI78" i="3"/>
  <c r="AP74" i="3"/>
  <c r="BI75" i="3"/>
  <c r="AP75" i="3"/>
  <c r="BI76" i="3"/>
  <c r="AP76" i="3"/>
  <c r="BI77" i="3"/>
  <c r="AP77" i="3"/>
  <c r="AP78" i="3"/>
  <c r="AR74" i="3"/>
  <c r="AR75" i="3"/>
  <c r="AR76" i="3"/>
  <c r="AR77" i="3"/>
  <c r="AD74" i="3"/>
  <c r="L75" i="3"/>
  <c r="M75" i="3"/>
  <c r="AH74" i="3"/>
  <c r="N75" i="3"/>
  <c r="K75" i="3"/>
  <c r="AD75" i="3"/>
  <c r="AD76" i="3"/>
  <c r="L76" i="3"/>
  <c r="M76" i="3"/>
  <c r="AH75" i="3"/>
  <c r="AH76" i="3"/>
  <c r="N76" i="3"/>
  <c r="K76" i="3"/>
  <c r="L77" i="3"/>
  <c r="M77" i="3"/>
  <c r="N77" i="3"/>
  <c r="K77" i="3"/>
  <c r="AD77" i="3"/>
  <c r="L78" i="3"/>
  <c r="M78" i="3"/>
  <c r="AH77" i="3"/>
  <c r="N78" i="3"/>
  <c r="K78" i="3"/>
  <c r="AS92" i="3"/>
  <c r="J11" i="3"/>
  <c r="AE80" i="3"/>
  <c r="AN80" i="3"/>
  <c r="J17" i="3"/>
  <c r="AE81" i="3"/>
  <c r="AN81" i="3"/>
  <c r="J23" i="3"/>
  <c r="AE82" i="3"/>
  <c r="AN82" i="3"/>
  <c r="J29" i="3"/>
  <c r="AE83" i="3"/>
  <c r="AN83" i="3"/>
  <c r="J35" i="3"/>
  <c r="AE84" i="3"/>
  <c r="AN84" i="3"/>
  <c r="J41" i="3"/>
  <c r="AE85" i="3"/>
  <c r="AN85" i="3"/>
  <c r="J47" i="3"/>
  <c r="AE86" i="3"/>
  <c r="AN86" i="3"/>
  <c r="J53" i="3"/>
  <c r="AE87" i="3"/>
  <c r="AN87" i="3"/>
  <c r="J59" i="3"/>
  <c r="AE88" i="3"/>
  <c r="AN88" i="3"/>
  <c r="J65" i="3"/>
  <c r="AE89" i="3"/>
  <c r="AN89" i="3"/>
  <c r="J71" i="3"/>
  <c r="AE90" i="3"/>
  <c r="AN90" i="3"/>
  <c r="J77" i="3"/>
  <c r="AE91" i="3"/>
  <c r="AN91" i="3"/>
  <c r="AN92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Q80" i="3"/>
  <c r="AP80" i="3"/>
  <c r="AQ81" i="3"/>
  <c r="AP81" i="3"/>
  <c r="AQ82" i="3"/>
  <c r="AP82" i="3"/>
  <c r="AQ83" i="3"/>
  <c r="AP83" i="3"/>
  <c r="AQ84" i="3"/>
  <c r="AP84" i="3"/>
  <c r="AQ85" i="3"/>
  <c r="AP85" i="3"/>
  <c r="AQ86" i="3"/>
  <c r="AP86" i="3"/>
  <c r="AQ87" i="3"/>
  <c r="AP87" i="3"/>
  <c r="AQ88" i="3"/>
  <c r="AP88" i="3"/>
  <c r="AQ89" i="3"/>
  <c r="AP89" i="3"/>
  <c r="AQ90" i="3"/>
  <c r="AP90" i="3"/>
  <c r="AQ91" i="3"/>
  <c r="AP91" i="3"/>
  <c r="AD80" i="3"/>
  <c r="AR80" i="3"/>
  <c r="AD81" i="3"/>
  <c r="AR81" i="3"/>
  <c r="AD82" i="3"/>
  <c r="AR82" i="3"/>
  <c r="AD83" i="3"/>
  <c r="AR83" i="3"/>
  <c r="AD84" i="3"/>
  <c r="AR84" i="3"/>
  <c r="AD85" i="3"/>
  <c r="AR85" i="3"/>
  <c r="AD86" i="3"/>
  <c r="AR86" i="3"/>
  <c r="AD87" i="3"/>
  <c r="AR87" i="3"/>
  <c r="AD88" i="3"/>
  <c r="AR88" i="3"/>
  <c r="AD89" i="3"/>
  <c r="AR89" i="3"/>
  <c r="AD90" i="3"/>
  <c r="AR90" i="3"/>
  <c r="AD91" i="3"/>
  <c r="AR91" i="3"/>
  <c r="C3" i="4"/>
  <c r="H3" i="4"/>
  <c r="AS84" i="3"/>
  <c r="AS88" i="3"/>
  <c r="AS80" i="3"/>
  <c r="AS87" i="3"/>
  <c r="BL39" i="3"/>
  <c r="S91" i="3"/>
  <c r="BS21" i="3"/>
  <c r="S96" i="3"/>
  <c r="BS29" i="3"/>
  <c r="S97" i="3"/>
  <c r="BS37" i="3"/>
  <c r="S98" i="3"/>
  <c r="J57" i="3"/>
  <c r="AS56" i="3"/>
  <c r="BL14" i="3"/>
  <c r="BS13" i="3"/>
  <c r="BZ16" i="3"/>
  <c r="S102" i="3"/>
  <c r="BZ17" i="3"/>
  <c r="U102" i="3"/>
  <c r="BZ32" i="3"/>
  <c r="S103" i="3"/>
  <c r="BZ33" i="3"/>
  <c r="U103" i="3"/>
  <c r="T107" i="3"/>
  <c r="CG24" i="3"/>
  <c r="S111" i="3"/>
  <c r="T111" i="3"/>
  <c r="J80" i="3"/>
  <c r="CR38" i="3"/>
  <c r="CN37" i="3"/>
  <c r="CK68" i="3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/>
  <c r="G15" i="2"/>
  <c r="BW19" i="3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/>
  <c r="T87" i="3" a="1"/>
  <c r="T87" i="3"/>
  <c r="T88" i="3" a="1"/>
  <c r="T88" i="3"/>
  <c r="T89" i="3" a="1"/>
  <c r="T89" i="3"/>
  <c r="T90" i="3" a="1"/>
  <c r="T90" i="3"/>
  <c r="T91" i="3" a="1"/>
  <c r="T91" i="3"/>
  <c r="T96" i="3" a="1"/>
  <c r="T96" i="3"/>
  <c r="T97" i="3" a="1"/>
  <c r="T97" i="3"/>
  <c r="T98" i="3" a="1"/>
  <c r="T98" i="3"/>
  <c r="T102" i="3" a="1"/>
  <c r="T102" i="3"/>
  <c r="AC102" i="3" a="1"/>
  <c r="AC102" i="3"/>
  <c r="T103" i="3" a="1"/>
  <c r="T103" i="3"/>
  <c r="AC103" i="3" a="1"/>
  <c r="AC103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/>
  <c r="BY6" i="3" a="1"/>
  <c r="BY6" i="3"/>
  <c r="CF6" i="3" a="1"/>
  <c r="CF6" i="3"/>
  <c r="CM33" i="3" a="1"/>
  <c r="CM33" i="3"/>
  <c r="X103" i="3"/>
  <c r="CM44" i="3" a="1"/>
  <c r="CM44" i="3"/>
  <c r="P8" i="3" a="1"/>
  <c r="P8" i="3"/>
  <c r="O8" i="3" a="1"/>
  <c r="O8" i="3"/>
  <c r="N8" i="3" a="1"/>
  <c r="N8" i="3"/>
  <c r="M8" i="3" a="1"/>
  <c r="M8" i="3"/>
  <c r="L8" i="3" a="1"/>
  <c r="L8" i="3"/>
  <c r="K8" i="3" a="1"/>
  <c r="K8" i="3"/>
  <c r="P14" i="3" a="1"/>
  <c r="P14" i="3"/>
  <c r="O14" i="3" a="1"/>
  <c r="O14" i="3"/>
  <c r="N14" i="3" a="1"/>
  <c r="N14" i="3"/>
  <c r="M14" i="3" a="1"/>
  <c r="M14" i="3"/>
  <c r="L14" i="3" a="1"/>
  <c r="L14" i="3"/>
  <c r="K14" i="3" a="1"/>
  <c r="K14" i="3"/>
  <c r="P20" i="3" a="1"/>
  <c r="P20" i="3"/>
  <c r="O20" i="3" a="1"/>
  <c r="O20" i="3"/>
  <c r="N20" i="3" a="1"/>
  <c r="N20" i="3"/>
  <c r="M20" i="3" a="1"/>
  <c r="M20" i="3"/>
  <c r="L20" i="3" a="1"/>
  <c r="L20" i="3"/>
  <c r="K20" i="3" a="1"/>
  <c r="K20" i="3"/>
  <c r="P26" i="3" a="1"/>
  <c r="P26" i="3"/>
  <c r="O26" i="3" a="1"/>
  <c r="O26" i="3"/>
  <c r="N26" i="3" a="1"/>
  <c r="N26" i="3"/>
  <c r="M26" i="3" a="1"/>
  <c r="M26" i="3"/>
  <c r="L26" i="3" a="1"/>
  <c r="L26" i="3"/>
  <c r="K26" i="3" a="1"/>
  <c r="K26" i="3"/>
  <c r="P32" i="3" a="1"/>
  <c r="P32" i="3"/>
  <c r="O32" i="3" a="1"/>
  <c r="O32" i="3"/>
  <c r="N32" i="3" a="1"/>
  <c r="N32" i="3"/>
  <c r="M32" i="3" a="1"/>
  <c r="M32" i="3"/>
  <c r="L32" i="3" a="1"/>
  <c r="L32" i="3"/>
  <c r="K32" i="3" a="1"/>
  <c r="K32" i="3"/>
  <c r="P38" i="3" a="1"/>
  <c r="P38" i="3"/>
  <c r="O38" i="3" a="1"/>
  <c r="O38" i="3"/>
  <c r="N38" i="3" a="1"/>
  <c r="N38" i="3"/>
  <c r="M38" i="3" a="1"/>
  <c r="M38" i="3"/>
  <c r="L38" i="3" a="1"/>
  <c r="L38" i="3"/>
  <c r="K38" i="3" a="1"/>
  <c r="K38" i="3"/>
  <c r="P44" i="3" a="1"/>
  <c r="P44" i="3"/>
  <c r="O44" i="3" a="1"/>
  <c r="O44" i="3"/>
  <c r="N44" i="3" a="1"/>
  <c r="N44" i="3"/>
  <c r="M44" i="3" a="1"/>
  <c r="M44" i="3"/>
  <c r="L44" i="3" a="1"/>
  <c r="L44" i="3"/>
  <c r="K44" i="3" a="1"/>
  <c r="K44" i="3"/>
  <c r="P50" i="3" a="1"/>
  <c r="P50" i="3"/>
  <c r="O50" i="3" a="1"/>
  <c r="O50" i="3"/>
  <c r="N50" i="3" a="1"/>
  <c r="N50" i="3"/>
  <c r="M50" i="3" a="1"/>
  <c r="M50" i="3"/>
  <c r="L50" i="3" a="1"/>
  <c r="L50" i="3"/>
  <c r="K50" i="3" a="1"/>
  <c r="K50" i="3"/>
  <c r="P56" i="3" a="1"/>
  <c r="P56" i="3"/>
  <c r="O56" i="3" a="1"/>
  <c r="O56" i="3"/>
  <c r="N56" i="3" a="1"/>
  <c r="N56" i="3"/>
  <c r="M56" i="3" a="1"/>
  <c r="M56" i="3"/>
  <c r="L56" i="3" a="1"/>
  <c r="L56" i="3"/>
  <c r="K56" i="3" a="1"/>
  <c r="K56" i="3"/>
  <c r="P62" i="3" a="1"/>
  <c r="P62" i="3"/>
  <c r="O62" i="3" a="1"/>
  <c r="O62" i="3"/>
  <c r="N62" i="3" a="1"/>
  <c r="N62" i="3"/>
  <c r="M62" i="3" a="1"/>
  <c r="M62" i="3"/>
  <c r="L62" i="3" a="1"/>
  <c r="L62" i="3"/>
  <c r="K62" i="3" a="1"/>
  <c r="K62" i="3"/>
  <c r="P68" i="3" a="1"/>
  <c r="P68" i="3"/>
  <c r="O68" i="3" a="1"/>
  <c r="O68" i="3"/>
  <c r="N68" i="3" a="1"/>
  <c r="N68" i="3"/>
  <c r="M68" i="3" a="1"/>
  <c r="M68" i="3"/>
  <c r="L68" i="3" a="1"/>
  <c r="L68" i="3"/>
  <c r="K68" i="3" a="1"/>
  <c r="K68" i="3"/>
  <c r="P74" i="3" a="1"/>
  <c r="P74" i="3"/>
  <c r="O74" i="3" a="1"/>
  <c r="O74" i="3"/>
  <c r="N74" i="3" a="1"/>
  <c r="N74" i="3"/>
  <c r="M74" i="3" a="1"/>
  <c r="M74" i="3"/>
  <c r="L74" i="3" a="1"/>
  <c r="L74" i="3"/>
  <c r="K74" i="3" a="1"/>
  <c r="K74" i="3"/>
  <c r="P80" i="3" a="1"/>
  <c r="P80" i="3"/>
  <c r="O80" i="3" a="1"/>
  <c r="O80" i="3"/>
  <c r="N80" i="3" a="1"/>
  <c r="N80" i="3"/>
  <c r="M80" i="3" a="1"/>
  <c r="M80" i="3"/>
  <c r="L80" i="3" a="1"/>
  <c r="L80" i="3"/>
  <c r="K80" i="3" a="1"/>
  <c r="K80" i="3"/>
  <c r="J74" i="3" a="1"/>
  <c r="J74" i="3"/>
  <c r="J68" i="3" a="1"/>
  <c r="J68" i="3"/>
  <c r="J62" i="3" a="1"/>
  <c r="J62" i="3"/>
  <c r="J56" i="3" a="1"/>
  <c r="J56" i="3"/>
  <c r="J50" i="3" a="1"/>
  <c r="J50" i="3"/>
  <c r="J44" i="3" a="1"/>
  <c r="J44" i="3"/>
  <c r="J38" i="3" a="1"/>
  <c r="J38" i="3"/>
  <c r="J32" i="3" a="1"/>
  <c r="J32" i="3"/>
  <c r="J26" i="3" a="1"/>
  <c r="J26" i="3"/>
  <c r="J20" i="3" a="1"/>
  <c r="J20" i="3"/>
  <c r="J14" i="3" a="1"/>
  <c r="J14" i="3"/>
  <c r="J8" i="3" a="1"/>
  <c r="J8" i="3"/>
  <c r="A5" i="3" a="1"/>
  <c r="A5" i="3"/>
  <c r="A1" i="3" a="1"/>
  <c r="A1" i="3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a="1"/>
  <c r="CM36" i="3"/>
  <c r="CR47" i="3"/>
  <c r="CM47" i="3" a="1"/>
  <c r="CM47" i="3"/>
  <c r="CK54" i="3"/>
  <c r="CF54" i="3" a="1"/>
  <c r="CF54" i="3"/>
  <c r="CD47" i="3"/>
  <c r="BY47" i="3" a="1"/>
  <c r="BY47" i="3"/>
  <c r="CK22" i="3"/>
  <c r="CF22" i="3" a="1"/>
  <c r="CF22" i="3"/>
  <c r="CD63" i="3"/>
  <c r="BY63" i="3" a="1"/>
  <c r="BY63" i="3"/>
  <c r="BY31" i="3" a="1"/>
  <c r="BY31" i="3"/>
  <c r="BW67" i="3"/>
  <c r="BR67" i="3" a="1"/>
  <c r="BR67" i="3"/>
  <c r="CD15" i="3"/>
  <c r="BY15" i="3" a="1"/>
  <c r="BY15" i="3"/>
  <c r="BW51" i="3"/>
  <c r="BR51" i="3" a="1"/>
  <c r="BR51" i="3"/>
  <c r="BR59" i="3" a="1"/>
  <c r="BR59" i="3"/>
  <c r="BW35" i="3"/>
  <c r="BR35" i="3" a="1"/>
  <c r="BR35" i="3"/>
  <c r="BW43" i="3"/>
  <c r="BR43" i="3" a="1"/>
  <c r="BR43" i="3"/>
  <c r="BW27" i="3"/>
  <c r="BR27" i="3" a="1"/>
  <c r="BR27" i="3"/>
  <c r="BR19" i="3" a="1"/>
  <c r="BR19" i="3"/>
  <c r="BP69" i="3"/>
  <c r="BK69" i="3" a="1"/>
  <c r="BK69" i="3"/>
  <c r="BW11" i="3"/>
  <c r="BR11" i="3" a="1"/>
  <c r="BR11" i="3"/>
  <c r="BP61" i="3"/>
  <c r="BK61" i="3" a="1"/>
  <c r="BK61" i="3"/>
  <c r="BP65" i="3"/>
  <c r="BK65" i="3" a="1"/>
  <c r="BK65" i="3"/>
  <c r="BP57" i="3"/>
  <c r="BK57" i="3" a="1"/>
  <c r="BK57" i="3"/>
  <c r="BK53" i="3" a="1"/>
  <c r="BK53" i="3"/>
  <c r="BP49" i="3"/>
  <c r="BK49" i="3" a="1"/>
  <c r="BK49" i="3"/>
  <c r="BK45" i="3" a="1"/>
  <c r="BK45" i="3"/>
  <c r="BK41" i="3" a="1"/>
  <c r="BK41" i="3"/>
  <c r="BP37" i="3"/>
  <c r="BK37" i="3" a="1"/>
  <c r="BK37" i="3"/>
  <c r="BP33" i="3"/>
  <c r="BK33" i="3" a="1"/>
  <c r="BK33" i="3"/>
  <c r="BK29" i="3" a="1"/>
  <c r="BK29" i="3"/>
  <c r="BP25" i="3"/>
  <c r="BK25" i="3" a="1"/>
  <c r="BK25" i="3"/>
  <c r="BP21" i="3"/>
  <c r="BK21" i="3" a="1"/>
  <c r="BK21" i="3"/>
  <c r="BK17" i="3" a="1"/>
  <c r="BK17" i="3"/>
  <c r="BP13" i="3"/>
  <c r="BK13" i="3" a="1"/>
  <c r="BK13" i="3"/>
  <c r="BP9" i="3"/>
  <c r="BK9" i="3" a="1"/>
  <c r="BK9" i="3"/>
  <c r="I15" i="2"/>
  <c r="AA7" i="2" a="1"/>
  <c r="AA7" i="2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/>
  <c r="B7" i="3" a="1"/>
  <c r="B7" i="3"/>
  <c r="D8" i="3"/>
  <c r="C8" i="3" a="1"/>
  <c r="C8" i="3"/>
  <c r="B8" i="3" a="1"/>
  <c r="B8" i="3"/>
  <c r="D10" i="3"/>
  <c r="C10" i="3" a="1"/>
  <c r="C10" i="3"/>
  <c r="B10" i="3" a="1"/>
  <c r="B10" i="3"/>
  <c r="D18" i="3"/>
  <c r="C18" i="3" a="1"/>
  <c r="C18" i="3"/>
  <c r="B18" i="3" a="1"/>
  <c r="B18" i="3"/>
  <c r="D30" i="3"/>
  <c r="C30" i="3" a="1"/>
  <c r="C30" i="3"/>
  <c r="B30" i="3" a="1"/>
  <c r="B30" i="3"/>
  <c r="D54" i="3"/>
  <c r="C54" i="3" a="1"/>
  <c r="C54" i="3"/>
  <c r="B54" i="3" a="1"/>
  <c r="B54" i="3"/>
  <c r="D65" i="3"/>
  <c r="C65" i="3" a="1"/>
  <c r="C65" i="3"/>
  <c r="B65" i="3" a="1"/>
  <c r="B65" i="3"/>
  <c r="D66" i="3"/>
  <c r="C66" i="3" a="1"/>
  <c r="C66" i="3"/>
  <c r="B66" i="3" a="1"/>
  <c r="B66" i="3"/>
  <c r="D75" i="3"/>
  <c r="C75" i="3" a="1"/>
  <c r="C75" i="3"/>
  <c r="B75" i="3" a="1"/>
  <c r="B75" i="3"/>
  <c r="D76" i="3"/>
  <c r="C76" i="3" a="1"/>
  <c r="C76" i="3"/>
  <c r="B76" i="3" a="1"/>
  <c r="B76" i="3"/>
  <c r="D34" i="3"/>
  <c r="C34" i="3" a="1"/>
  <c r="C34" i="3"/>
  <c r="B34" i="3" a="1"/>
  <c r="B34" i="3"/>
  <c r="D59" i="3"/>
  <c r="C59" i="3" a="1"/>
  <c r="C59" i="3"/>
  <c r="B59" i="3" a="1"/>
  <c r="B59" i="3"/>
  <c r="D60" i="3"/>
  <c r="C60" i="3" a="1"/>
  <c r="C60" i="3"/>
  <c r="B60" i="3" a="1"/>
  <c r="B60" i="3"/>
  <c r="D42" i="3"/>
  <c r="C42" i="3" a="1"/>
  <c r="C42" i="3"/>
  <c r="B42" i="3" a="1"/>
  <c r="B42" i="3"/>
  <c r="D72" i="3"/>
  <c r="C72" i="3" a="1"/>
  <c r="C72" i="3"/>
  <c r="B72" i="3" a="1"/>
  <c r="B72" i="3"/>
  <c r="D31" i="3"/>
  <c r="C31" i="3" a="1"/>
  <c r="C31" i="3"/>
  <c r="B31" i="3" a="1"/>
  <c r="B31" i="3"/>
  <c r="D9" i="3"/>
  <c r="C9" i="3" a="1"/>
  <c r="C9" i="3"/>
  <c r="B9" i="3" a="1"/>
  <c r="B9" i="3"/>
  <c r="D13" i="3"/>
  <c r="C13" i="3" a="1"/>
  <c r="C13" i="3"/>
  <c r="B13" i="3" a="1"/>
  <c r="B13" i="3"/>
  <c r="D11" i="3"/>
  <c r="C11" i="3" a="1"/>
  <c r="C11" i="3"/>
  <c r="B11" i="3" a="1"/>
  <c r="B11" i="3"/>
  <c r="D35" i="3"/>
  <c r="C35" i="3" a="1"/>
  <c r="C35" i="3"/>
  <c r="B35" i="3" a="1"/>
  <c r="B35" i="3"/>
  <c r="D36" i="3"/>
  <c r="C36" i="3" a="1"/>
  <c r="C36" i="3"/>
  <c r="B36" i="3" a="1"/>
  <c r="B36" i="3"/>
  <c r="D55" i="3"/>
  <c r="C55" i="3" a="1"/>
  <c r="C55" i="3"/>
  <c r="B55" i="3" a="1"/>
  <c r="B55" i="3"/>
  <c r="D56" i="3"/>
  <c r="C56" i="3" a="1"/>
  <c r="C56" i="3"/>
  <c r="B56" i="3" a="1"/>
  <c r="B56" i="3"/>
  <c r="D15" i="3"/>
  <c r="C15" i="3" a="1"/>
  <c r="C15" i="3"/>
  <c r="B15" i="3" a="1"/>
  <c r="B15" i="3"/>
  <c r="D39" i="3"/>
  <c r="C39" i="3" a="1"/>
  <c r="C39" i="3"/>
  <c r="B39" i="3" a="1"/>
  <c r="B39" i="3"/>
  <c r="D61" i="3"/>
  <c r="C61" i="3" a="1"/>
  <c r="C61" i="3"/>
  <c r="B61" i="3" a="1"/>
  <c r="B61" i="3"/>
  <c r="D62" i="3"/>
  <c r="C62" i="3" a="1"/>
  <c r="C62" i="3"/>
  <c r="B62" i="3" a="1"/>
  <c r="B62" i="3"/>
  <c r="D20" i="3"/>
  <c r="C20" i="3" a="1"/>
  <c r="C20" i="3"/>
  <c r="B20" i="3" a="1"/>
  <c r="B20" i="3"/>
  <c r="D19" i="3"/>
  <c r="C19" i="3" a="1"/>
  <c r="C19" i="3"/>
  <c r="B19" i="3" a="1"/>
  <c r="B19" i="3"/>
  <c r="D43" i="3"/>
  <c r="C43" i="3" a="1"/>
  <c r="C43" i="3"/>
  <c r="B43" i="3" a="1"/>
  <c r="B43" i="3"/>
  <c r="D44" i="3"/>
  <c r="C44" i="3" a="1"/>
  <c r="C44" i="3"/>
  <c r="B44" i="3" a="1"/>
  <c r="B44" i="3"/>
  <c r="D23" i="3"/>
  <c r="C23" i="3" a="1"/>
  <c r="C23" i="3"/>
  <c r="B23" i="3" a="1"/>
  <c r="B23" i="3"/>
  <c r="D24" i="3"/>
  <c r="C24" i="3" a="1"/>
  <c r="C24" i="3"/>
  <c r="B24" i="3" a="1"/>
  <c r="B24" i="3"/>
  <c r="D48" i="3"/>
  <c r="C48" i="3" a="1"/>
  <c r="C48" i="3"/>
  <c r="B48" i="3" a="1"/>
  <c r="B48" i="3"/>
  <c r="D47" i="3"/>
  <c r="C47" i="3" a="1"/>
  <c r="C47" i="3"/>
  <c r="B47" i="3" a="1"/>
  <c r="B47" i="3"/>
  <c r="D67" i="3"/>
  <c r="C67" i="3" a="1"/>
  <c r="C67" i="3"/>
  <c r="B67" i="3" a="1"/>
  <c r="B67" i="3"/>
  <c r="D68" i="3"/>
  <c r="C68" i="3" a="1"/>
  <c r="C68" i="3"/>
  <c r="B68" i="3" a="1"/>
  <c r="B68" i="3"/>
  <c r="D77" i="3"/>
  <c r="C77" i="3" a="1"/>
  <c r="C77" i="3"/>
  <c r="B77" i="3" a="1"/>
  <c r="B77" i="3"/>
  <c r="D78" i="3"/>
  <c r="C78" i="3" a="1"/>
  <c r="C78" i="3"/>
  <c r="B78" i="3" a="1"/>
  <c r="B78" i="3"/>
  <c r="D27" i="3"/>
  <c r="C27" i="3" a="1"/>
  <c r="C27" i="3"/>
  <c r="B27" i="3" a="1"/>
  <c r="B27" i="3"/>
  <c r="D51" i="3"/>
  <c r="C51" i="3" a="1"/>
  <c r="C51" i="3"/>
  <c r="B51" i="3" a="1"/>
  <c r="B51" i="3"/>
  <c r="D52" i="3"/>
  <c r="C52" i="3" a="1"/>
  <c r="C52" i="3"/>
  <c r="B52" i="3" a="1"/>
  <c r="B52" i="3"/>
  <c r="D73" i="3"/>
  <c r="C73" i="3" a="1"/>
  <c r="C73" i="3"/>
  <c r="B73" i="3" a="1"/>
  <c r="B73" i="3"/>
  <c r="D74" i="3"/>
  <c r="C74" i="3" a="1"/>
  <c r="C74" i="3"/>
  <c r="B74" i="3" a="1"/>
  <c r="B74" i="3"/>
  <c r="D14" i="3"/>
  <c r="C14" i="3" a="1"/>
  <c r="C14" i="3"/>
  <c r="B14" i="3" a="1"/>
  <c r="B14" i="3"/>
  <c r="D32" i="3"/>
  <c r="C32" i="3" a="1"/>
  <c r="C32" i="3"/>
  <c r="B32" i="3" a="1"/>
  <c r="B32" i="3"/>
  <c r="D33" i="3"/>
  <c r="C33" i="3" a="1"/>
  <c r="C33" i="3"/>
  <c r="B33" i="3" a="1"/>
  <c r="B33" i="3"/>
  <c r="D57" i="3"/>
  <c r="C57" i="3" a="1"/>
  <c r="C57" i="3"/>
  <c r="B57" i="3" a="1"/>
  <c r="B57" i="3"/>
  <c r="D58" i="3"/>
  <c r="C58" i="3" a="1"/>
  <c r="C58" i="3"/>
  <c r="B58" i="3" a="1"/>
  <c r="B58" i="3"/>
  <c r="D12" i="3"/>
  <c r="C12" i="3" a="1"/>
  <c r="C12" i="3"/>
  <c r="B12" i="3" a="1"/>
  <c r="B12" i="3"/>
  <c r="D38" i="3"/>
  <c r="C38" i="3" a="1"/>
  <c r="C38" i="3"/>
  <c r="B38" i="3" a="1"/>
  <c r="B38" i="3"/>
  <c r="D37" i="3"/>
  <c r="C37" i="3" a="1"/>
  <c r="C37" i="3"/>
  <c r="B37" i="3" a="1"/>
  <c r="B37" i="3"/>
  <c r="D22" i="3"/>
  <c r="C22" i="3" a="1"/>
  <c r="C22" i="3"/>
  <c r="B22" i="3" a="1"/>
  <c r="B22" i="3"/>
  <c r="D21" i="3"/>
  <c r="C21" i="3" a="1"/>
  <c r="C21" i="3"/>
  <c r="B21" i="3" a="1"/>
  <c r="B21" i="3"/>
  <c r="D45" i="3"/>
  <c r="C45" i="3" a="1"/>
  <c r="C45" i="3"/>
  <c r="B45" i="3" a="1"/>
  <c r="B45" i="3"/>
  <c r="D46" i="3"/>
  <c r="C46" i="3" a="1"/>
  <c r="C46" i="3"/>
  <c r="B46" i="3" a="1"/>
  <c r="B46" i="3"/>
  <c r="D69" i="3"/>
  <c r="C69" i="3" a="1"/>
  <c r="C69" i="3"/>
  <c r="B69" i="3" a="1"/>
  <c r="B69" i="3"/>
  <c r="D70" i="3"/>
  <c r="C70" i="3" a="1"/>
  <c r="C70" i="3"/>
  <c r="B70" i="3" a="1"/>
  <c r="B70" i="3"/>
  <c r="D26" i="3"/>
  <c r="C26" i="3" a="1"/>
  <c r="C26" i="3"/>
  <c r="B26" i="3" a="1"/>
  <c r="B26" i="3"/>
  <c r="D50" i="3"/>
  <c r="C50" i="3" a="1"/>
  <c r="C50" i="3"/>
  <c r="B50" i="3" a="1"/>
  <c r="B50" i="3"/>
  <c r="D16" i="3"/>
  <c r="C16" i="3" a="1"/>
  <c r="C16" i="3"/>
  <c r="B16" i="3" a="1"/>
  <c r="B16" i="3"/>
  <c r="D40" i="3"/>
  <c r="C40" i="3" a="1"/>
  <c r="C40" i="3"/>
  <c r="B40" i="3" a="1"/>
  <c r="B40" i="3"/>
  <c r="D17" i="3"/>
  <c r="C17" i="3" a="1"/>
  <c r="C17" i="3"/>
  <c r="B17" i="3" a="1"/>
  <c r="B17" i="3"/>
  <c r="D41" i="3"/>
  <c r="C41" i="3" a="1"/>
  <c r="C41" i="3"/>
  <c r="B41" i="3" a="1"/>
  <c r="B41" i="3"/>
  <c r="D63" i="3"/>
  <c r="C63" i="3" a="1"/>
  <c r="C63" i="3"/>
  <c r="B63" i="3" a="1"/>
  <c r="B63" i="3"/>
  <c r="D64" i="3"/>
  <c r="C64" i="3" a="1"/>
  <c r="C64" i="3"/>
  <c r="B64" i="3" a="1"/>
  <c r="B64" i="3"/>
  <c r="D71" i="3"/>
  <c r="C71" i="3" a="1"/>
  <c r="C71" i="3"/>
  <c r="B71" i="3" a="1"/>
  <c r="B71" i="3"/>
  <c r="D25" i="3"/>
  <c r="C25" i="3" a="1"/>
  <c r="C25" i="3"/>
  <c r="B25" i="3" a="1"/>
  <c r="B25" i="3"/>
  <c r="D49" i="3"/>
  <c r="C49" i="3" a="1"/>
  <c r="C49" i="3"/>
  <c r="B49" i="3" a="1"/>
  <c r="B49" i="3"/>
  <c r="D29" i="3"/>
  <c r="C29" i="3" a="1"/>
  <c r="C29" i="3"/>
  <c r="B29" i="3" a="1"/>
  <c r="B29" i="3"/>
  <c r="D53" i="3"/>
  <c r="C53" i="3" a="1"/>
  <c r="C53" i="3"/>
  <c r="B53" i="3" a="1"/>
  <c r="B53" i="3"/>
  <c r="D28" i="3"/>
  <c r="C28" i="3" a="1"/>
  <c r="C28" i="3"/>
  <c r="B28" i="3" a="1"/>
  <c r="B28" i="3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/>
  <c r="S27" i="3"/>
  <c r="T27" i="3"/>
  <c r="S28" i="3"/>
  <c r="T28" i="3"/>
  <c r="S30" i="3"/>
  <c r="T30" i="3"/>
  <c r="S26" i="3"/>
  <c r="T26" i="3"/>
  <c r="S75" i="3"/>
  <c r="S25" i="3"/>
  <c r="T25" i="3"/>
  <c r="S49" i="3"/>
  <c r="S68" i="3"/>
  <c r="S23" i="3"/>
  <c r="T23" i="3"/>
  <c r="S43" i="3"/>
  <c r="S20" i="3"/>
  <c r="T20" i="3"/>
  <c r="S46" i="3"/>
  <c r="S45" i="3"/>
  <c r="S63" i="3"/>
  <c r="S17" i="3"/>
  <c r="T17" i="3"/>
  <c r="S41" i="3"/>
  <c r="S15" i="3"/>
  <c r="T15" i="3"/>
  <c r="S16" i="3"/>
  <c r="S66" i="3"/>
  <c r="S10" i="3"/>
  <c r="T10" i="3"/>
  <c r="S37" i="3"/>
  <c r="T37" i="3"/>
  <c r="S56" i="3"/>
  <c r="S13" i="3"/>
  <c r="T13" i="3"/>
  <c r="S32" i="3"/>
  <c r="T32" i="3"/>
  <c r="S14" i="3"/>
  <c r="T14" i="3"/>
  <c r="S8" i="3"/>
  <c r="T8" i="3"/>
  <c r="S9" i="3"/>
  <c r="T9" i="3"/>
  <c r="S33" i="3"/>
  <c r="T33" i="3"/>
  <c r="S60" i="3"/>
  <c r="S34" i="3"/>
  <c r="S29" i="3"/>
  <c r="T29" i="3"/>
  <c r="S53" i="3"/>
  <c r="S35" i="3"/>
  <c r="T35" i="3"/>
  <c r="S7" i="3"/>
  <c r="T7" i="3"/>
  <c r="S22" i="3"/>
  <c r="T12" i="3"/>
  <c r="S24" i="3"/>
  <c r="S69" i="3"/>
  <c r="S52" i="3"/>
  <c r="S73" i="3"/>
  <c r="S54" i="3"/>
  <c r="S50" i="3"/>
  <c r="T75" i="3"/>
  <c r="T49" i="3"/>
  <c r="S47" i="3"/>
  <c r="T68" i="3"/>
  <c r="T43" i="3"/>
  <c r="S72" i="3"/>
  <c r="T46" i="3"/>
  <c r="S70" i="3"/>
  <c r="T45" i="3"/>
  <c r="S42" i="3"/>
  <c r="T63" i="3"/>
  <c r="T41" i="3"/>
  <c r="S40" i="3"/>
  <c r="T16" i="3"/>
  <c r="S65" i="3"/>
  <c r="T66" i="3"/>
  <c r="T56" i="3"/>
  <c r="S57" i="3"/>
  <c r="T60" i="3"/>
  <c r="T34" i="3"/>
  <c r="T53" i="3"/>
  <c r="BS20" i="3"/>
  <c r="T57" i="3"/>
  <c r="T65" i="3"/>
  <c r="T40" i="3"/>
  <c r="T42" i="3"/>
  <c r="T70" i="3"/>
  <c r="T72" i="3"/>
  <c r="T47" i="3"/>
  <c r="T50" i="3"/>
  <c r="T54" i="3"/>
  <c r="T73" i="3"/>
  <c r="T52" i="3"/>
  <c r="T69" i="3"/>
  <c r="T24" i="3"/>
  <c r="T22" i="3"/>
  <c r="BS28" i="3"/>
  <c r="AH12" i="3"/>
  <c r="AH24" i="3"/>
  <c r="AH36" i="3"/>
  <c r="AH48" i="3"/>
  <c r="AH60" i="3"/>
  <c r="AH72" i="3"/>
  <c r="AG12" i="3"/>
  <c r="AG24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G18" i="3"/>
  <c r="AF12" i="3"/>
  <c r="AF18" i="3"/>
  <c r="AF24" i="3"/>
  <c r="AF30" i="3"/>
  <c r="AF36" i="3"/>
  <c r="AF42" i="3"/>
  <c r="AF48" i="3"/>
  <c r="AF54" i="3"/>
  <c r="AF60" i="3"/>
  <c r="AF66" i="3"/>
  <c r="AF72" i="3"/>
  <c r="AF78" i="3"/>
  <c r="J69" i="3"/>
  <c r="AS68" i="3"/>
  <c r="BL70" i="3"/>
  <c r="BS69" i="3"/>
  <c r="BZ65" i="3"/>
  <c r="J63" i="3"/>
  <c r="AS62" i="3"/>
  <c r="BL58" i="3"/>
  <c r="BS60" i="3"/>
  <c r="BZ64" i="3"/>
  <c r="CG56" i="3"/>
  <c r="CN38" i="3"/>
  <c r="J75" i="3"/>
  <c r="AS74" i="3"/>
  <c r="BL54" i="3"/>
  <c r="BS53" i="3"/>
  <c r="BZ49" i="3"/>
  <c r="CG55" i="3"/>
  <c r="CN49" i="3"/>
  <c r="BS36" i="3"/>
  <c r="V34" i="3"/>
  <c r="W34" i="3"/>
  <c r="V7" i="3"/>
  <c r="W7" i="3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W78" i="3"/>
  <c r="AW72" i="3"/>
  <c r="AW66" i="3"/>
  <c r="AW60" i="3"/>
  <c r="AW54" i="3"/>
  <c r="AW48" i="3"/>
  <c r="AW42" i="3"/>
  <c r="AW36" i="3"/>
  <c r="AW30" i="3"/>
  <c r="AW24" i="3"/>
  <c r="AW18" i="3"/>
  <c r="AW12" i="3"/>
  <c r="CG23" i="3"/>
  <c r="CN48" i="3"/>
  <c r="AO78" i="3"/>
  <c r="AO72" i="3"/>
  <c r="AO66" i="3"/>
  <c r="AO60" i="3"/>
  <c r="AO54" i="3"/>
  <c r="AO48" i="3"/>
  <c r="AO42" i="3"/>
  <c r="AO36" i="3"/>
  <c r="AO30" i="3"/>
  <c r="AO24" i="3"/>
  <c r="AO18" i="3"/>
  <c r="AO12" i="3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O69" i="3"/>
  <c r="O60" i="3"/>
  <c r="O57" i="3"/>
  <c r="O58" i="3"/>
  <c r="J60" i="3"/>
  <c r="J58" i="3"/>
  <c r="AS57" i="3"/>
  <c r="BL47" i="3"/>
  <c r="J34" i="3"/>
  <c r="AS33" i="3"/>
  <c r="BL46" i="3"/>
  <c r="BS45" i="3"/>
  <c r="BZ48" i="3"/>
  <c r="O59" i="3"/>
  <c r="O63" i="3"/>
  <c r="O76" i="3"/>
  <c r="O12" i="3"/>
  <c r="O18" i="3"/>
  <c r="J18" i="3"/>
  <c r="O75" i="3"/>
  <c r="J76" i="3"/>
  <c r="AS75" i="3"/>
  <c r="BL27" i="3"/>
  <c r="O9" i="3"/>
  <c r="J12" i="3"/>
  <c r="J9" i="3"/>
  <c r="AS8" i="3"/>
  <c r="BL50" i="3"/>
  <c r="O11" i="3"/>
  <c r="O16" i="3"/>
  <c r="O10" i="3"/>
  <c r="P58" i="3"/>
  <c r="J78" i="3"/>
  <c r="O77" i="3"/>
  <c r="O78" i="3"/>
  <c r="P59" i="3"/>
  <c r="J28" i="3"/>
  <c r="AS27" i="3"/>
  <c r="BL62" i="3"/>
  <c r="BS61" i="3"/>
  <c r="J21" i="3"/>
  <c r="AS20" i="3"/>
  <c r="BL42" i="3"/>
  <c r="BS44" i="3"/>
  <c r="O71" i="3"/>
  <c r="J16" i="3"/>
  <c r="AS15" i="3"/>
  <c r="BL19" i="3"/>
  <c r="O33" i="3"/>
  <c r="O70" i="3"/>
  <c r="O72" i="3"/>
  <c r="J72" i="3"/>
  <c r="J33" i="3"/>
  <c r="AS32" i="3"/>
  <c r="BL10" i="3"/>
  <c r="O34" i="3"/>
  <c r="O21" i="3"/>
  <c r="O65" i="3"/>
  <c r="O30" i="3"/>
  <c r="O54" i="3"/>
  <c r="J30" i="3"/>
  <c r="J22" i="3"/>
  <c r="AS21" i="3"/>
  <c r="BL23" i="3"/>
  <c r="O35" i="3"/>
  <c r="O27" i="3"/>
  <c r="AT88" i="3"/>
  <c r="J36" i="3"/>
  <c r="O28" i="3"/>
  <c r="AJ88" i="3"/>
  <c r="O39" i="3"/>
  <c r="O36" i="3"/>
  <c r="O29" i="3"/>
  <c r="AG88" i="3"/>
  <c r="J45" i="3"/>
  <c r="AS44" i="3"/>
  <c r="BL38" i="3"/>
  <c r="O17" i="3"/>
  <c r="AH88" i="3"/>
  <c r="O47" i="3"/>
  <c r="J48" i="3"/>
  <c r="O22" i="3"/>
  <c r="J64" i="3"/>
  <c r="AS63" i="3"/>
  <c r="BL31" i="3"/>
  <c r="O45" i="3"/>
  <c r="O64" i="3"/>
  <c r="J52" i="3"/>
  <c r="AS51" i="3"/>
  <c r="BL59" i="3"/>
  <c r="O24" i="3"/>
  <c r="O66" i="3"/>
  <c r="O46" i="3"/>
  <c r="O41" i="3"/>
  <c r="J66" i="3"/>
  <c r="J40" i="3"/>
  <c r="AS39" i="3"/>
  <c r="BL43" i="3"/>
  <c r="J42" i="3"/>
  <c r="O52" i="3"/>
  <c r="O23" i="3"/>
  <c r="O40" i="3"/>
  <c r="O51" i="3"/>
  <c r="O48" i="3"/>
  <c r="J46" i="3"/>
  <c r="AS45" i="3"/>
  <c r="BL63" i="3"/>
  <c r="O42" i="3"/>
  <c r="P41" i="3"/>
  <c r="J24" i="3"/>
  <c r="O53" i="3"/>
  <c r="J54" i="3"/>
  <c r="AF88" i="3"/>
  <c r="P57" i="3"/>
  <c r="P60" i="3"/>
  <c r="O15" i="3"/>
  <c r="J15" i="3"/>
  <c r="AS14" i="3"/>
  <c r="BL66" i="3"/>
  <c r="AF91" i="3"/>
  <c r="P28" i="3"/>
  <c r="AH91" i="3"/>
  <c r="AF90" i="3"/>
  <c r="AJ91" i="3"/>
  <c r="AH84" i="3"/>
  <c r="AG91" i="3"/>
  <c r="P75" i="3"/>
  <c r="P33" i="3"/>
  <c r="AT91" i="3"/>
  <c r="P70" i="3"/>
  <c r="P9" i="3"/>
  <c r="P76" i="3"/>
  <c r="P11" i="3"/>
  <c r="P12" i="3"/>
  <c r="AF84" i="3"/>
  <c r="P10" i="3"/>
  <c r="AH81" i="3"/>
  <c r="P21" i="3"/>
  <c r="AF81" i="3"/>
  <c r="AT81" i="3"/>
  <c r="P30" i="3"/>
  <c r="AJ86" i="3"/>
  <c r="P69" i="3"/>
  <c r="P78" i="3"/>
  <c r="AJ84" i="3"/>
  <c r="P16" i="3"/>
  <c r="P77" i="3"/>
  <c r="P34" i="3"/>
  <c r="P71" i="3"/>
  <c r="AH80" i="3"/>
  <c r="AF80" i="3"/>
  <c r="AJ80" i="3"/>
  <c r="AG80" i="3"/>
  <c r="AT80" i="3"/>
  <c r="AH86" i="3"/>
  <c r="AF86" i="3"/>
  <c r="AG85" i="3"/>
  <c r="P63" i="3"/>
  <c r="P18" i="3"/>
  <c r="P35" i="3"/>
  <c r="AG86" i="3"/>
  <c r="P27" i="3"/>
  <c r="AT86" i="3"/>
  <c r="AJ83" i="3"/>
  <c r="AT90" i="3"/>
  <c r="AG83" i="3"/>
  <c r="AJ89" i="3"/>
  <c r="P29" i="3"/>
  <c r="AJ90" i="3"/>
  <c r="AT83" i="3"/>
  <c r="AH90" i="3"/>
  <c r="AG90" i="3"/>
  <c r="P40" i="3"/>
  <c r="P65" i="3"/>
  <c r="P47" i="3"/>
  <c r="P36" i="3"/>
  <c r="P72" i="3"/>
  <c r="P24" i="3"/>
  <c r="P17" i="3"/>
  <c r="AF85" i="3"/>
  <c r="AT85" i="3"/>
  <c r="AJ85" i="3"/>
  <c r="AH85" i="3"/>
  <c r="P22" i="3"/>
  <c r="AF83" i="3"/>
  <c r="AT84" i="3"/>
  <c r="P39" i="3"/>
  <c r="AH89" i="3"/>
  <c r="AG89" i="3"/>
  <c r="P48" i="3"/>
  <c r="AF89" i="3"/>
  <c r="AH83" i="3"/>
  <c r="AG84" i="3"/>
  <c r="AT89" i="3"/>
  <c r="P15" i="3"/>
  <c r="AT87" i="3"/>
  <c r="AJ81" i="3"/>
  <c r="AG87" i="3"/>
  <c r="P66" i="3"/>
  <c r="AF87" i="3"/>
  <c r="AG81" i="3"/>
  <c r="AJ87" i="3"/>
  <c r="AH87" i="3"/>
  <c r="P46" i="3"/>
  <c r="P52" i="3"/>
  <c r="P53" i="3"/>
  <c r="P42" i="3"/>
  <c r="AJ82" i="3"/>
  <c r="P23" i="3"/>
  <c r="P54" i="3"/>
  <c r="AT82" i="3"/>
  <c r="AH82" i="3"/>
  <c r="AG82" i="3"/>
  <c r="P45" i="3"/>
  <c r="P64" i="3"/>
  <c r="AF82" i="3"/>
  <c r="P51" i="3"/>
  <c r="AF92" i="3"/>
  <c r="AG92" i="3"/>
  <c r="AH92" i="3"/>
  <c r="AJ92" i="3"/>
  <c r="S85" i="3"/>
  <c r="T85" i="3" a="1"/>
  <c r="T85" i="3"/>
  <c r="S84" i="3"/>
  <c r="T84" i="3" a="1"/>
  <c r="T84" i="3"/>
  <c r="BS12" i="3"/>
  <c r="S95" i="3"/>
  <c r="T95" i="3" a="1"/>
  <c r="T95" i="3"/>
  <c r="AS90" i="3"/>
  <c r="AS85" i="3"/>
  <c r="AS82" i="3"/>
  <c r="AS89" i="3"/>
  <c r="AS91" i="3"/>
  <c r="AS83" i="3"/>
  <c r="AS81" i="3"/>
  <c r="AS86" i="3"/>
  <c r="O81" i="3"/>
  <c r="F3" i="4"/>
  <c r="BL35" i="3"/>
  <c r="J89" i="3"/>
  <c r="J81" i="3"/>
  <c r="O89" i="3"/>
  <c r="N81" i="3"/>
  <c r="M89" i="3"/>
  <c r="M91" i="3"/>
  <c r="M81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/>
  <c r="P91" i="3"/>
  <c r="P89" i="3"/>
  <c r="P81" i="3"/>
  <c r="P90" i="3"/>
  <c r="K81" i="3"/>
  <c r="K87" i="3"/>
  <c r="J3" i="4"/>
  <c r="G3" i="4"/>
  <c r="BL11" i="3"/>
  <c r="B3" i="4"/>
  <c r="I3" i="4"/>
  <c r="BL15" i="3"/>
  <c r="K3" i="4"/>
  <c r="E3" i="4"/>
  <c r="D3" i="4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L55" i="3"/>
  <c r="BS52" i="3"/>
  <c r="BL51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<sst xmlns="http://schemas.openxmlformats.org/spreadsheetml/2006/main" count="9786" uniqueCount="3698">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</sst>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sv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7" Type="http://schemas.openxmlformats.org/officeDocument/2006/relationships/image" Target="../media/image7.sv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jpeg"/><Relationship Id="rId11" Type="http://schemas.openxmlformats.org/officeDocument/2006/relationships/image" Target="../media/image11.sv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" Type="http://schemas.openxmlformats.org/officeDocument/2006/relationships/image" Target="../media/image5.svg"/><Relationship Id="rId15" Type="http://schemas.openxmlformats.org/officeDocument/2006/relationships/image" Target="../media/image15.sv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svg"/><Relationship Id="rId9" Type="http://schemas.openxmlformats.org/officeDocument/2006/relationships/image" Target="../media/image9.svg"/><Relationship Id="rId14" Type="http://schemas.openxmlformats.org/officeDocument/2006/relationships/image" Target="../media/image14.sv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svg"/><Relationship Id="rId3" Type="http://schemas.openxmlformats.org/officeDocument/2006/relationships/image" Target="../media/image3.svg"/><Relationship Id="rId12" Type="http://schemas.openxmlformats.org/officeDocument/2006/relationships/image" Target="../media/image12.svg"/><Relationship Id="rId17" Type="http://schemas.openxmlformats.org/officeDocument/2006/relationships/image" Target="../media/image17.sv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1" Type="http://schemas.openxmlformats.org/officeDocument/2006/relationships/image" Target="../media/image1.svg"/><Relationship Id="rId6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Left" activeCell="A2" sqref="A2"/>
      <selection pane="topRight" activeCell="B1" sqref="B1"/>
      <selection pane="bottomRight" activeCell="A2" sqref="A2"/>
    </sheetView>
  </sheetViews>
  <sheetFormatPr defaultColWidth="13.98828125" defaultRowHeight="15" x14ac:dyDescent="0.2"/>
  <cols>
    <col min="1" max="1" width="24.2109375" bestFit="1" customWidth="1"/>
    <col min="2" max="42" width="13.988281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">
      <c r="A145" s="1"/>
    </row>
    <row r="146" spans="1:42" x14ac:dyDescent="0.2">
      <c r="A146" s="1"/>
    </row>
    <row r="147" spans="1:42" x14ac:dyDescent="0.2">
      <c r="A147" s="1"/>
    </row>
    <row r="148" spans="1:42" x14ac:dyDescent="0.2">
      <c r="A148" s="1"/>
    </row>
    <row r="149" spans="1:42" x14ac:dyDescent="0.2">
      <c r="A149" s="1"/>
    </row>
    <row r="150" spans="1:42" x14ac:dyDescent="0.2">
      <c r="A150" s="1"/>
    </row>
    <row r="151" spans="1:42" x14ac:dyDescent="0.2">
      <c r="A151" s="1"/>
    </row>
    <row r="152" spans="1:42" x14ac:dyDescent="0.2">
      <c r="A152" s="1"/>
    </row>
    <row r="153" spans="1:42" x14ac:dyDescent="0.2">
      <c r="A153" s="1"/>
    </row>
    <row r="154" spans="1:42" x14ac:dyDescent="0.2">
      <c r="A154" s="1"/>
    </row>
    <row r="155" spans="1:42" x14ac:dyDescent="0.2">
      <c r="A155" s="1"/>
    </row>
    <row r="156" spans="1:42" x14ac:dyDescent="0.2">
      <c r="A156" s="1"/>
    </row>
    <row r="157" spans="1:42" x14ac:dyDescent="0.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453125" defaultRowHeight="15" x14ac:dyDescent="0.2"/>
  <cols>
    <col min="1" max="1" width="1.20703125" style="10" customWidth="1"/>
    <col min="2" max="2" width="18.83203125" style="10" bestFit="1" customWidth="1"/>
    <col min="3" max="3" width="20.3125" style="10" customWidth="1"/>
    <col min="4" max="4" width="9.14453125" style="10"/>
    <col min="5" max="5" width="1.20703125" style="10" customWidth="1"/>
    <col min="6" max="6" width="9.14453125" style="10"/>
    <col min="7" max="7" width="27.57421875" style="10" bestFit="1" customWidth="1"/>
    <col min="8" max="8" width="2.6875" style="10" customWidth="1"/>
    <col min="9" max="9" width="1.20703125" style="10" customWidth="1"/>
    <col min="10" max="16384" width="9.14453125" style="10"/>
  </cols>
  <sheetData>
    <row r="1" spans="2:27" ht="7.5" customHeight="1" x14ac:dyDescent="0.2"/>
    <row r="2" spans="2:27" ht="15.75" thickBot="1" x14ac:dyDescent="0.2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">
      <c r="B3" s="42"/>
      <c r="C3" s="43"/>
      <c r="D3" s="44"/>
      <c r="F3" s="42"/>
      <c r="G3" s="43"/>
      <c r="H3" s="44"/>
    </row>
    <row r="4" spans="2:27" x14ac:dyDescent="0.2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">
      <c r="B11" s="54"/>
      <c r="C11" s="43"/>
      <c r="D11" s="44"/>
      <c r="F11" s="51"/>
      <c r="G11" s="52"/>
      <c r="H11" s="53"/>
    </row>
    <row r="12" spans="2:27" ht="15" customHeight="1" x14ac:dyDescent="0.2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x14ac:dyDescent="0.2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C1" zoomScaleNormal="100" workbookViewId="0">
      <selection activeCell="H78" sqref="H78"/>
    </sheetView>
  </sheetViews>
  <sheetFormatPr defaultColWidth="9.14453125" defaultRowHeight="15" x14ac:dyDescent="0.2"/>
  <cols>
    <col min="1" max="1" width="4.83984375" style="3" customWidth="1"/>
    <col min="2" max="2" width="6.1875" style="3" customWidth="1"/>
    <col min="3" max="3" width="11.703125" style="3" bestFit="1" customWidth="1"/>
    <col min="4" max="4" width="9.01171875" style="4" customWidth="1"/>
    <col min="5" max="5" width="22.59765625" style="5" customWidth="1"/>
    <col min="6" max="7" width="4.3046875" style="6" customWidth="1"/>
    <col min="8" max="8" width="22.59765625" style="7" customWidth="1"/>
    <col min="9" max="9" width="3.49609375" style="2" customWidth="1"/>
    <col min="10" max="10" width="19.50390625" style="8" customWidth="1"/>
    <col min="11" max="14" width="5.51171875" style="9" customWidth="1"/>
    <col min="15" max="15" width="7.6640625" style="9" customWidth="1"/>
    <col min="16" max="16" width="6.72265625" style="9" customWidth="1"/>
    <col min="17" max="17" width="3.49609375" style="68" customWidth="1"/>
    <col min="18" max="18" width="15.46875" style="123" hidden="1" customWidth="1"/>
    <col min="19" max="20" width="16.0078125" style="127" hidden="1" customWidth="1"/>
    <col min="21" max="28" width="4.03515625" style="123" hidden="1" customWidth="1"/>
    <col min="29" max="29" width="4.3046875" style="124" hidden="1" customWidth="1"/>
    <col min="30" max="30" width="5.51171875" style="123" hidden="1" customWidth="1"/>
    <col min="31" max="31" width="13.44921875" style="124" hidden="1" customWidth="1"/>
    <col min="32" max="36" width="5.51171875" style="123" hidden="1" customWidth="1"/>
    <col min="37" max="39" width="6.05078125" style="123" hidden="1" customWidth="1"/>
    <col min="40" max="40" width="5.51171875" style="123" hidden="1" customWidth="1"/>
    <col min="41" max="42" width="6.05078125" style="123" hidden="1" customWidth="1"/>
    <col min="43" max="43" width="7.12890625" style="125" hidden="1" customWidth="1"/>
    <col min="44" max="44" width="9.953125" style="125" hidden="1" customWidth="1"/>
    <col min="45" max="45" width="15.33203125" style="125" hidden="1" customWidth="1"/>
    <col min="46" max="50" width="4.70703125" style="126" hidden="1" customWidth="1"/>
    <col min="51" max="51" width="9.14453125" style="125" hidden="1" customWidth="1"/>
    <col min="52" max="61" width="9.14453125" style="126" hidden="1" customWidth="1"/>
    <col min="62" max="62" width="9.14453125" style="112" hidden="1" customWidth="1"/>
    <col min="63" max="63" width="3.2265625" style="2" customWidth="1"/>
    <col min="64" max="64" width="19.7734375" style="2" customWidth="1"/>
    <col min="65" max="67" width="2.95703125" style="2" customWidth="1"/>
    <col min="68" max="69" width="2.015625" style="111" customWidth="1"/>
    <col min="70" max="70" width="3.2265625" style="2" customWidth="1"/>
    <col min="71" max="71" width="19.7734375" style="2" customWidth="1"/>
    <col min="72" max="74" width="2.95703125" style="2" customWidth="1"/>
    <col min="75" max="76" width="2.015625" style="111" customWidth="1"/>
    <col min="77" max="77" width="4.03515625" style="2" customWidth="1"/>
    <col min="78" max="78" width="19.7734375" style="2" customWidth="1"/>
    <col min="79" max="81" width="2.95703125" style="2" customWidth="1"/>
    <col min="82" max="83" width="2.015625" style="111" customWidth="1"/>
    <col min="84" max="84" width="3.765625" style="2" customWidth="1"/>
    <col min="85" max="85" width="19.7734375" style="2" customWidth="1"/>
    <col min="86" max="88" width="2.95703125" style="2" customWidth="1"/>
    <col min="89" max="90" width="2.015625" style="111" customWidth="1"/>
    <col min="91" max="91" width="3.765625" style="2" customWidth="1"/>
    <col min="92" max="92" width="19.7734375" style="2" customWidth="1"/>
    <col min="93" max="95" width="2.95703125" style="2" customWidth="1"/>
    <col min="96" max="96" width="2.015625" style="111" customWidth="1"/>
    <col min="97" max="16384" width="9.14453125" style="2"/>
  </cols>
  <sheetData>
    <row r="1" spans="1:95" ht="46.5" x14ac:dyDescent="0.2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"/>
    <row r="5" spans="1:95" x14ac:dyDescent="0.2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1</v>
      </c>
      <c r="AL8" s="123">
        <f>AI8-AJ8</f>
        <v>4</v>
      </c>
      <c r="AM8" s="123">
        <f>AL8-AL12</f>
        <v>6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90000009.40560241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5 - 1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3</v>
      </c>
      <c r="AJ9" s="123">
        <f>SUMIF($E$7:$E$78,$AE9,$G$7:$G$78) + SUMIF($H$7:$H$78,$AE9,$F$7:$F$78)</f>
        <v>5</v>
      </c>
      <c r="AL9" s="123">
        <f>AI9-AJ9</f>
        <v>-2</v>
      </c>
      <c r="AM9" s="123">
        <f>AL9-AL12</f>
        <v>0</v>
      </c>
      <c r="AN9" s="123">
        <f>AF9*3+AG9</f>
        <v>2</v>
      </c>
      <c r="AO9" s="123">
        <f>AN9/AN12*10+BA9</f>
        <v>2.9853836784409258</v>
      </c>
      <c r="AP9" s="123">
        <f>AO9*10000000+BI9*100+AM9/AM12*10+AI9/AI12*1++IF(AQ9=0,ROW(),AQ9)/2000000</f>
        <v>29853935.349640254</v>
      </c>
      <c r="AQ9" s="126">
        <f>VLOOKUP(AE9,db_fifarank,2,FALSE)</f>
        <v>1429.73</v>
      </c>
      <c r="AR9" s="125">
        <f>AP9/AP12</f>
        <v>0.33171035442215768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2</v>
      </c>
      <c r="AV9" s="126" cm="1">
        <f t="array" ref="AV9">SUMPRODUCT(($E$7:$E$78=AE9)*($U$7:$U$78)*($F$7:$F$78))+SUMPRODUCT(($H$7:$H$78=AE9)*($U$7:$U$78)*($G$7:$G$78))</f>
        <v>3</v>
      </c>
      <c r="AW9" s="126" cm="1">
        <f t="array" ref="AW9">SUMPRODUCT(($E$7:$E$78=AE9)*($U$7:$U$78)*($G$7:$G$78))+SUMPRODUCT(($H$7:$H$78=AE9)*($U$7:$U$78)*($F$7:$F$78))</f>
        <v>3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67.416666666666657</v>
      </c>
      <c r="BA9" s="126">
        <f>AZ9/AZ12</f>
        <v>0.98538367844092567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2</v>
      </c>
      <c r="BE9" s="126" cm="1">
        <f t="array" ref="BE9">SUMPRODUCT(($E$7:$E$78=AE9)*($X$7:$X$78)*($G$7:$G$78))+SUMPRODUCT(($H$7:$H$78=AE9)*($X$7:$X$78)*($F$7:$F$78))</f>
        <v>2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50.666666666666664</v>
      </c>
      <c r="BI9" s="126">
        <f>BH9/BH12</f>
        <v>0.98064516129032253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0</v>
      </c>
      <c r="M10" s="23">
        <f>VLOOKUP(2,AD8:AN11,4,FALSE)</f>
        <v>2</v>
      </c>
      <c r="N10" s="23">
        <f>VLOOKUP(2,AD8:AN11,5,FALSE)</f>
        <v>1</v>
      </c>
      <c r="O10" s="23" t="str">
        <f>VLOOKUP(2,AD8:AN11,6,FALSE) &amp; " - " &amp; VLOOKUP(2,AD8:AN11,7,FALSE)</f>
        <v>4 - 5</v>
      </c>
      <c r="P10" s="34">
        <f>L10*3+M10</f>
        <v>2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2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5</v>
      </c>
      <c r="AL10" s="123">
        <f>AI10-AJ10</f>
        <v>-1</v>
      </c>
      <c r="AM10" s="123">
        <f>AL10-AL12</f>
        <v>1</v>
      </c>
      <c r="AN10" s="123">
        <f>AF10*3+AG10</f>
        <v>2</v>
      </c>
      <c r="AO10" s="123">
        <f>AN10/AN12*10+BA10</f>
        <v>2.9853836784409258</v>
      </c>
      <c r="AP10" s="123">
        <f>AO10*10000000+BI10*100+AM10/AM12*10+AI10/AI12*1++IF(AQ10=0,ROW(),AQ10)/2000000</f>
        <v>29853936.944957815</v>
      </c>
      <c r="AQ10" s="126">
        <f>VLOOKUP(AE10,db_fifarank,2,FALSE)</f>
        <v>1588.66</v>
      </c>
      <c r="AR10" s="125">
        <f>AP10/AP12</f>
        <v>0.33171037214790627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2</v>
      </c>
      <c r="AV10" s="126" cm="1">
        <f t="array" ref="AV10">SUMPRODUCT(($E$7:$E$78=AE10)*($U$7:$U$78)*($F$7:$F$78))+SUMPRODUCT(($H$7:$H$78=AE10)*($U$7:$U$78)*($G$7:$G$78))</f>
        <v>3</v>
      </c>
      <c r="AW10" s="126" cm="1">
        <f t="array" ref="AW10">SUMPRODUCT(($E$7:$E$78=AE10)*($U$7:$U$78)*($G$7:$G$78))+SUMPRODUCT(($H$7:$H$78=AE10)*($U$7:$U$78)*($F$7:$F$78))</f>
        <v>3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67.416666666666657</v>
      </c>
      <c r="BA10" s="126">
        <f>AZ10/AZ12</f>
        <v>0.98538367844092567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2</v>
      </c>
      <c r="BE10" s="126" cm="1">
        <f t="array" ref="BE10">SUMPRODUCT(($E$7:$E$78=AE10)*($X$7:$X$78)*($G$7:$G$78))+SUMPRODUCT(($H$7:$H$78=AE10)*($X$7:$X$78)*($F$7:$F$78))</f>
        <v>2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50.666666666666664</v>
      </c>
      <c r="BI10" s="126">
        <f>BH10/BH12</f>
        <v>0.98064516129032253</v>
      </c>
      <c r="BK10" s="141">
        <v>74</v>
      </c>
      <c r="BL10" s="24" t="str">
        <f>AS32</f>
        <v>Ivory Coast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1</v>
      </c>
      <c r="G11" s="20">
        <v>1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3 - 5</v>
      </c>
      <c r="P11" s="34">
        <f>L11*3+M11</f>
        <v>2</v>
      </c>
      <c r="R11" s="123">
        <f>DATE(2026,6,13)+TIME(14,0,0)+gmt_delta</f>
        <v>46187.041666666672</v>
      </c>
      <c r="S11" s="127" t="str">
        <f t="shared" si="1"/>
        <v>Haiti_draw</v>
      </c>
      <c r="T11" s="127" t="str">
        <f t="shared" si="2"/>
        <v>Scotland_draw</v>
      </c>
      <c r="U11" s="123">
        <f t="shared" si="8"/>
        <v>1</v>
      </c>
      <c r="V11" s="123">
        <f t="shared" si="3"/>
        <v>1</v>
      </c>
      <c r="W11" s="123">
        <f t="shared" si="4"/>
        <v>1</v>
      </c>
      <c r="X11" s="123">
        <f t="shared" si="9"/>
        <v>1</v>
      </c>
      <c r="Y11" s="123">
        <f t="shared" si="10"/>
        <v>1</v>
      </c>
      <c r="Z11" s="123">
        <f t="shared" si="11"/>
        <v>1</v>
      </c>
      <c r="AA11" s="123">
        <f t="shared" si="5"/>
        <v>0</v>
      </c>
      <c r="AB11" s="123">
        <f t="shared" si="6"/>
        <v>0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1</v>
      </c>
      <c r="AN11" s="123">
        <f>AF11*3+AG11</f>
        <v>2</v>
      </c>
      <c r="AO11" s="123">
        <f>AN11/AN12*10+BA11</f>
        <v>2.9817295980511571</v>
      </c>
      <c r="AP11" s="123">
        <f>AO11*10000000+BI11*100+AM11/AM12*10+AI11/AI12*1++IF(AQ11=0,ROW(),AQ11)/2000000</f>
        <v>29817297.743167024</v>
      </c>
      <c r="AQ11" s="126">
        <f>VLOOKUP(AE11,db_fifarank,2,FALSE)</f>
        <v>1501.38</v>
      </c>
      <c r="AR11" s="125">
        <f>AP11/AP12</f>
        <v>0.33130326995285464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2</v>
      </c>
      <c r="AV11" s="126" cm="1">
        <f t="array" ref="AV11">SUMPRODUCT(($E$7:$E$78=AE11)*($U$7:$U$78)*($F$7:$F$78))+SUMPRODUCT(($H$7:$H$78=AE11)*($U$7:$U$78)*($G$7:$G$78))</f>
        <v>2</v>
      </c>
      <c r="AW11" s="126" cm="1">
        <f t="array" ref="AW11">SUMPRODUCT(($E$7:$E$78=AE11)*($U$7:$U$78)*($G$7:$G$78))+SUMPRODUCT(($H$7:$H$78=AE11)*($U$7:$U$78)*($F$7:$F$78))</f>
        <v>2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67.166666666666657</v>
      </c>
      <c r="BA11" s="126">
        <f>AZ11/AZ12</f>
        <v>0.98172959805115712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Australia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2</v>
      </c>
      <c r="N12" s="36">
        <f>VLOOKUP(4,AD8:AN11,5,FALSE)</f>
        <v>1</v>
      </c>
      <c r="O12" s="36" t="str">
        <f>VLOOKUP(4,AD8:AN11,6,FALSE) &amp; " - " &amp; VLOOKUP(4,AD8:AN11,7,FALSE)</f>
        <v>2 - 3</v>
      </c>
      <c r="P12" s="37">
        <f>L12*3+M12</f>
        <v>2</v>
      </c>
      <c r="R12" s="123">
        <f>DATE(2026,6,13)+TIME(17,0,0)+gmt_delta</f>
        <v>46187.166666666672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1</v>
      </c>
      <c r="V12" s="123">
        <f t="shared" si="3"/>
        <v>1</v>
      </c>
      <c r="W12" s="123">
        <f t="shared" si="4"/>
        <v>1</v>
      </c>
      <c r="X12" s="123">
        <f t="shared" si="9"/>
        <v>1</v>
      </c>
      <c r="Y12" s="123">
        <f t="shared" si="10"/>
        <v>1</v>
      </c>
      <c r="Z12" s="123">
        <f t="shared" si="11"/>
        <v>1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2</v>
      </c>
      <c r="AI12" s="123">
        <f>MAX(AI8:AI11)+1</f>
        <v>6</v>
      </c>
      <c r="AL12" s="123">
        <f>MIN(AL8:AL11)</f>
        <v>-2</v>
      </c>
      <c r="AM12" s="123">
        <f>MAX(AM8:AM11)+1</f>
        <v>7</v>
      </c>
      <c r="AN12" s="123">
        <f>MAX(AN8:AN11)+1</f>
        <v>10</v>
      </c>
      <c r="AO12" s="123">
        <f>MAX(AO8:AO11)+1</f>
        <v>10</v>
      </c>
      <c r="AP12" s="123">
        <f>MAX(AP8:AP11)+1</f>
        <v>90000010.40560241</v>
      </c>
      <c r="AT12" s="126">
        <f>MAX(AT8:AT11)-MIN(AT8:AT11)+1</f>
        <v>1</v>
      </c>
      <c r="AU12" s="126">
        <f>MAX(AU8:AU11)-MIN(AU8:AU11)+1</f>
        <v>3</v>
      </c>
      <c r="AV12" s="126">
        <f>MAX(AV8:AV11)-MIN(AV8:AV11)+1</f>
        <v>4</v>
      </c>
      <c r="AW12" s="126">
        <f>MAX(AW8:AW11)-MIN(AW8:AW11)+1</f>
        <v>4</v>
      </c>
      <c r="AY12" s="126">
        <f>MAX(AY8:AY11)-MIN(AY8:AY11)+1</f>
        <v>1</v>
      </c>
      <c r="AZ12" s="126">
        <f>MAX(AZ8:AZ11)+1</f>
        <v>68.416666666666657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3</v>
      </c>
      <c r="BE12" s="126">
        <f>MAX(BE8:BE11)-MIN(BE8:BE11)+1</f>
        <v>3</v>
      </c>
      <c r="BG12" s="126">
        <f>MAX(BG8:BG11)-MIN(BG8:BG11)+1</f>
        <v>1</v>
      </c>
      <c r="BH12" s="126">
        <f>MAX(BH8:BH11)+1</f>
        <v>51.666666666666664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Ivory Coast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5</v>
      </c>
      <c r="AL14" s="123">
        <f>AI14-AJ14</f>
        <v>-1</v>
      </c>
      <c r="AM14" s="123">
        <f>AL14-AL18</f>
        <v>2</v>
      </c>
      <c r="AN14" s="123">
        <f>AF14*3+AG14</f>
        <v>4</v>
      </c>
      <c r="AO14" s="123">
        <f>AN14/AN18*10+BA14</f>
        <v>4</v>
      </c>
      <c r="AP14" s="123">
        <f>AO14*10000000+BI14*100+AM14/AM18*10+AI14/AI18*1++IF(AQ14=0,ROW(),AQ14)/2000000</f>
        <v>40000002.500778243</v>
      </c>
      <c r="AQ14" s="126">
        <f>VLOOKUP(AE14,db_fifarank,2,FALSE)</f>
        <v>1556.48</v>
      </c>
      <c r="AR14" s="125">
        <f>AP14/AP18</f>
        <v>0.44444441852309619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7 - 1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2</v>
      </c>
      <c r="AH15" s="123">
        <f>COUNTIF($S$7:$T$78,"=" &amp; AE15 &amp; "_lose")</f>
        <v>1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4</v>
      </c>
      <c r="AL15" s="123">
        <f>AI15-AJ15</f>
        <v>-2</v>
      </c>
      <c r="AM15" s="123">
        <f>AL15-AL18</f>
        <v>1</v>
      </c>
      <c r="AN15" s="123">
        <f>AF15*3+AG15</f>
        <v>2</v>
      </c>
      <c r="AO15" s="123">
        <f>AN15/AN18*10+BA15</f>
        <v>2</v>
      </c>
      <c r="AP15" s="123">
        <f>AO15*10000000+BI15*100+AM15/AM18*10+AI15/AI18*1++IF(AQ15=0,ROW(),AQ15)/2000000</f>
        <v>20000001.250692919</v>
      </c>
      <c r="AQ15" s="126">
        <f>VLOOKUP(AE15,db_fifarank,2,FALSE)</f>
        <v>1385.84</v>
      </c>
      <c r="AR15" s="125">
        <f>AP15/AP18</f>
        <v>0.22222220926492361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Uruguay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1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4 - 5</v>
      </c>
      <c r="P16" s="34">
        <f>L16*3+M16</f>
        <v>4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3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</v>
      </c>
      <c r="AP16" s="123">
        <f>AO16*10000000+BI16*100+AM16/AM18*10+AI16/AI18*1++IF(AQ16=0,ROW(),AQ16)/2000000</f>
        <v>10000000.00072748</v>
      </c>
      <c r="AQ16" s="126">
        <f>VLOOKUP(AE16,db_fifarank,2,FALSE)</f>
        <v>1454.96</v>
      </c>
      <c r="AR16" s="125">
        <f>AP16/AP18</f>
        <v>0.11111109769225176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2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2 - 4</v>
      </c>
      <c r="P17" s="34">
        <f>L17*3+M17</f>
        <v>2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1</v>
      </c>
      <c r="AL17" s="123">
        <f>AI17-AJ17</f>
        <v>6</v>
      </c>
      <c r="AM17" s="123">
        <f>AL17-AL18</f>
        <v>9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90000009.875824705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0 - 3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1</v>
      </c>
      <c r="W18" s="123">
        <f t="shared" si="4"/>
        <v>1</v>
      </c>
      <c r="X18" s="123">
        <f t="shared" si="9"/>
        <v>1</v>
      </c>
      <c r="Y18" s="123">
        <f t="shared" si="10"/>
        <v>1</v>
      </c>
      <c r="Z18" s="123">
        <f t="shared" si="11"/>
        <v>1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3</v>
      </c>
      <c r="AI18" s="123">
        <f>MAX(AI14:AI17)+1</f>
        <v>8</v>
      </c>
      <c r="AL18" s="123">
        <f>MIN(AL14:AL17)</f>
        <v>-3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90000010.875824705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2</v>
      </c>
      <c r="BN18" s="63">
        <v>0</v>
      </c>
      <c r="BO18" s="25">
        <v>1</v>
      </c>
      <c r="BP18" s="112">
        <f>IF(OR(BM18="",BM19="",AND(BN18="",BN19&lt;&gt;""),AND(BN19="",BN18&lt;&gt;""),AND(BO18="",BO19&lt;&gt;""),AND(BO19="",BO18&lt;&gt;"")),"",BM18*1000+BN18*10+BO18)</f>
        <v>2001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1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1</v>
      </c>
      <c r="V19" s="123">
        <f t="shared" si="3"/>
        <v>1</v>
      </c>
      <c r="W19" s="123">
        <f t="shared" si="4"/>
        <v>1</v>
      </c>
      <c r="X19" s="123">
        <f t="shared" si="9"/>
        <v>1</v>
      </c>
      <c r="Y19" s="123">
        <f t="shared" si="10"/>
        <v>1</v>
      </c>
      <c r="Z19" s="123">
        <f t="shared" si="11"/>
        <v>1</v>
      </c>
      <c r="AA19" s="123">
        <f t="shared" si="5"/>
        <v>0</v>
      </c>
      <c r="AB19" s="123">
        <f t="shared" si="6"/>
        <v>0</v>
      </c>
      <c r="BK19" s="142"/>
      <c r="BL19" s="26" t="str">
        <f>AS15</f>
        <v>Canada</v>
      </c>
      <c r="BM19" s="62">
        <v>2</v>
      </c>
      <c r="BN19" s="64">
        <v>0</v>
      </c>
      <c r="BO19" s="27">
        <v>0</v>
      </c>
      <c r="BP19" s="113">
        <f>IF(BP18="","",BM19*1000+BN19*10+BO19)</f>
        <v>2000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2</v>
      </c>
      <c r="AL20" s="123">
        <f>AI20-AJ20</f>
        <v>4</v>
      </c>
      <c r="AM20" s="123">
        <f>AL20-AL24</f>
        <v>8</v>
      </c>
      <c r="AN20" s="123">
        <f>AF20*3+AG20</f>
        <v>7</v>
      </c>
      <c r="AO20" s="123">
        <f>AN20/AN24*10+BA20</f>
        <v>9.7401960784313726</v>
      </c>
      <c r="AP20" s="123">
        <f>AO20*10000000+BI20*100+AM20/AM24*10+AI20/AI24*1++IF(AQ20=0,ROW(),AQ20)/2000000</f>
        <v>97402069.550833896</v>
      </c>
      <c r="AQ20" s="126">
        <f>VLOOKUP(AE20,db_fifarank,2,FALSE)</f>
        <v>1761.16</v>
      </c>
      <c r="AR20" s="125">
        <f>AP20/AP24</f>
        <v>0.99999998973327775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101</v>
      </c>
      <c r="BA20" s="126">
        <f>AZ20/AZ24</f>
        <v>0.99019607843137258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101</v>
      </c>
      <c r="BI20" s="126">
        <f>BH20/BH24</f>
        <v>0.99019607843137258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6 - 2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1</v>
      </c>
      <c r="AL21" s="123">
        <f>AI21-AJ21</f>
        <v>4</v>
      </c>
      <c r="AM21" s="123">
        <f>AL21-AL24</f>
        <v>8</v>
      </c>
      <c r="AN21" s="123">
        <f>AF21*3+AG21</f>
        <v>7</v>
      </c>
      <c r="AO21" s="123">
        <f>AN21/AN24*10+BA21</f>
        <v>9.7401960784313726</v>
      </c>
      <c r="AP21" s="123">
        <f>AO21*10000000+BI21*100+AM21/AM24*10+AI21/AI24*1++IF(AQ21=0,ROW(),AQ21)/2000000</f>
        <v>97402069.407974109</v>
      </c>
      <c r="AQ21" s="126">
        <f>VLOOKUP(AE21,db_fifarank,2,FALSE)</f>
        <v>1755.87</v>
      </c>
      <c r="AR21" s="125">
        <f>AP21/AP24</f>
        <v>0.9999999882665761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101</v>
      </c>
      <c r="BA21" s="126">
        <f>AZ21/AZ24</f>
        <v>0.99019607843137258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101</v>
      </c>
      <c r="BI21" s="126">
        <f>BH21/BH24</f>
        <v>0.99019607843137258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5 - 1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3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2</v>
      </c>
      <c r="AJ22" s="123">
        <f>SUMIF($E$7:$E$78,$AE22,$G$7:$G$78) + SUMIF($H$7:$H$78,$AE22,$F$7:$F$78)</f>
        <v>6</v>
      </c>
      <c r="AL22" s="123">
        <f>AI22-AJ22</f>
        <v>-4</v>
      </c>
      <c r="AM22" s="123">
        <f>AL22-AL24</f>
        <v>0</v>
      </c>
      <c r="AN22" s="123">
        <f>AF22*3+AG22</f>
        <v>1</v>
      </c>
      <c r="AO22" s="123">
        <f>AN22/AN24*10+BA22</f>
        <v>2.2401960784313726</v>
      </c>
      <c r="AP22" s="123">
        <f>AO22*10000000+BI22*100+AM22/AM24*10+AI22/AI24*1++IF(AQ22=0,ROW(),AQ22)/2000000</f>
        <v>22402060.09028171</v>
      </c>
      <c r="AQ22" s="126">
        <f>VLOOKUP(AE22,db_fifarank,2,FALSE)</f>
        <v>1291.71</v>
      </c>
      <c r="AR22" s="125">
        <f>AP22/AP24</f>
        <v>0.22999572764308054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1</v>
      </c>
      <c r="AV22" s="126" cm="1">
        <f t="array" ref="AV22">SUMPRODUCT(($E$7:$E$78=AE22)*($U$7:$U$78)*($F$7:$F$78))+SUMPRODUCT(($H$7:$H$78=AE22)*($U$7:$U$78)*($G$7:$G$78))</f>
        <v>1</v>
      </c>
      <c r="AW22" s="126" cm="1">
        <f t="array" ref="AW22">SUMPRODUCT(($E$7:$E$78=AE22)*($U$7:$U$78)*($G$7:$G$78))+SUMPRODUCT(($H$7:$H$78=AE22)*($U$7:$U$78)*($F$7:$F$78))</f>
        <v>1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101</v>
      </c>
      <c r="BA22" s="126">
        <f>AZ22/AZ24</f>
        <v>0.99019607843137258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1</v>
      </c>
      <c r="BD22" s="126" cm="1">
        <f t="array" ref="BD22">SUMPRODUCT(($E$7:$E$78=AE22)*($X$7:$X$78)*($F$7:$F$78))+SUMPRODUCT(($H$7:$H$78=AE22)*($X$7:$X$78)*($G$7:$G$78))</f>
        <v>1</v>
      </c>
      <c r="BE22" s="126" cm="1">
        <f t="array" ref="BE22">SUMPRODUCT(($E$7:$E$78=AE22)*($X$7:$X$78)*($G$7:$G$78))+SUMPRODUCT(($H$7:$H$78=AE22)*($X$7:$X$78)*($F$7:$F$78))</f>
        <v>1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101</v>
      </c>
      <c r="BI22" s="126">
        <f>BH22/BH24</f>
        <v>0.99019607843137258</v>
      </c>
      <c r="BK22" s="141">
        <v>75</v>
      </c>
      <c r="BL22" s="24" t="str">
        <f>AS38</f>
        <v>Netherlands</v>
      </c>
      <c r="BM22" s="61">
        <v>1</v>
      </c>
      <c r="BN22" s="63">
        <v>0</v>
      </c>
      <c r="BO22" s="25">
        <v>1</v>
      </c>
      <c r="BP22" s="116">
        <f>IF(OR(BM22="",BM23="",AND(BN22="",BN23&lt;&gt;""),AND(BN23="",BN22&lt;&gt;""),AND(BO22="",BO23&lt;&gt;""),AND(BO23="",BO22&lt;&gt;"")),"",BM22*1000+BN22*10+BO22)</f>
        <v>1001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Haiti</v>
      </c>
      <c r="K23" s="23">
        <f>L23+M23+N23</f>
        <v>3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2</v>
      </c>
      <c r="O23" s="23" t="str">
        <f>VLOOKUP(3,AD20:AN23,6,FALSE) &amp; " - " &amp; VLOOKUP(3,AD20:AN23,7,FALSE)</f>
        <v>2 - 6</v>
      </c>
      <c r="P23" s="34">
        <f>L23*3+M23</f>
        <v>1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4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1</v>
      </c>
      <c r="AH23" s="123">
        <f>COUNTIF($S$7:$T$78,"=" &amp; AE23 &amp; "_lose")</f>
        <v>2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5</v>
      </c>
      <c r="AL23" s="123">
        <f>AI23-AJ23</f>
        <v>-4</v>
      </c>
      <c r="AM23" s="123">
        <f>AL23-AL24</f>
        <v>0</v>
      </c>
      <c r="AN23" s="123">
        <f>AF23*3+AG23</f>
        <v>1</v>
      </c>
      <c r="AO23" s="123">
        <f>AN23/AN24*10+BA23</f>
        <v>2.2401960784313726</v>
      </c>
      <c r="AP23" s="123">
        <f>AO23*10000000+BI23*100+AM23/AM24*10+AI23/AI24*1++IF(AQ23=0,ROW(),AQ23)/2000000</f>
        <v>22402059.947527885</v>
      </c>
      <c r="AQ23" s="126">
        <f>VLOOKUP(AE23,db_fifarank,2,FALSE)</f>
        <v>1498.35</v>
      </c>
      <c r="AR23" s="125">
        <f>AP23/AP24</f>
        <v>0.22999572617746669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101</v>
      </c>
      <c r="BA23" s="126">
        <f>AZ23/AZ24</f>
        <v>0.99019607843137258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101</v>
      </c>
      <c r="BI23" s="126">
        <f>BH23/BH24</f>
        <v>0.99019607843137258</v>
      </c>
      <c r="BK23" s="142"/>
      <c r="BL23" s="26" t="str">
        <f>AS21</f>
        <v>Morocco</v>
      </c>
      <c r="BM23" s="62">
        <v>1</v>
      </c>
      <c r="BN23" s="64">
        <v>0</v>
      </c>
      <c r="BO23" s="27">
        <v>0</v>
      </c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2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5</v>
      </c>
      <c r="H24" s="80" t="str">
        <f>AE59</f>
        <v>Norway</v>
      </c>
      <c r="J24" s="35" t="str">
        <f>VLOOKUP(4,AD20:AN23,2,FALSE)</f>
        <v>Scotland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1 - 5</v>
      </c>
      <c r="P24" s="37">
        <f>L24*3+M24</f>
        <v>1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1</v>
      </c>
      <c r="AH24" s="123">
        <f t="shared" si="14"/>
        <v>3</v>
      </c>
      <c r="AI24" s="123">
        <f>MAX(AI20:AI23)+1</f>
        <v>7</v>
      </c>
      <c r="AL24" s="123">
        <f>MIN(AL20:AL23)</f>
        <v>-4</v>
      </c>
      <c r="AM24" s="123">
        <f>MAX(AM20:AM23)+1</f>
        <v>9</v>
      </c>
      <c r="AN24" s="123">
        <f>MAX(AN20:AN23)+1</f>
        <v>8</v>
      </c>
      <c r="AO24" s="123">
        <f>MAX(AO20:AO23)+1</f>
        <v>10.740196078431373</v>
      </c>
      <c r="AP24" s="123">
        <f>MAX(AP20:AP23)+1</f>
        <v>97402070.550833896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102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102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3</v>
      </c>
      <c r="CI24" s="64"/>
      <c r="CJ24" s="27"/>
      <c r="CK24" s="113">
        <f>IF(CK23="","",CH24*1000+CI24*10+CJ24)</f>
        <v>3000</v>
      </c>
    </row>
    <row r="25" spans="1:95" x14ac:dyDescent="0.2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2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2</v>
      </c>
      <c r="AL26" s="123">
        <f>AI26-AJ26</f>
        <v>2</v>
      </c>
      <c r="AM26" s="123">
        <f>AL26-AL30</f>
        <v>7</v>
      </c>
      <c r="AN26" s="123">
        <f>AF26*3+AG26</f>
        <v>5</v>
      </c>
      <c r="AO26" s="123">
        <f>AN26/AN30*10+BA26</f>
        <v>9.3186991869918714</v>
      </c>
      <c r="AP26" s="123">
        <f>AO26*10000000+BI26*100+AM26/AM30*10+AI26/AI30*1++IF(AQ26=0,ROW(),AQ26)/2000000</f>
        <v>93187099.957340643</v>
      </c>
      <c r="AQ26" s="126">
        <f>VLOOKUP(AE26,db_fifarank,2,FALSE)</f>
        <v>1673.13</v>
      </c>
      <c r="AR26" s="125">
        <f>AP26/AP30</f>
        <v>0.9999999892689011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2</v>
      </c>
      <c r="AV26" s="126" cm="1">
        <f t="array" ref="AV26">SUMPRODUCT(($E$7:$E$78=AE26)*($U$7:$U$78)*($F$7:$F$78))+SUMPRODUCT(($H$7:$H$78=AE26)*($U$7:$U$78)*($G$7:$G$78))</f>
        <v>2</v>
      </c>
      <c r="AW26" s="126" cm="1">
        <f t="array" ref="AW26">SUMPRODUCT(($E$7:$E$78=AE26)*($U$7:$U$78)*($G$7:$G$78))+SUMPRODUCT(($H$7:$H$78=AE26)*($U$7:$U$78)*($F$7:$F$78))</f>
        <v>2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67.333333333333329</v>
      </c>
      <c r="BA26" s="126">
        <f>AZ26/AZ30</f>
        <v>0.98536585365853657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2</v>
      </c>
      <c r="BD26" s="126" cm="1">
        <f t="array" ref="BD26">SUMPRODUCT(($E$7:$E$78=AE26)*($X$7:$X$78)*($F$7:$F$78))+SUMPRODUCT(($H$7:$H$78=AE26)*($X$7:$X$78)*($G$7:$G$78))</f>
        <v>2</v>
      </c>
      <c r="BE26" s="126" cm="1">
        <f t="array" ref="BE26">SUMPRODUCT(($E$7:$E$78=AE26)*($X$7:$X$78)*($G$7:$G$78))+SUMPRODUCT(($H$7:$H$78=AE26)*($X$7:$X$78)*($F$7:$F$78))</f>
        <v>2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67.333333333333329</v>
      </c>
      <c r="BI26" s="126">
        <f>BH26/BH30</f>
        <v>0.98536585365853657</v>
      </c>
      <c r="BK26" s="141">
        <v>83</v>
      </c>
      <c r="BL26" s="24" t="str">
        <f>AS69</f>
        <v>Colombia</v>
      </c>
      <c r="BM26" s="61">
        <v>1</v>
      </c>
      <c r="BN26" s="63">
        <v>1</v>
      </c>
      <c r="BO26" s="25"/>
      <c r="BP26" s="112">
        <f>IF(OR(BM26="",BM27="",AND(BN26="",BN27&lt;&gt;""),AND(BN27="",BN26&lt;&gt;""),AND(BO26="",BO27&lt;&gt;""),AND(BO27="",BO26&lt;&gt;"")),"",BM26*1000+BN26*10+BO26)</f>
        <v>1010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4 - 2</v>
      </c>
      <c r="P27" s="32">
        <f>L27*3+M27</f>
        <v>5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6</v>
      </c>
      <c r="AL27" s="123">
        <f>AI27-AJ27</f>
        <v>-5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0.20075175000000001</v>
      </c>
      <c r="AQ27" s="126">
        <f>VLOOKUP(AE27,db_fifarank,2,FALSE)</f>
        <v>1503.5</v>
      </c>
      <c r="AR27" s="125">
        <f>AP27/AP30</f>
        <v>2.1542868909711067E-9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Ghana</v>
      </c>
      <c r="BM27" s="62">
        <v>1</v>
      </c>
      <c r="BN27" s="64">
        <v>0</v>
      </c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4 - 2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2</v>
      </c>
      <c r="AH28" s="123">
        <f>COUNTIF($S$7:$T$78,"=" &amp; AE28 &amp; "_lose")</f>
        <v>0</v>
      </c>
      <c r="AI28" s="123">
        <f>SUMIF($E$7:$E$78,$AE28,$F$7:$F$78) + SUMIF($H$7:$H$78,$AE28,$G$7:$G$78)</f>
        <v>4</v>
      </c>
      <c r="AJ28" s="123">
        <f>SUMIF($E$7:$E$78,$AE28,$G$7:$G$78) + SUMIF($H$7:$H$78,$AE28,$F$7:$F$78)</f>
        <v>3</v>
      </c>
      <c r="AL28" s="123">
        <f>AI28-AJ28</f>
        <v>1</v>
      </c>
      <c r="AM28" s="123">
        <f>AL28-AL30</f>
        <v>6</v>
      </c>
      <c r="AN28" s="123">
        <f>AF28*3+AG28</f>
        <v>5</v>
      </c>
      <c r="AO28" s="123">
        <f>AN28/AN30*10+BA28</f>
        <v>9.3186991869918714</v>
      </c>
      <c r="AP28" s="123">
        <f>AO28*10000000+BI28*100+AM28/AM30*10+AI28/AI30*1++IF(AQ28=0,ROW(),AQ28)/2000000</f>
        <v>93187098.707294405</v>
      </c>
      <c r="AQ28" s="126">
        <f>VLOOKUP(AE28,db_fifarank,2,FALSE)</f>
        <v>1580.67</v>
      </c>
      <c r="AR28" s="125">
        <f>AP28/AP30</f>
        <v>0.99999997585453115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2</v>
      </c>
      <c r="AV28" s="126" cm="1">
        <f t="array" ref="AV28">SUMPRODUCT(($E$7:$E$78=AE28)*($U$7:$U$78)*($F$7:$F$78))+SUMPRODUCT(($H$7:$H$78=AE28)*($U$7:$U$78)*($G$7:$G$78))</f>
        <v>2</v>
      </c>
      <c r="AW28" s="126" cm="1">
        <f t="array" ref="AW28">SUMPRODUCT(($E$7:$E$78=AE28)*($U$7:$U$78)*($G$7:$G$78))+SUMPRODUCT(($H$7:$H$78=AE28)*($U$7:$U$78)*($F$7:$F$78))</f>
        <v>2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67.333333333333329</v>
      </c>
      <c r="BA28" s="126">
        <f>AZ28/AZ30</f>
        <v>0.98536585365853657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2</v>
      </c>
      <c r="BD28" s="126" cm="1">
        <f t="array" ref="BD28">SUMPRODUCT(($E$7:$E$78=AE28)*($X$7:$X$78)*($F$7:$F$78))+SUMPRODUCT(($H$7:$H$78=AE28)*($X$7:$X$78)*($G$7:$G$78))</f>
        <v>2</v>
      </c>
      <c r="BE28" s="126" cm="1">
        <f t="array" ref="BE28">SUMPRODUCT(($E$7:$E$78=AE28)*($X$7:$X$78)*($G$7:$G$78))+SUMPRODUCT(($H$7:$H$78=AE28)*($X$7:$X$78)*($F$7:$F$78))</f>
        <v>2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67.333333333333329</v>
      </c>
      <c r="BI28" s="126">
        <f>BH28/BH30</f>
        <v>0.98536585365853657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1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2</v>
      </c>
      <c r="N29" s="23">
        <f>VLOOKUP(3,AD26:AN29,5,FALSE)</f>
        <v>0</v>
      </c>
      <c r="O29" s="23" t="str">
        <f>VLOOKUP(3,AD26:AN29,6,FALSE) &amp; " - " &amp; VLOOKUP(3,AD26:AN29,7,FALSE)</f>
        <v>4 - 3</v>
      </c>
      <c r="P29" s="34">
        <f>L29*3+M29</f>
        <v>5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2</v>
      </c>
      <c r="AL29" s="123">
        <f>AI29-AJ29</f>
        <v>2</v>
      </c>
      <c r="AM29" s="123">
        <f>AL29-AL30</f>
        <v>7</v>
      </c>
      <c r="AN29" s="123">
        <f>AF29*3+AG29</f>
        <v>5</v>
      </c>
      <c r="AO29" s="123">
        <f>AN29/AN30*10+BA29</f>
        <v>9.3186991869918714</v>
      </c>
      <c r="AP29" s="123">
        <f>AO29*10000000+BI29*100+AM29/AM30*10+AI29/AI30*1++IF(AQ29=0,ROW(),AQ29)/2000000</f>
        <v>93187099.957303599</v>
      </c>
      <c r="AQ29" s="126">
        <f>VLOOKUP(AE29,db_fifarank,2,FALSE)</f>
        <v>1599.04</v>
      </c>
      <c r="AR29" s="125">
        <f>AP29/AP30</f>
        <v>0.99999998926850353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2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67.333333333333329</v>
      </c>
      <c r="BA29" s="126">
        <f>AZ29/AZ30</f>
        <v>0.98536585365853657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2</v>
      </c>
      <c r="BD29" s="126" cm="1">
        <f t="array" ref="BD29">SUMPRODUCT(($E$7:$E$78=AE29)*($X$7:$X$78)*($F$7:$F$78))+SUMPRODUCT(($H$7:$H$78=AE29)*($X$7:$X$78)*($G$7:$G$78))</f>
        <v>2</v>
      </c>
      <c r="BE29" s="126" cm="1">
        <f t="array" ref="BE29">SUMPRODUCT(($E$7:$E$78=AE29)*($X$7:$X$78)*($G$7:$G$78))+SUMPRODUCT(($H$7:$H$78=AE29)*($X$7:$X$78)*($F$7:$F$78))</f>
        <v>2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67.333333333333329</v>
      </c>
      <c r="BI29" s="126">
        <f>BH29/BH30</f>
        <v>0.98536585365853657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1 - 6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3</v>
      </c>
      <c r="AH30" s="123">
        <f t="shared" si="15"/>
        <v>4</v>
      </c>
      <c r="AI30" s="123">
        <f>MAX(AI26:AI29)+1</f>
        <v>5</v>
      </c>
      <c r="AL30" s="123">
        <f>MIN(AL26:AL29)</f>
        <v>-5</v>
      </c>
      <c r="AM30" s="123">
        <f>MAX(AM26:AM29)+1</f>
        <v>8</v>
      </c>
      <c r="AN30" s="123">
        <f>MAX(AN26:AN29)+1</f>
        <v>6</v>
      </c>
      <c r="AO30" s="123">
        <f>MAX(AO26:AO29)+1</f>
        <v>10.318699186991871</v>
      </c>
      <c r="AP30" s="123">
        <f>MAX(AP26:AP29)+1</f>
        <v>93187100.957340643</v>
      </c>
      <c r="AT30" s="126">
        <f>MAX(AT26:AT29)-MIN(AT26:AT29)+1</f>
        <v>1</v>
      </c>
      <c r="AU30" s="126">
        <f>MAX(AU26:AU29)-MIN(AU26:AU29)+1</f>
        <v>3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1</v>
      </c>
      <c r="AZ30" s="126">
        <f>MAX(AZ26:AZ29)+1</f>
        <v>68.333333333333329</v>
      </c>
      <c r="BB30" s="126">
        <f>MAX(BB26:BB29)-MIN(BB26:BB29)+1</f>
        <v>1</v>
      </c>
      <c r="BC30" s="126">
        <f>MAX(BC26:BC29)-MIN(BC26:BC29)+1</f>
        <v>3</v>
      </c>
      <c r="BD30" s="126">
        <f>MAX(BD26:BD29)-MIN(BD26:BD29)+1</f>
        <v>3</v>
      </c>
      <c r="BE30" s="126">
        <f>MAX(BE26:BE29)-MIN(BE26:BE29)+1</f>
        <v>3</v>
      </c>
      <c r="BG30" s="126">
        <f>MAX(BG26:BG29)-MIN(BG26:BG29)+1</f>
        <v>1</v>
      </c>
      <c r="BH30" s="126">
        <f>MAX(BH26:BH29)+1</f>
        <v>68.333333333333329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1</v>
      </c>
      <c r="V31" s="123">
        <f t="shared" si="3"/>
        <v>1</v>
      </c>
      <c r="W31" s="123">
        <f t="shared" si="4"/>
        <v>1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Algeria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2</v>
      </c>
      <c r="AE32" s="124" t="str">
        <f>VLOOKUP("Germany",T,lang,FALSE)</f>
        <v>Germany</v>
      </c>
      <c r="AF32" s="123">
        <f>COUNTIF($S$7:$T$78,"=" &amp; AE32 &amp; "_win")</f>
        <v>1</v>
      </c>
      <c r="AG32" s="123">
        <f>COUNTIF($S$7:$T$78,"=" &amp; AE32 &amp; "_draw")</f>
        <v>2</v>
      </c>
      <c r="AH32" s="123">
        <f>COUNTIF($S$7:$T$78,"=" &amp; AE32 &amp; "_lose")</f>
        <v>0</v>
      </c>
      <c r="AI32" s="123">
        <f>SUMIF($E$7:$E$78,$AE32,$F$7:$F$78) + SUMIF($H$7:$H$78,$AE32,$G$7:$G$78)</f>
        <v>5</v>
      </c>
      <c r="AJ32" s="123">
        <f>SUMIF($E$7:$E$78,$AE32,$G$7:$G$78) + SUMIF($H$7:$H$78,$AE32,$F$7:$F$78)</f>
        <v>2</v>
      </c>
      <c r="AL32" s="123">
        <f>AI32-AJ32</f>
        <v>3</v>
      </c>
      <c r="AM32" s="123">
        <f>AL32-AL36</f>
        <v>11</v>
      </c>
      <c r="AN32" s="123">
        <f>AF32*3+AG32</f>
        <v>5</v>
      </c>
      <c r="AO32" s="123">
        <f>AN32/AN36*10+BA32</f>
        <v>9.3138211382113827</v>
      </c>
      <c r="AP32" s="123">
        <f>AO32*10000000+BI32*100+AM32/AM36*10+AI32/AI36*1++IF(AQ32=0,ROW(),AQ32)/2000000</f>
        <v>93138319.303147092</v>
      </c>
      <c r="AQ32" s="126">
        <f>VLOOKUP(AE32,db_fifarank,2,FALSE)</f>
        <v>1730.37</v>
      </c>
      <c r="AR32" s="125">
        <f>AP32/AP36</f>
        <v>0.99947757101488977</v>
      </c>
      <c r="AS32" s="125" t="str">
        <f>IF(SUM(AF32:AH35)=12,J33,"1E")</f>
        <v>Ivory Coast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2</v>
      </c>
      <c r="AV32" s="126" cm="1">
        <f t="array" ref="AV32">SUMPRODUCT(($E$7:$E$78=AE32)*($U$7:$U$78)*($F$7:$F$78))+SUMPRODUCT(($H$7:$H$78=AE32)*($U$7:$U$78)*($G$7:$G$78))</f>
        <v>1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66.999999999999986</v>
      </c>
      <c r="BA32" s="126">
        <f>AZ32/AZ36</f>
        <v>0.98048780487804865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</v>
      </c>
      <c r="BI32" s="126">
        <f>BH32/BH36</f>
        <v>0.98039215686274506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Ivory Coast</v>
      </c>
      <c r="K33" s="31">
        <f>L33+M33+N33</f>
        <v>3</v>
      </c>
      <c r="L33" s="31">
        <f>VLOOKUP(1,AD32:AN35,3,FALSE)</f>
        <v>1</v>
      </c>
      <c r="M33" s="31">
        <f>VLOOKUP(1,AD32:AN35,4,FALSE)</f>
        <v>2</v>
      </c>
      <c r="N33" s="31">
        <f>VLOOKUP(1,AD32:AN35,5,FALSE)</f>
        <v>0</v>
      </c>
      <c r="O33" s="31" t="str">
        <f>VLOOKUP(1,AD32:AN35,6,FALSE) &amp; " - " &amp; VLOOKUP(1,AD32:AN35,7,FALSE)</f>
        <v>6 - 3</v>
      </c>
      <c r="P33" s="32">
        <f>L33*3+M33</f>
        <v>5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10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0.28636161071428567</v>
      </c>
      <c r="AQ33" s="126">
        <f>VLOOKUP(AE33,db_fifarank,2,FALSE)</f>
        <v>1294.6500000000001</v>
      </c>
      <c r="AR33" s="125">
        <f>AP33/AP36</f>
        <v>3.0729780100182111E-9</v>
      </c>
      <c r="AS33" s="125" t="str">
        <f>IF(SUM(AF32:AH35)=12,J34,"2E")</f>
        <v>Germany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South Africa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Germany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5 - 2</v>
      </c>
      <c r="P34" s="34">
        <f>L34*3+M34</f>
        <v>5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1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2</v>
      </c>
      <c r="AH34" s="123">
        <f>COUNTIF($S$7:$T$78,"=" &amp; AE34 &amp; "_lose")</f>
        <v>0</v>
      </c>
      <c r="AI34" s="123">
        <f>SUMIF($E$7:$E$78,$AE34,$F$7:$F$78) + SUMIF($H$7:$H$78,$AE34,$G$7:$G$78)</f>
        <v>6</v>
      </c>
      <c r="AJ34" s="123">
        <f>SUMIF($E$7:$E$78,$AE34,$G$7:$G$78) + SUMIF($H$7:$H$78,$AE34,$F$7:$F$78)</f>
        <v>3</v>
      </c>
      <c r="AL34" s="123">
        <f>AI34-AJ34</f>
        <v>3</v>
      </c>
      <c r="AM34" s="123">
        <f>AL34-AL36</f>
        <v>11</v>
      </c>
      <c r="AN34" s="123">
        <f>AF34*3+AG34</f>
        <v>5</v>
      </c>
      <c r="AO34" s="123">
        <f>AN34/AN36*10+BA34</f>
        <v>9.3186991869918714</v>
      </c>
      <c r="AP34" s="123">
        <f>AO34*10000000+BI34*100+AM34/AM36*10+AI34/AI36*1++IF(AQ34=0,ROW(),AQ34)/2000000</f>
        <v>93187001.894494727</v>
      </c>
      <c r="AQ34" s="126">
        <f>VLOOKUP(AE34,db_fifarank,2,FALSE)</f>
        <v>1532.98</v>
      </c>
      <c r="AR34" s="125">
        <f>AP34/AP36</f>
        <v>0.99999998926888978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2</v>
      </c>
      <c r="AV34" s="126" cm="1">
        <f t="array" ref="AV34">SUMPRODUCT(($E$7:$E$78=AE34)*($U$7:$U$78)*($F$7:$F$78))+SUMPRODUCT(($H$7:$H$78=AE34)*($U$7:$U$78)*($G$7:$G$78))</f>
        <v>2</v>
      </c>
      <c r="AW34" s="126" cm="1">
        <f t="array" ref="AW34">SUMPRODUCT(($E$7:$E$78=AE34)*($U$7:$U$78)*($G$7:$G$78))+SUMPRODUCT(($H$7:$H$78=AE34)*($U$7:$U$78)*($F$7:$F$78))</f>
        <v>2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67.333333333333329</v>
      </c>
      <c r="BA34" s="126">
        <f>AZ34/AZ36</f>
        <v>0.98536585365853657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2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2000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1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2</v>
      </c>
      <c r="N35" s="23">
        <f>VLOOKUP(3,AD32:AN35,5,FALSE)</f>
        <v>0</v>
      </c>
      <c r="O35" s="23" t="str">
        <f>VLOOKUP(3,AD32:AN35,6,FALSE) &amp; " - " &amp; VLOOKUP(3,AD32:AN35,7,FALSE)</f>
        <v>3 - 1</v>
      </c>
      <c r="P35" s="34">
        <f>L35*3+M35</f>
        <v>5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2</v>
      </c>
      <c r="AH35" s="123">
        <f>COUNTIF($S$7:$T$78,"=" &amp; AE35 &amp; "_lose")</f>
        <v>0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1</v>
      </c>
      <c r="AL35" s="123">
        <f>AI35-AJ35</f>
        <v>2</v>
      </c>
      <c r="AM35" s="123">
        <f>AL35-AL36</f>
        <v>10</v>
      </c>
      <c r="AN35" s="123">
        <f>AF35*3+AG35</f>
        <v>5</v>
      </c>
      <c r="AO35" s="123">
        <f>AN35/AN36*10+BA35</f>
        <v>9.3138211382113827</v>
      </c>
      <c r="AP35" s="123">
        <f>AO35*10000000+BI35*100+AM35/AM36*10+AI35/AI36*1++IF(AQ35=0,ROW(),AQ35)/2000000</f>
        <v>93138318.184031665</v>
      </c>
      <c r="AQ35" s="126">
        <f>VLOOKUP(AE35,db_fifarank,2,FALSE)</f>
        <v>1594.78</v>
      </c>
      <c r="AR35" s="125">
        <f>AP35/AP36</f>
        <v>0.99947755900553881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2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66.999999999999986</v>
      </c>
      <c r="BA35" s="126">
        <f>AZ35/AZ36</f>
        <v>0.98048780487804865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</v>
      </c>
      <c r="BI35" s="126">
        <f>BH35/BH36</f>
        <v>0.98039215686274506</v>
      </c>
      <c r="BK35" s="142"/>
      <c r="BL35" s="26" t="str">
        <f>IF(group_round_completed,VLOOKUP('3rd places'!F3,AK80:AS91,9,FALSE),"3rd Group B/E/F/I/J")</f>
        <v>Austria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2 - 10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2</v>
      </c>
      <c r="AG36" s="123">
        <f t="shared" si="16"/>
        <v>3</v>
      </c>
      <c r="AH36" s="123">
        <f t="shared" si="16"/>
        <v>4</v>
      </c>
      <c r="AI36" s="123">
        <f>MAX(AI32:AI35)+1</f>
        <v>7</v>
      </c>
      <c r="AL36" s="123">
        <f>MIN(AL32:AL35)</f>
        <v>-8</v>
      </c>
      <c r="AM36" s="123">
        <f>MAX(AM32:AM35)+1</f>
        <v>12</v>
      </c>
      <c r="AN36" s="123">
        <f>MAX(AN32:AN35)+1</f>
        <v>6</v>
      </c>
      <c r="AO36" s="123">
        <f>MAX(AO32:AO35)+1</f>
        <v>10.318699186991871</v>
      </c>
      <c r="AP36" s="123">
        <f>MAX(AP32:AP35)+1</f>
        <v>93187002.894494727</v>
      </c>
      <c r="AT36" s="126">
        <f>MAX(AT32:AT35)-MIN(AT32:AT35)+1</f>
        <v>1</v>
      </c>
      <c r="AU36" s="126">
        <f>MAX(AU32:AU35)-MIN(AU32:AU35)+1</f>
        <v>3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1</v>
      </c>
      <c r="AZ36" s="126">
        <f>MAX(AZ32:AZ35)+1</f>
        <v>68.333333333333329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51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1</v>
      </c>
      <c r="V37" s="123">
        <f t="shared" si="3"/>
        <v>1</v>
      </c>
      <c r="W37" s="123">
        <f t="shared" si="4"/>
        <v>1</v>
      </c>
      <c r="X37" s="123">
        <f t="shared" si="9"/>
        <v>1</v>
      </c>
      <c r="Y37" s="123">
        <f t="shared" si="10"/>
        <v>1</v>
      </c>
      <c r="Z37" s="123">
        <f t="shared" si="11"/>
        <v>1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South Africa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>
        <v>1</v>
      </c>
      <c r="CQ37" s="25"/>
      <c r="CR37" s="111">
        <f>IF(OR(CO37="",CO38="",AND(CP37="",CP38&lt;&gt;""),AND(CP38="",CP37&lt;&gt;""),AND(CQ37="",CQ38&lt;&gt;""),AND(CQ38="",CQ37&lt;&gt;"")),"",CO37*1000+CP37*10+CQ37)</f>
        <v>1010</v>
      </c>
    </row>
    <row r="38" spans="1:96" x14ac:dyDescent="0.2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9</v>
      </c>
      <c r="AJ38" s="123">
        <f>SUMIF($E$7:$E$78,$AE38,$G$7:$G$78) + SUMIF($H$7:$H$78,$AE38,$F$7:$F$78)</f>
        <v>2</v>
      </c>
      <c r="AL38" s="123">
        <f>AI38-AJ38</f>
        <v>7</v>
      </c>
      <c r="AM38" s="123">
        <f>AL38-AL42</f>
        <v>13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90000010.18659322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1</v>
      </c>
      <c r="BN38" s="63">
        <v>0</v>
      </c>
      <c r="BO38" s="25">
        <v>0</v>
      </c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1</v>
      </c>
      <c r="CP38" s="64">
        <v>0</v>
      </c>
      <c r="CQ38" s="27"/>
      <c r="CR38" s="111">
        <f>IF(CR37="","",CO38*1000+CP38*10+CQ38)</f>
        <v>1000</v>
      </c>
    </row>
    <row r="39" spans="1:96" x14ac:dyDescent="0.2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1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9 - 2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Germany_draw</v>
      </c>
      <c r="T39" s="127" t="str">
        <f t="shared" si="2"/>
        <v>Ivory Coast_draw</v>
      </c>
      <c r="U39" s="123">
        <f t="shared" si="8"/>
        <v>1</v>
      </c>
      <c r="V39" s="123">
        <f t="shared" si="3"/>
        <v>1</v>
      </c>
      <c r="W39" s="123">
        <f t="shared" si="4"/>
        <v>1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3</v>
      </c>
      <c r="AL39" s="123">
        <f>AI39-AJ39</f>
        <v>3</v>
      </c>
      <c r="AM39" s="123">
        <f>AL39-AL42</f>
        <v>9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60000007.029401645</v>
      </c>
      <c r="AQ39" s="126">
        <f>VLOOKUP(AE39,db_fifarank,2,FALSE)</f>
        <v>1660.43</v>
      </c>
      <c r="AR39" s="125">
        <f>AP39/AP42</f>
        <v>0.66666666190747648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South Africa</v>
      </c>
      <c r="BM39" s="62">
        <v>1</v>
      </c>
      <c r="BN39" s="64">
        <v>0</v>
      </c>
      <c r="BO39" s="27">
        <v>1</v>
      </c>
      <c r="BP39" s="112">
        <f>IF(BP38="","",BM39*1000+BN39*10+BO39)</f>
        <v>1001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6 - 3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7</v>
      </c>
      <c r="AL40" s="123">
        <f>AI40-AJ40</f>
        <v>-4</v>
      </c>
      <c r="AM40" s="123">
        <f>AL40-AL42</f>
        <v>2</v>
      </c>
      <c r="AN40" s="123">
        <f>AF40*3+AG40</f>
        <v>1</v>
      </c>
      <c r="AO40" s="123">
        <f>AN40/AN42*10+BA40</f>
        <v>1.9805825242718447</v>
      </c>
      <c r="AP40" s="123">
        <f>AO40*10000000+BI40*100+AM40/AM42*10+AI40/AI42*1++IF(AQ40=0,ROW(),AQ40)/2000000</f>
        <v>19805925.03029969</v>
      </c>
      <c r="AQ40" s="126">
        <f>VLOOKUP(AE40,db_fifarank,2,FALSE)</f>
        <v>1514.77</v>
      </c>
      <c r="AR40" s="125">
        <f>AP40/AP42</f>
        <v>0.22006580631681147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2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3 - 7</v>
      </c>
      <c r="P41" s="34">
        <f>L41*3+M41</f>
        <v>1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7</v>
      </c>
      <c r="AL41" s="123">
        <f>AI41-AJ41</f>
        <v>-6</v>
      </c>
      <c r="AM41" s="123">
        <f>AL41-AL42</f>
        <v>0</v>
      </c>
      <c r="AN41" s="123">
        <f>AF41*3+AG41</f>
        <v>1</v>
      </c>
      <c r="AO41" s="123">
        <f>AN41/AN42*10+BA41</f>
        <v>1.9805825242718447</v>
      </c>
      <c r="AP41" s="123">
        <f>AO41*10000000+BI41*100+AM41/AM42*10+AI41/AI42*1++IF(AQ41=0,ROW(),AQ41)/2000000</f>
        <v>19805923.401712403</v>
      </c>
      <c r="AQ41" s="126">
        <f>VLOOKUP(AE41,db_fifarank,2,FALSE)</f>
        <v>1483.05</v>
      </c>
      <c r="AR41" s="125">
        <f>AP41/AP42</f>
        <v>0.22006578822139944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50.5</v>
      </c>
      <c r="BA41" s="126">
        <f>AZ41/AZ42</f>
        <v>0.98058252427184467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50.5</v>
      </c>
      <c r="BI41" s="126">
        <f>BH41/BH42</f>
        <v>0.98058252427184467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1 - 7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10</v>
      </c>
      <c r="AL42" s="123">
        <f>MIN(AL38:AL41)</f>
        <v>-6</v>
      </c>
      <c r="AM42" s="123">
        <f>MAX(AM38:AM41)+1</f>
        <v>14</v>
      </c>
      <c r="AN42" s="123">
        <f>MAX(AN38:AN41)+1</f>
        <v>10</v>
      </c>
      <c r="AO42" s="123">
        <f>MAX(AO38:AO41)+1</f>
        <v>10</v>
      </c>
      <c r="AP42" s="123">
        <f>MAX(AP38:AP41)+1</f>
        <v>90000011.18659322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41">
        <v>76</v>
      </c>
      <c r="BL42" s="24" t="str">
        <f>AS20</f>
        <v>Brazil</v>
      </c>
      <c r="BM42" s="61">
        <v>1</v>
      </c>
      <c r="BN42" s="63">
        <v>1</v>
      </c>
      <c r="BO42" s="25"/>
      <c r="BP42" s="112">
        <f>IF(OR(BM42="",BM43="",AND(BN42="",BN43&lt;&gt;""),AND(BN43="",BN42&lt;&gt;""),AND(BO42="",BO43&lt;&gt;""),AND(BO43="",BO42&lt;&gt;"")),"",BM42*1000+BN42*10+BO42)</f>
        <v>1010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>
        <v>0</v>
      </c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3</v>
      </c>
      <c r="AL44" s="123">
        <f>AI44-AJ44</f>
        <v>5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90000010.056422919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8 - 3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4</v>
      </c>
      <c r="AL45" s="123">
        <f>AI45-AJ45</f>
        <v>0</v>
      </c>
      <c r="AM45" s="123">
        <f>AL45-AL48</f>
        <v>6</v>
      </c>
      <c r="AN45" s="123">
        <f>AF45*3+AG45</f>
        <v>4</v>
      </c>
      <c r="AO45" s="123">
        <f>AN45/AN48*10+BA45</f>
        <v>4.9805825242718447</v>
      </c>
      <c r="AP45" s="123">
        <f>AO45*10000000+BI45*100+AM45/AM48*10+AI45/AI48*1++IF(AQ45=0,ROW(),AQ45)/2000000</f>
        <v>49805928.746196933</v>
      </c>
      <c r="AQ45" s="126">
        <f>VLOOKUP(AE45,db_fifarank,2,FALSE)</f>
        <v>1563.24</v>
      </c>
      <c r="AR45" s="125">
        <f>AP45/AP48</f>
        <v>0.55339914030646664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50.5</v>
      </c>
      <c r="BA45" s="126">
        <f>AZ45/AZ48</f>
        <v>0.98058252427184467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50.5</v>
      </c>
      <c r="BI45" s="126">
        <f>BH45/BH48</f>
        <v>0.98058252427184467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3</v>
      </c>
      <c r="BU45" s="64"/>
      <c r="BV45" s="27"/>
      <c r="BW45" s="113">
        <f>IF(BW44="","",BT45*1000+BU45*10+BV45)</f>
        <v>3000</v>
      </c>
      <c r="CK45" s="114"/>
      <c r="CM45" s="147"/>
      <c r="CN45" s="148"/>
      <c r="CO45" s="148"/>
      <c r="CP45" s="148"/>
      <c r="CQ45" s="149"/>
    </row>
    <row r="46" spans="1:96" x14ac:dyDescent="0.2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4 - 3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4</v>
      </c>
      <c r="AJ46" s="123">
        <f>SUMIF($E$7:$E$78,$AE46,$G$7:$G$78) + SUMIF($H$7:$H$78,$AE46,$F$7:$F$78)</f>
        <v>3</v>
      </c>
      <c r="AL46" s="123">
        <f>AI46-AJ46</f>
        <v>1</v>
      </c>
      <c r="AM46" s="123">
        <f>AL46-AL48</f>
        <v>7</v>
      </c>
      <c r="AN46" s="123">
        <f>AF46*3+AG46</f>
        <v>4</v>
      </c>
      <c r="AO46" s="123">
        <f>AN46/AN48*10+BA46</f>
        <v>4.9805825242718447</v>
      </c>
      <c r="AP46" s="123">
        <f>AO46*10000000+BI46*100+AM46/AM48*10+AI46/AI48*1++IF(AQ46=0,ROW(),AQ46)/2000000</f>
        <v>49805929.579556301</v>
      </c>
      <c r="AQ46" s="126">
        <f>VLOOKUP(AE46,db_fifarank,2,FALSE)</f>
        <v>1615.3</v>
      </c>
      <c r="AR46" s="125">
        <f>AP46/AP48</f>
        <v>0.55339914956601399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41">
        <v>78</v>
      </c>
      <c r="BL46" s="24" t="str">
        <f>AS33</f>
        <v>Germany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4 - 4</v>
      </c>
      <c r="P47" s="34">
        <f>L47*3+M47</f>
        <v>4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7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0.11175189611111111</v>
      </c>
      <c r="AQ47" s="126">
        <f>VLOOKUP(AE47,db_fifarank,2,FALSE)</f>
        <v>1281.57</v>
      </c>
      <c r="AR47" s="125">
        <f>AP47/AP48</f>
        <v>1.2416875820276451E-9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1 - 7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4</v>
      </c>
      <c r="AI48" s="123">
        <f>MAX(AI44:AI47)+1</f>
        <v>9</v>
      </c>
      <c r="AL48" s="123">
        <f>MIN(AL44:AL47)</f>
        <v>-6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90000011.056422919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Norway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4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4000</v>
      </c>
    </row>
    <row r="49" spans="1:96" x14ac:dyDescent="0.2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3</v>
      </c>
      <c r="CB49" s="64"/>
      <c r="CC49" s="27"/>
      <c r="CD49" s="113">
        <f>IF(CD48="","",CA49*1000+CB49*10+CC49)</f>
        <v>3000</v>
      </c>
      <c r="CK49" s="114"/>
      <c r="CL49" s="115"/>
      <c r="CM49" s="142"/>
      <c r="CN49" s="26" t="str">
        <f>IF(CK55&gt;CK56,CG56,IF(CK55&lt;CK56,CG55,""))</f>
        <v>England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2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2</v>
      </c>
      <c r="AL50" s="123">
        <f>AI50-AJ50</f>
        <v>5</v>
      </c>
      <c r="AM50" s="123">
        <f>AL50-AL54</f>
        <v>10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90000009.966847301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>
        <v>0</v>
      </c>
      <c r="BO50" s="25">
        <v>1</v>
      </c>
      <c r="BP50" s="112">
        <f>IF(OR(BM50="",BM51="",AND(BN50="",BN51&lt;&gt;""),AND(BN51="",BN50&lt;&gt;""),AND(BO50="",BO51&lt;&gt;""),AND(BO51="",BO50&lt;&gt;"")),"",BM50*1000+BN50*10+BO50)</f>
        <v>1001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7</v>
      </c>
      <c r="AL51" s="123">
        <f>AI51-AJ51</f>
        <v>-5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0.25068306499999998</v>
      </c>
      <c r="AQ51" s="126">
        <f>VLOOKUP(AE51,db_fifarank,2,FALSE)</f>
        <v>1366.13</v>
      </c>
      <c r="AR51" s="125">
        <f>AP51/AP54</f>
        <v>2.7853670494811652E-9</v>
      </c>
      <c r="AS51" s="125" t="str">
        <f>IF(SUM(AF50:AH53)=12,J52,"2H")</f>
        <v>Saudi Arabia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Ecuador</v>
      </c>
      <c r="BM51" s="62">
        <v>1</v>
      </c>
      <c r="BN51" s="64">
        <v>0</v>
      </c>
      <c r="BO51" s="27">
        <v>0</v>
      </c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Saudi Arabia</v>
      </c>
      <c r="K52" s="23">
        <f>L52+M52+N52</f>
        <v>3</v>
      </c>
      <c r="L52" s="23">
        <f>VLOOKUP(2,AD50:AN53,3,FALSE)</f>
        <v>1</v>
      </c>
      <c r="M52" s="23">
        <f>VLOOKUP(2,AD50:AN53,4,FALSE)</f>
        <v>1</v>
      </c>
      <c r="N52" s="23">
        <f>VLOOKUP(2,AD50:AN53,5,FALSE)</f>
        <v>1</v>
      </c>
      <c r="O52" s="23" t="str">
        <f>VLOOKUP(2,AD50:AN53,6,FALSE) &amp; " - " &amp; VLOOKUP(2,AD50:AN53,7,FALSE)</f>
        <v>4 - 3</v>
      </c>
      <c r="P52" s="34">
        <f>L52*3+M52</f>
        <v>4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2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1</v>
      </c>
      <c r="AH52" s="123">
        <f>COUNTIF($S$7:$T$78,"=" &amp; AE52 &amp; "_lose")</f>
        <v>1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3</v>
      </c>
      <c r="AL52" s="123">
        <f>AI52-AJ52</f>
        <v>1</v>
      </c>
      <c r="AM52" s="123">
        <f>AL52-AL54</f>
        <v>6</v>
      </c>
      <c r="AN52" s="123">
        <f>AF52*3+AG52</f>
        <v>4</v>
      </c>
      <c r="AO52" s="123">
        <f>AN52/AN54*10+BA52</f>
        <v>4.9805825242718447</v>
      </c>
      <c r="AP52" s="123">
        <f>AO52*10000000+BI52*100+AM52/AM54*10+AI52/AI54*1++IF(AQ52=0,ROW(),AQ52)/2000000</f>
        <v>49805929.256227039</v>
      </c>
      <c r="AQ52" s="126">
        <f>VLOOKUP(AE52,db_fifarank,2,FALSE)</f>
        <v>1421.43</v>
      </c>
      <c r="AR52" s="125">
        <f>AP52/AP54</f>
        <v>0.5533991465242567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1</v>
      </c>
      <c r="AW52" s="126" cm="1">
        <f t="array" ref="AW52">SUMPRODUCT(($E$7:$E$78=AE52)*($U$7:$U$78)*($G$7:$G$78))+SUMPRODUCT(($H$7:$H$78=AE52)*($U$7:$U$78)*($F$7:$F$78))</f>
        <v>1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50.5</v>
      </c>
      <c r="BA52" s="126">
        <f>AZ52/AZ54</f>
        <v>0.98058252427184467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1</v>
      </c>
      <c r="BE52" s="126" cm="1">
        <f t="array" ref="BE52">SUMPRODUCT(($E$7:$E$78=AE52)*($X$7:$X$78)*($G$7:$G$78))+SUMPRODUCT(($H$7:$H$78=AE52)*($X$7:$X$78)*($F$7:$F$78))</f>
        <v>1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50.5</v>
      </c>
      <c r="BI52" s="126">
        <f>BH52/BH54</f>
        <v>0.98058252427184467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Uruguay</v>
      </c>
      <c r="K53" s="23">
        <f>L53+M53+N53</f>
        <v>3</v>
      </c>
      <c r="L53" s="23">
        <f>VLOOKUP(3,AD50:AN53,3,FALSE)</f>
        <v>1</v>
      </c>
      <c r="M53" s="23">
        <f>VLOOKUP(3,AD50:AN53,4,FALSE)</f>
        <v>1</v>
      </c>
      <c r="N53" s="23">
        <f>VLOOKUP(3,AD50:AN53,5,FALSE)</f>
        <v>1</v>
      </c>
      <c r="O53" s="23" t="str">
        <f>VLOOKUP(3,AD50:AN53,6,FALSE) &amp; " - " &amp; VLOOKUP(3,AD50:AN53,7,FALSE)</f>
        <v>3 - 4</v>
      </c>
      <c r="P53" s="34">
        <f>L53*3+M53</f>
        <v>4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3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1</v>
      </c>
      <c r="AH53" s="123">
        <f>COUNTIF($S$7:$T$78,"=" &amp; AE53 &amp; "_lose")</f>
        <v>1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4</v>
      </c>
      <c r="AL53" s="123">
        <f>AI53-AJ53</f>
        <v>-1</v>
      </c>
      <c r="AM53" s="123">
        <f>AL53-AL54</f>
        <v>4</v>
      </c>
      <c r="AN53" s="123">
        <f>AF53*3+AG53</f>
        <v>4</v>
      </c>
      <c r="AO53" s="123">
        <f>AN53/AN54*10+BA53</f>
        <v>4.9805825242718447</v>
      </c>
      <c r="AP53" s="123">
        <f>AO53*10000000+BI53*100+AM53/AM54*10+AI53/AI54*1++IF(AQ53=0,ROW(),AQ53)/2000000</f>
        <v>49805927.313171037</v>
      </c>
      <c r="AQ53" s="126">
        <f>VLOOKUP(AE53,db_fifarank,2,FALSE)</f>
        <v>1673.07</v>
      </c>
      <c r="AR53" s="125">
        <f>AP53/AP54</f>
        <v>0.55339912493474819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2 - 7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4</v>
      </c>
      <c r="AI54" s="123">
        <f>MAX(AI50:AI53)+1</f>
        <v>8</v>
      </c>
      <c r="AL54" s="123">
        <f>MIN(AL50:AL53)</f>
        <v>-5</v>
      </c>
      <c r="AM54" s="123">
        <f>MAX(AM50:AM53)+1</f>
        <v>11</v>
      </c>
      <c r="AN54" s="123">
        <f>MAX(AN50:AN53)+1</f>
        <v>10</v>
      </c>
      <c r="AO54" s="123">
        <f>MAX(AO50:AO53)+1</f>
        <v>10</v>
      </c>
      <c r="AP54" s="123">
        <f>MAX(AP50:AP53)+1</f>
        <v>90000010.966847301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1</v>
      </c>
      <c r="CI55" s="63">
        <v>0</v>
      </c>
      <c r="CJ55" s="25">
        <v>0</v>
      </c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3</v>
      </c>
      <c r="AL56" s="123">
        <f>AI56-AJ56</f>
        <v>6</v>
      </c>
      <c r="AM56" s="123">
        <f>AL56-AL60</f>
        <v>17</v>
      </c>
      <c r="AN56" s="123">
        <f>AF56*3+AG56</f>
        <v>7</v>
      </c>
      <c r="AO56" s="123">
        <f>AN56/AN60*10+BA56</f>
        <v>9.7306451612903224</v>
      </c>
      <c r="AP56" s="123">
        <f>AO56*10000000+BI56*100+AM56/AM60*10+AI56/AI60*1++IF(AQ56=0,ROW(),AQ56)/2000000</f>
        <v>97306560.022802457</v>
      </c>
      <c r="AQ56" s="126">
        <f>VLOOKUP(AE56,db_fifarank,2,FALSE)</f>
        <v>1877.32</v>
      </c>
      <c r="AR56" s="125">
        <f>AP56/AP60</f>
        <v>0.9999999897232007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2</v>
      </c>
      <c r="AW56" s="126" cm="1">
        <f t="array" ref="AW56">SUMPRODUCT(($E$7:$E$78=AE56)*($U$7:$U$78)*($G$7:$G$78))+SUMPRODUCT(($H$7:$H$78=AE56)*($U$7:$U$78)*($F$7:$F$78))</f>
        <v>2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50.666666666666664</v>
      </c>
      <c r="BA56" s="126">
        <f>AZ56/AZ60</f>
        <v>0.98064516129032253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2</v>
      </c>
      <c r="BE56" s="126" cm="1">
        <f t="array" ref="BE56">SUMPRODUCT(($E$7:$E$78=AE56)*($X$7:$X$78)*($G$7:$G$78))+SUMPRODUCT(($H$7:$H$78=AE56)*($X$7:$X$78)*($F$7:$F$78))</f>
        <v>2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50.666666666666664</v>
      </c>
      <c r="BI56" s="126">
        <f>BH56/BH60</f>
        <v>0.98064516129032253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>
        <v>0</v>
      </c>
      <c r="CJ56" s="27">
        <v>1</v>
      </c>
      <c r="CK56" s="112">
        <f>IF(CK55="","",CH56*1000+CI56*10+CJ56)</f>
        <v>1001</v>
      </c>
      <c r="CL56" s="112"/>
    </row>
    <row r="57" spans="1:96" x14ac:dyDescent="0.2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3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9 - 3</v>
      </c>
      <c r="P57" s="32">
        <f>L57*3+M57</f>
        <v>7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5</v>
      </c>
      <c r="AL57" s="123">
        <f>AI57-AJ57</f>
        <v>-1</v>
      </c>
      <c r="AM57" s="123">
        <f>AL57-AL60</f>
        <v>10</v>
      </c>
      <c r="AN57" s="123">
        <f>AF57*3+AG57</f>
        <v>3</v>
      </c>
      <c r="AO57" s="123">
        <f>AN57/AN60*10+BA57</f>
        <v>3.75</v>
      </c>
      <c r="AP57" s="123">
        <f>AO57*10000000+BI57*100+AM57/AM60*10+AI57/AI60*1++IF(AQ57=0,ROW(),AQ57)/2000000</f>
        <v>37500005.956400044</v>
      </c>
      <c r="AQ57" s="126">
        <f>VLOOKUP(AE57,db_fifarank,2,FALSE)</f>
        <v>1688.99</v>
      </c>
      <c r="AR57" s="125">
        <f>AP57/AP60</f>
        <v>0.38538003565466089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9 - 3</v>
      </c>
      <c r="P58" s="34">
        <f>L58*3+M58</f>
        <v>7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12</v>
      </c>
      <c r="AL58" s="123">
        <f>AI58-AJ58</f>
        <v>-11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0.10072357000000001</v>
      </c>
      <c r="AQ58" s="126">
        <f>VLOOKUP(AE58,db_fifarank,2,FALSE)</f>
        <v>1447.14</v>
      </c>
      <c r="AR58" s="125">
        <f>AP58/AP60</f>
        <v>1.0351159155280067E-9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4 - 5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9</v>
      </c>
      <c r="AJ59" s="123">
        <f>SUMIF($E$7:$E$78,$AE59,$G$7:$G$78) + SUMIF($H$7:$H$78,$AE59,$F$7:$F$78)</f>
        <v>3</v>
      </c>
      <c r="AL59" s="123">
        <f>AI59-AJ59</f>
        <v>6</v>
      </c>
      <c r="AM59" s="123">
        <f>AL59-AL60</f>
        <v>17</v>
      </c>
      <c r="AN59" s="123">
        <f>AF59*3+AG59</f>
        <v>7</v>
      </c>
      <c r="AO59" s="123">
        <f>AN59/AN60*10+BA59</f>
        <v>9.7306451612903224</v>
      </c>
      <c r="AP59" s="123">
        <f>AO59*10000000+BI59*100+AM59/AM60*10+AI59/AI60*1++IF(AQ59=0,ROW(),AQ59)/2000000</f>
        <v>97306560.022639275</v>
      </c>
      <c r="AQ59" s="126">
        <f>VLOOKUP(AE59,db_fifarank,2,FALSE)</f>
        <v>1550.94</v>
      </c>
      <c r="AR59" s="125">
        <f>AP59/AP60</f>
        <v>0.99999998972152371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2</v>
      </c>
      <c r="AW59" s="126" cm="1">
        <f t="array" ref="AW59">SUMPRODUCT(($E$7:$E$78=AE59)*($U$7:$U$78)*($G$7:$G$78))+SUMPRODUCT(($H$7:$H$78=AE59)*($U$7:$U$78)*($F$7:$F$78))</f>
        <v>2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50.666666666666664</v>
      </c>
      <c r="BA59" s="126">
        <f>AZ59/AZ60</f>
        <v>0.98064516129032253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2</v>
      </c>
      <c r="BE59" s="126" cm="1">
        <f t="array" ref="BE59">SUMPRODUCT(($E$7:$E$78=AE59)*($X$7:$X$78)*($G$7:$G$78))+SUMPRODUCT(($H$7:$H$78=AE59)*($X$7:$X$78)*($F$7:$F$78))</f>
        <v>2</v>
      </c>
      <c r="BF59" s="126">
        <f>BD59-BE59</f>
        <v>0</v>
      </c>
      <c r="BG59" s="126">
        <f>BF59-MIN(BF56:BF59)</f>
        <v>0</v>
      </c>
      <c r="BH59" s="126">
        <f t="shared" si="26"/>
        <v>50.666666666666664</v>
      </c>
      <c r="BI59" s="126">
        <f>BH59/BH60</f>
        <v>0.98064516129032253</v>
      </c>
      <c r="BK59" s="142"/>
      <c r="BL59" s="26" t="str">
        <f>AS51</f>
        <v>Saudi Arabia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2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1 - 12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1</v>
      </c>
      <c r="V60" s="123">
        <f t="shared" si="21"/>
        <v>2</v>
      </c>
      <c r="W60" s="123">
        <f t="shared" si="22"/>
        <v>2</v>
      </c>
      <c r="X60" s="123">
        <f t="shared" si="9"/>
        <v>1</v>
      </c>
      <c r="Y60" s="123">
        <f t="shared" si="10"/>
        <v>2</v>
      </c>
      <c r="Z60" s="123">
        <f t="shared" si="11"/>
        <v>2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10</v>
      </c>
      <c r="AL60" s="123">
        <f>MIN(AL56:AL59)</f>
        <v>-11</v>
      </c>
      <c r="AM60" s="123">
        <f>MAX(AM56:AM59)+1</f>
        <v>18</v>
      </c>
      <c r="AN60" s="123">
        <f>MAX(AN56:AN59)+1</f>
        <v>8</v>
      </c>
      <c r="AO60" s="123">
        <f>MAX(AO56:AO59)+1</f>
        <v>10.730645161290322</v>
      </c>
      <c r="AP60" s="123">
        <f>MAX(AP56:AP59)+1</f>
        <v>97306561.022802457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4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0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0</v>
      </c>
      <c r="W62" s="123">
        <f t="shared" si="22"/>
        <v>0</v>
      </c>
      <c r="X62" s="123">
        <f t="shared" si="9"/>
        <v>1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2</v>
      </c>
      <c r="AL62" s="123">
        <f>AI62-AJ62</f>
        <v>6</v>
      </c>
      <c r="AM62" s="123">
        <f>AL62-AL66</f>
        <v>14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90000010.223159641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3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8 - 2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5</v>
      </c>
      <c r="AJ63" s="123">
        <f>SUMIF($E$7:$E$78,$AE63,$G$7:$G$78) + SUMIF($H$7:$H$78,$AE63,$F$7:$F$78)</f>
        <v>4</v>
      </c>
      <c r="AL63" s="123">
        <f>AI63-AJ63</f>
        <v>1</v>
      </c>
      <c r="AM63" s="123">
        <f>AL63-AL66</f>
        <v>9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49805929.857308552</v>
      </c>
      <c r="AQ63" s="126">
        <f>VLOOKUP(AE63,db_fifarank,2,FALSE)</f>
        <v>1564.26</v>
      </c>
      <c r="AR63" s="125">
        <f>AP63/AP66</f>
        <v>0.55339915162690589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2"/>
      <c r="BL63" s="26" t="str">
        <f>AS45</f>
        <v>Iran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4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5 - 4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9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49805929.746212043</v>
      </c>
      <c r="AQ64" s="126">
        <f>VLOOKUP(AE64,db_fifarank,2,FALSE)</f>
        <v>1593.45</v>
      </c>
      <c r="AR64" s="125">
        <f>AP64/AP66</f>
        <v>0.55339915039250032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>
        <v>0</v>
      </c>
      <c r="CC64" s="25">
        <v>1</v>
      </c>
      <c r="CD64" s="116">
        <f>IF(OR(CA64="",CA65="",AND(CB64="",CB65&lt;&gt;""),AND(CB65="",CB64&lt;&gt;""),AND(CC64="",CC65&lt;&gt;""),AND(CC65="",CC64&lt;&gt;"")),"",CA64*1000+CB64*10+CC64)</f>
        <v>2001</v>
      </c>
    </row>
    <row r="65" spans="1:95" x14ac:dyDescent="0.2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4 - 3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1</v>
      </c>
      <c r="Y65" s="123">
        <f t="shared" si="10"/>
        <v>1</v>
      </c>
      <c r="Z65" s="123">
        <f t="shared" si="11"/>
        <v>1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9</v>
      </c>
      <c r="AL65" s="123">
        <f>AI65-AJ65</f>
        <v>-8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0.1118068361111111</v>
      </c>
      <c r="AQ65" s="126">
        <f>VLOOKUP(AE65,db_fifarank,2,FALSE)</f>
        <v>1391.45</v>
      </c>
      <c r="AR65" s="125">
        <f>AP65/AP66</f>
        <v>1.2422980240955784E-9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>
        <v>0</v>
      </c>
      <c r="CC65" s="27">
        <v>0</v>
      </c>
      <c r="CD65" s="112">
        <f>IF(CD64="","",CA65*1000+CB65*10+CC65)</f>
        <v>2000</v>
      </c>
    </row>
    <row r="66" spans="1:95" x14ac:dyDescent="0.2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1 - 9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9</v>
      </c>
      <c r="AL66" s="123">
        <f>MIN(AL62:AL65)</f>
        <v>-8</v>
      </c>
      <c r="AM66" s="123">
        <f>MAX(AM62:AM65)+1</f>
        <v>15</v>
      </c>
      <c r="AN66" s="123">
        <f>MAX(AN62:AN65)+1</f>
        <v>10</v>
      </c>
      <c r="AO66" s="123">
        <f>MAX(AO62:AO65)+1</f>
        <v>10</v>
      </c>
      <c r="AP66" s="123">
        <f>MAX(AP62:AP65)+1</f>
        <v>90000011.223159641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2</v>
      </c>
      <c r="W67" s="123">
        <f t="shared" si="22"/>
        <v>2</v>
      </c>
      <c r="X67" s="123">
        <f t="shared" si="9"/>
        <v>1</v>
      </c>
      <c r="Y67" s="123">
        <f t="shared" si="10"/>
        <v>2</v>
      </c>
      <c r="Z67" s="123">
        <f t="shared" si="11"/>
        <v>2</v>
      </c>
      <c r="AA67" s="123">
        <f t="shared" si="17"/>
        <v>0</v>
      </c>
      <c r="AB67" s="123">
        <f t="shared" si="23"/>
        <v>0</v>
      </c>
      <c r="BK67" s="142"/>
      <c r="BL67" s="26" t="str">
        <f>IF(group_round_completed,VLOOKUP('3rd places'!E3,AK80:AS91,9,FALSE),"3rd Group E/F/G/I/J")</f>
        <v>Egypt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2</v>
      </c>
      <c r="AL68" s="123">
        <f>AI68-AJ68</f>
        <v>5</v>
      </c>
      <c r="AM68" s="123">
        <f>AL68-AL72</f>
        <v>9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90000009.87588191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>
        <v>0</v>
      </c>
      <c r="BV68" s="25">
        <v>0</v>
      </c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2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7 - 2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1</v>
      </c>
      <c r="W69" s="123">
        <f t="shared" si="22"/>
        <v>1</v>
      </c>
      <c r="X69" s="123">
        <f t="shared" si="9"/>
        <v>1</v>
      </c>
      <c r="Y69" s="123">
        <f t="shared" si="10"/>
        <v>1</v>
      </c>
      <c r="Z69" s="123">
        <f t="shared" si="11"/>
        <v>1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6</v>
      </c>
      <c r="AL69" s="123">
        <f>AI69-AJ69</f>
        <v>-3</v>
      </c>
      <c r="AM69" s="123">
        <f>AL69-AL72</f>
        <v>1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19805924.676710051</v>
      </c>
      <c r="AQ69" s="126">
        <f>VLOOKUP(AE69,db_fifarank,2,FALSE)</f>
        <v>1478.35</v>
      </c>
      <c r="AR69" s="125">
        <f>AP69/AP72</f>
        <v>0.22006580314778182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>
        <v>0</v>
      </c>
      <c r="BV69" s="27">
        <v>1</v>
      </c>
      <c r="BW69" s="112">
        <f>IF(BW68="","",BT69*1000+BU69*10+BV69)</f>
        <v>1001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19805923.426703546</v>
      </c>
      <c r="AQ70" s="126">
        <f>VLOOKUP(AE70,db_fifarank,2,FALSE)</f>
        <v>1465.34</v>
      </c>
      <c r="AR70" s="125">
        <f>AP70/AP72</f>
        <v>0.22006578925882234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41">
        <v>87</v>
      </c>
      <c r="BL70" s="24" t="str">
        <f>AS68</f>
        <v>Portugal</v>
      </c>
      <c r="BM70" s="61">
        <v>3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3000</v>
      </c>
      <c r="BQ70" s="112"/>
      <c r="BW70" s="112"/>
    </row>
    <row r="71" spans="1:95" x14ac:dyDescent="0.2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3 - 6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6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60000006.625846542</v>
      </c>
      <c r="AQ71" s="126">
        <f>VLOOKUP(AE71,db_fifarank,2,FALSE)</f>
        <v>1693.09</v>
      </c>
      <c r="AR71" s="125">
        <f>AP71/AP72</f>
        <v>0.66666665972509642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Croatia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-4</v>
      </c>
      <c r="AM72" s="123">
        <f>MAX(AM68:AM71)+1</f>
        <v>10</v>
      </c>
      <c r="AN72" s="123">
        <f>MAX(AN68:AN71)+1</f>
        <v>10</v>
      </c>
      <c r="AO72" s="123">
        <f>MAX(AO68:AO71)+1</f>
        <v>10</v>
      </c>
      <c r="AP72" s="123">
        <f>MAX(AP68:AP71)+1</f>
        <v>90000010.87588191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2</v>
      </c>
      <c r="W74" s="123">
        <f t="shared" si="22"/>
        <v>2</v>
      </c>
      <c r="X74" s="123">
        <f t="shared" si="32"/>
        <v>1</v>
      </c>
      <c r="Y74" s="123">
        <f t="shared" si="33"/>
        <v>2</v>
      </c>
      <c r="Z74" s="123">
        <f t="shared" si="34"/>
        <v>2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3</v>
      </c>
      <c r="AL74" s="123">
        <f>AI74-AJ74</f>
        <v>4</v>
      </c>
      <c r="AM74" s="123">
        <f>AL74-AL78</f>
        <v>9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90000009.875912979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7 - 3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4</v>
      </c>
      <c r="AL75" s="123">
        <f>AI75-AJ75</f>
        <v>0</v>
      </c>
      <c r="AM75" s="123">
        <f>AL75-AL78</f>
        <v>5</v>
      </c>
      <c r="AN75" s="123">
        <f>AF75*3+AG75</f>
        <v>4</v>
      </c>
      <c r="AO75" s="123">
        <f>AN75/AN78*10+BA75</f>
        <v>4.9806451612903224</v>
      </c>
      <c r="AP75" s="123">
        <f>AO75*10000000+BI75*100+AM75/AM78*10+AI75/AI78*1++IF(AQ75=0,ROW(),AQ75)/2000000</f>
        <v>49806555.178277887</v>
      </c>
      <c r="AQ75" s="126">
        <f>VLOOKUP(AE75,db_fifarank,2,FALSE)</f>
        <v>1717.07</v>
      </c>
      <c r="AR75" s="125">
        <f>AP75/AP78</f>
        <v>0.55340610177201421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50.666666666666664</v>
      </c>
      <c r="BA75" s="126">
        <f>AZ75/AZ78</f>
        <v>0.98064516129032253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50.666666666666664</v>
      </c>
      <c r="BI75" s="126">
        <f>BH75/BH78</f>
        <v>0.98064516129032253</v>
      </c>
    </row>
    <row r="76" spans="1:95" x14ac:dyDescent="0.2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5 - 4</v>
      </c>
      <c r="P76" s="34">
        <f>L76*3+M76</f>
        <v>4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4</v>
      </c>
      <c r="AL76" s="123">
        <f>AI76-AJ76</f>
        <v>1</v>
      </c>
      <c r="AM76" s="123">
        <f>AL76-AL78</f>
        <v>6</v>
      </c>
      <c r="AN76" s="123">
        <f>AF76*3+AG76</f>
        <v>4</v>
      </c>
      <c r="AO76" s="123">
        <f>AN76/AN78*10+BA76</f>
        <v>4.9806451612903224</v>
      </c>
      <c r="AP76" s="123">
        <f>AO76*10000000+BI76*100+AM76/AM78*10+AI76/AI78*1++IF(AQ76=0,ROW(),AQ76)/2000000</f>
        <v>49806556.303092502</v>
      </c>
      <c r="AQ76" s="126">
        <f>VLOOKUP(AE76,db_fifarank,2,FALSE)</f>
        <v>1346.31</v>
      </c>
      <c r="AR76" s="125">
        <f>AP76/AP78</f>
        <v>0.5534061142699529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2</v>
      </c>
      <c r="AW76" s="126" cm="1">
        <f t="array" ref="AW76">SUMPRODUCT(($E$7:$E$78=AE76)*($U$7:$U$78)*($G$7:$G$78))+SUMPRODUCT(($H$7:$H$78=AE76)*($U$7:$U$78)*($F$7:$F$78))</f>
        <v>2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50.666666666666664</v>
      </c>
      <c r="BA76" s="126">
        <f>AZ76/AZ78</f>
        <v>0.98064516129032253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2</v>
      </c>
      <c r="BE76" s="126" cm="1">
        <f t="array" ref="BE76">SUMPRODUCT(($E$7:$E$78=AE76)*($X$7:$X$78)*($G$7:$G$78))+SUMPRODUCT(($H$7:$H$78=AE76)*($X$7:$X$78)*($F$7:$F$78))</f>
        <v>2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50.666666666666664</v>
      </c>
      <c r="BI76" s="126">
        <f>BH76/BH78</f>
        <v>0.98064516129032253</v>
      </c>
    </row>
    <row r="77" spans="1:95" x14ac:dyDescent="0.2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4 - 4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6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0.12577031999999999</v>
      </c>
      <c r="AQ77" s="126">
        <f>VLOOKUP(AE77,db_fifarank,2,FALSE)</f>
        <v>1540.64</v>
      </c>
      <c r="AR77" s="125">
        <f>AP77/AP78</f>
        <v>1.3974478311275444E-9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1 - 6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8</v>
      </c>
      <c r="AL78" s="123">
        <f>MIN(AL74:AL77)</f>
        <v>-5</v>
      </c>
      <c r="AM78" s="123">
        <f>MAX(AM74:AM77)+1</f>
        <v>10</v>
      </c>
      <c r="AN78" s="123">
        <f>MAX(AN74:AN77)+1</f>
        <v>10</v>
      </c>
      <c r="AO78" s="123">
        <f>MAX(AO74:AO77)+1</f>
        <v>10</v>
      </c>
      <c r="AP78" s="123">
        <f>MAX(AP74:AP77)+1</f>
        <v>90000010.875912979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51.666666666666664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51.666666666666664</v>
      </c>
    </row>
    <row r="79" spans="1:95" x14ac:dyDescent="0.2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5</v>
      </c>
      <c r="AK80" s="123" t="s">
        <v>3180</v>
      </c>
      <c r="AL80" s="123">
        <f>VLOOKUP($AE80,$AE$8:$AQ$78,8,FALSE)</f>
        <v>-2</v>
      </c>
      <c r="AM80" s="123">
        <f>AL80-$AL$92</f>
        <v>2</v>
      </c>
      <c r="AN80" s="123">
        <f>VLOOKUP($AE80,$AE$8:$AQ$78,10,FALSE)</f>
        <v>2</v>
      </c>
      <c r="AP80" s="123">
        <f>AN80/AN92*10000+AM80/AM92*1000+AI80/AI92*100+IF(AQ80=0,ROW(),AQ80)/2000000</f>
        <v>3679.048333912619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2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Ecuador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3 - 1</v>
      </c>
      <c r="P81" s="98">
        <f>L81*3+M81</f>
        <v>5</v>
      </c>
      <c r="AD81" s="123">
        <f t="shared" ref="AD81:AD91" si="38">COUNTIF($AP$80:$AP$91,CONCATENATE("&gt;=",AP81))</f>
        <v>9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2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3659.0483119676187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2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Australia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2</v>
      </c>
      <c r="N82" s="100">
        <f>VLOOKUP(2,$AD$80:$AN$91,5,FALSE)</f>
        <v>0</v>
      </c>
      <c r="O82" s="100" t="str">
        <f>VLOOKUP(2,$AD$80:$AN$91,6,FALSE) &amp; " - " &amp; VLOOKUP(2,$AD$80:$AN$91,7,FALSE)</f>
        <v>4 - 3</v>
      </c>
      <c r="P82" s="101">
        <f t="shared" ref="P82:P92" si="48">L82*3+M82</f>
        <v>5</v>
      </c>
      <c r="AD82" s="123">
        <f t="shared" si="38"/>
        <v>12</v>
      </c>
      <c r="AE82" s="124" t="str">
        <f>J23</f>
        <v>Haiti</v>
      </c>
      <c r="AF82" s="123">
        <f t="shared" si="39"/>
        <v>0</v>
      </c>
      <c r="AG82" s="123">
        <f t="shared" ref="AG82:AG91" si="49">VLOOKUP($AE82,$AE$8:$AQ$78,3,FALSE)</f>
        <v>1</v>
      </c>
      <c r="AH82" s="123">
        <f t="shared" si="40"/>
        <v>2</v>
      </c>
      <c r="AI82" s="123">
        <f t="shared" si="41"/>
        <v>2</v>
      </c>
      <c r="AJ82" s="123">
        <f t="shared" si="42"/>
        <v>6</v>
      </c>
      <c r="AK82" s="123" t="s">
        <v>3182</v>
      </c>
      <c r="AL82" s="123">
        <f t="shared" si="43"/>
        <v>-4</v>
      </c>
      <c r="AM82" s="123">
        <f t="shared" si="44"/>
        <v>0</v>
      </c>
      <c r="AN82" s="123">
        <f t="shared" si="45"/>
        <v>1</v>
      </c>
      <c r="AP82" s="123">
        <f>AN82/AN92*10000+AM82/AM92*1000+AI82/AI92*100+IF(AQ82=0,ROW(),AQ82)/2000000</f>
        <v>1706.6673125216664</v>
      </c>
      <c r="AQ82" s="126">
        <f t="shared" si="37"/>
        <v>1291.71</v>
      </c>
      <c r="AR82" s="125" t="str">
        <f t="shared" ref="AR82:AR91" si="50">AR81&amp;IF(AD82&lt;=8,RIGHT(AK82,1),"")</f>
        <v>A</v>
      </c>
      <c r="AS82" s="129" t="str">
        <f t="shared" si="46"/>
        <v/>
      </c>
      <c r="AT82" s="130" t="str">
        <f>"Ⓒ "&amp;AE82</f>
        <v>Ⓒ Haiti</v>
      </c>
    </row>
    <row r="83" spans="1:46" ht="15" customHeight="1" x14ac:dyDescent="0.2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Ⓙ Austria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4 - 3</v>
      </c>
      <c r="P83" s="101">
        <f t="shared" si="48"/>
        <v>4</v>
      </c>
      <c r="AD83" s="123">
        <f t="shared" si="38"/>
        <v>2</v>
      </c>
      <c r="AE83" s="124" t="str">
        <f>J29</f>
        <v>Australia</v>
      </c>
      <c r="AF83" s="123">
        <f t="shared" si="39"/>
        <v>1</v>
      </c>
      <c r="AG83" s="123">
        <f t="shared" si="49"/>
        <v>2</v>
      </c>
      <c r="AH83" s="123">
        <f t="shared" si="40"/>
        <v>0</v>
      </c>
      <c r="AI83" s="123">
        <f t="shared" si="41"/>
        <v>4</v>
      </c>
      <c r="AJ83" s="123">
        <f t="shared" si="42"/>
        <v>3</v>
      </c>
      <c r="AK83" s="123" t="s">
        <v>3184</v>
      </c>
      <c r="AL83" s="123">
        <f t="shared" si="43"/>
        <v>1</v>
      </c>
      <c r="AM83" s="123">
        <f t="shared" si="44"/>
        <v>5</v>
      </c>
      <c r="AN83" s="123">
        <f t="shared" si="45"/>
        <v>5</v>
      </c>
      <c r="AP83" s="123">
        <f>AN83/AN92*10000+AM83/AM92*1000+AI83/AI92*100+IF(AQ83=0,ROW(),AQ83)/2000000</f>
        <v>9127.6198379540474</v>
      </c>
      <c r="AQ83" s="126">
        <f t="shared" si="37"/>
        <v>1580.67</v>
      </c>
      <c r="AR83" s="125" t="str">
        <f t="shared" si="50"/>
        <v>AD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2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Ⓛ Croatia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4 - 4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Ivory Coast</v>
      </c>
      <c r="T84" s="127" t="str" cm="1">
        <f t="array" ref="T84">IF(OR(S84="",S84="draw"),INDEX(T,86,lang),S84)</f>
        <v>Ivory Coast</v>
      </c>
      <c r="AD84" s="123">
        <f t="shared" si="38"/>
        <v>1</v>
      </c>
      <c r="AE84" s="124" t="str">
        <f>J35</f>
        <v>Ecuador</v>
      </c>
      <c r="AF84" s="123">
        <f t="shared" si="39"/>
        <v>1</v>
      </c>
      <c r="AG84" s="123">
        <f t="shared" si="49"/>
        <v>2</v>
      </c>
      <c r="AH84" s="123">
        <f t="shared" si="40"/>
        <v>0</v>
      </c>
      <c r="AI84" s="123">
        <f t="shared" si="41"/>
        <v>3</v>
      </c>
      <c r="AJ84" s="123">
        <f t="shared" si="42"/>
        <v>1</v>
      </c>
      <c r="AK84" s="123" t="s">
        <v>3185</v>
      </c>
      <c r="AL84" s="123">
        <f t="shared" si="43"/>
        <v>2</v>
      </c>
      <c r="AM84" s="123">
        <f t="shared" si="44"/>
        <v>6</v>
      </c>
      <c r="AN84" s="123">
        <f t="shared" si="45"/>
        <v>5</v>
      </c>
      <c r="AP84" s="123">
        <f>AN84/AN92*10000+AM84/AM92*1000+AI84/AI92*100+IF(AQ84=0,ROW(),AQ84)/2000000</f>
        <v>9250.47698786619</v>
      </c>
      <c r="AQ84" s="126">
        <f t="shared" si="37"/>
        <v>1594.78</v>
      </c>
      <c r="AR84" s="125" t="str">
        <f t="shared" si="50"/>
        <v>ADE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Ⓖ Egypt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4 - 4</v>
      </c>
      <c r="P85" s="101">
        <f t="shared" si="48"/>
        <v>4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11</v>
      </c>
      <c r="AE85" s="124" t="str">
        <f>J41</f>
        <v>Sweden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3</v>
      </c>
      <c r="AJ85" s="123">
        <f t="shared" si="42"/>
        <v>7</v>
      </c>
      <c r="AK85" s="123" t="s">
        <v>3186</v>
      </c>
      <c r="AL85" s="123">
        <f t="shared" si="43"/>
        <v>-4</v>
      </c>
      <c r="AM85" s="123">
        <f t="shared" si="44"/>
        <v>0</v>
      </c>
      <c r="AN85" s="123">
        <f t="shared" si="45"/>
        <v>1</v>
      </c>
      <c r="AP85" s="123">
        <f>AN85/AN92*10000+AM85/AM92*1000+AI85/AI92*100+IF(AQ85=0,ROW(),AQ85)/2000000</f>
        <v>1726.6674240516666</v>
      </c>
      <c r="AQ85" s="126">
        <f t="shared" si="37"/>
        <v>1514.77</v>
      </c>
      <c r="AR85" s="125" t="str">
        <f t="shared" si="50"/>
        <v>ADE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2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Ⓗ Uruguay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3 - 4</v>
      </c>
      <c r="P86" s="101">
        <f t="shared" si="48"/>
        <v>4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5</v>
      </c>
      <c r="AE86" s="124" t="str">
        <f>J47</f>
        <v>Egypt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4</v>
      </c>
      <c r="AJ86" s="123">
        <f t="shared" si="42"/>
        <v>4</v>
      </c>
      <c r="AK86" s="123" t="s">
        <v>3187</v>
      </c>
      <c r="AL86" s="123">
        <f t="shared" si="43"/>
        <v>0</v>
      </c>
      <c r="AM86" s="123">
        <f t="shared" si="44"/>
        <v>4</v>
      </c>
      <c r="AN86" s="123">
        <f t="shared" si="45"/>
        <v>4</v>
      </c>
      <c r="AP86" s="123">
        <f>AN86/AN92*10000+AM86/AM92*1000+AI86/AI92*100+IF(AQ86=0,ROW(),AQ86)/2000000</f>
        <v>7318.0960197152381</v>
      </c>
      <c r="AQ86" s="126">
        <f t="shared" si="37"/>
        <v>1563.24</v>
      </c>
      <c r="AR86" s="125" t="str">
        <f t="shared" si="50"/>
        <v>ADEG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2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Ⓘ Senegal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4 - 5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Uruguay</v>
      </c>
      <c r="AF87" s="123">
        <f t="shared" si="39"/>
        <v>1</v>
      </c>
      <c r="AG87" s="123">
        <f t="shared" si="49"/>
        <v>1</v>
      </c>
      <c r="AH87" s="123">
        <f t="shared" si="40"/>
        <v>1</v>
      </c>
      <c r="AI87" s="123">
        <f t="shared" si="41"/>
        <v>3</v>
      </c>
      <c r="AJ87" s="123">
        <f t="shared" si="42"/>
        <v>4</v>
      </c>
      <c r="AK87" s="123" t="s">
        <v>3188</v>
      </c>
      <c r="AL87" s="123">
        <f t="shared" si="43"/>
        <v>-1</v>
      </c>
      <c r="AM87" s="123">
        <f t="shared" si="44"/>
        <v>3</v>
      </c>
      <c r="AN87" s="123">
        <f t="shared" si="45"/>
        <v>4</v>
      </c>
      <c r="AP87" s="123">
        <f>AN87/AN92*10000+AM87/AM92*1000+AI87/AI92*100+IF(AQ87=0,ROW(),AQ87)/2000000</f>
        <v>7155.2389317730949</v>
      </c>
      <c r="AQ87" s="126">
        <f t="shared" si="37"/>
        <v>1673.07</v>
      </c>
      <c r="AR87" s="125" t="str">
        <f t="shared" si="50"/>
        <v>ADEGH</v>
      </c>
      <c r="AS87" s="129" t="str">
        <f t="shared" si="46"/>
        <v>Uruguay</v>
      </c>
      <c r="AT87" s="130" t="str">
        <f>"Ⓗ "&amp;AE87</f>
        <v>Ⓗ Uruguay</v>
      </c>
    </row>
    <row r="88" spans="1:46" ht="15" customHeight="1" x14ac:dyDescent="0.2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Ⓐ South Africa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3 - 5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7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5</v>
      </c>
      <c r="AK88" s="123" t="s">
        <v>3189</v>
      </c>
      <c r="AL88" s="123">
        <f t="shared" si="43"/>
        <v>-1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5508.5722730664284</v>
      </c>
      <c r="AQ88" s="126">
        <f t="shared" si="37"/>
        <v>1688.99</v>
      </c>
      <c r="AR88" s="125" t="str">
        <f t="shared" si="50"/>
        <v>ADEGHI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Ⓑ Bosnia and Herzegovina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2 - 4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3</v>
      </c>
      <c r="AE89" s="124" t="str">
        <f>J65</f>
        <v>Austria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4</v>
      </c>
      <c r="AJ89" s="123">
        <f t="shared" si="42"/>
        <v>3</v>
      </c>
      <c r="AK89" s="123" t="s">
        <v>3190</v>
      </c>
      <c r="AL89" s="123">
        <f t="shared" si="43"/>
        <v>1</v>
      </c>
      <c r="AM89" s="123">
        <f t="shared" si="44"/>
        <v>5</v>
      </c>
      <c r="AN89" s="123">
        <f t="shared" si="45"/>
        <v>4</v>
      </c>
      <c r="AP89" s="123">
        <f>AN89/AN92*10000+AM89/AM92*1000+AI89/AI92*100+IF(AQ89=0,ROW(),AQ89)/2000000</f>
        <v>7460.9531776773811</v>
      </c>
      <c r="AQ89" s="126">
        <f t="shared" si="37"/>
        <v>1593.45</v>
      </c>
      <c r="AR89" s="125" t="str">
        <f t="shared" si="50"/>
        <v>ADEGHIJ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2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DR Congo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3 - 6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10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3</v>
      </c>
      <c r="AJ90" s="123">
        <f t="shared" si="42"/>
        <v>6</v>
      </c>
      <c r="AK90" s="123" t="s">
        <v>3191</v>
      </c>
      <c r="AL90" s="123">
        <f t="shared" si="43"/>
        <v>-3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1869.5245486988094</v>
      </c>
      <c r="AQ90" s="126">
        <f t="shared" si="37"/>
        <v>1478.35</v>
      </c>
      <c r="AR90" s="125" t="str">
        <f t="shared" si="50"/>
        <v>ADEGHIJ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Ⓕ Sweden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3 - 7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South Africa</v>
      </c>
      <c r="T91" s="127" t="str" cm="1">
        <f t="array" ref="T91">IF(OR(S91="",S91="draw"),INDEX(T,93,lang),S91)</f>
        <v>South Africa</v>
      </c>
      <c r="AD91" s="123">
        <f t="shared" si="38"/>
        <v>4</v>
      </c>
      <c r="AE91" s="124" t="str">
        <f>J77</f>
        <v>Croatia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4</v>
      </c>
      <c r="AJ91" s="123">
        <f>VLOOKUP($AE91,$AE$8:$AQ$78,6,FALSE)</f>
        <v>4</v>
      </c>
      <c r="AK91" s="123" t="s">
        <v>3192</v>
      </c>
      <c r="AL91" s="123">
        <f>VLOOKUP($AE91,$AE$8:$AQ$78,8,FALSE)</f>
        <v>0</v>
      </c>
      <c r="AM91" s="123">
        <f t="shared" si="44"/>
        <v>4</v>
      </c>
      <c r="AN91" s="123">
        <f>VLOOKUP($AE91,$AE$8:$AQ$78,10,FALSE)</f>
        <v>4</v>
      </c>
      <c r="AP91" s="123">
        <f>AN91/AN92*10000+AM91/AM92*1000+AI91/AI92*100+IF(AQ91=0,ROW(),AQ91)/2000000</f>
        <v>7318.0960966302373</v>
      </c>
      <c r="AQ91" s="126">
        <f t="shared" si="37"/>
        <v>1717.07</v>
      </c>
      <c r="AR91" s="125" t="str">
        <f t="shared" si="50"/>
        <v>ADEGHIJL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2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Ⓒ Haiti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2 - 6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8</v>
      </c>
      <c r="AL92" s="123">
        <f>MIN(AL80:AL91)</f>
        <v>-4</v>
      </c>
      <c r="AM92" s="123">
        <f>MAX(AM80:AM91)+1</f>
        <v>7</v>
      </c>
      <c r="AN92" s="123">
        <f>MAX(AN80:AN91)+1</f>
        <v>6</v>
      </c>
      <c r="AS92" s="126" t="b">
        <f>SUM(K9:K78)=144</f>
        <v>1</v>
      </c>
    </row>
    <row r="93" spans="1:46" x14ac:dyDescent="0.2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South Africa</v>
      </c>
      <c r="T98" s="127" t="str" cm="1">
        <f t="array" ref="T98">IF(OR(S98="",S98="draw"),INDEX(T,97,lang),S98)</f>
        <v>South Africa</v>
      </c>
    </row>
    <row r="102" spans="18:29" x14ac:dyDescent="0.2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South Africa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South Africa</v>
      </c>
    </row>
    <row r="107" spans="18:29" x14ac:dyDescent="0.2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51">
      <formula>IF(AND(AA7=1,AB7=0),1,0)</formula>
    </cfRule>
    <cfRule type="expression" dxfId="226" priority="350">
      <formula>IF(AND(AA7=0,AB7=0),1,0)</formula>
    </cfRule>
    <cfRule type="expression" dxfId="225" priority="349">
      <formula>IF(AND(AA7=1,AB7=1),1,0)</formula>
    </cfRule>
    <cfRule type="expression" dxfId="224" priority="348">
      <formula>IF(AND(AA7=0,AB7=1),1,0)</formula>
    </cfRule>
    <cfRule type="expression" dxfId="223" priority="347">
      <formula>IF(AND(AA7=1,AB7=-1),1,0)</formula>
    </cfRule>
    <cfRule type="expression" dxfId="222" priority="346">
      <formula>IF(AND(AA7=0,AB7=-1),1,0)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5">
      <formula>IF(AND(AA7=1,AB7=0),1,0)</formula>
    </cfRule>
    <cfRule type="expression" dxfId="217" priority="344">
      <formula>IF(AND(AA7=0,AB7=0),1,0)</formula>
    </cfRule>
    <cfRule type="expression" dxfId="216" priority="343">
      <formula>IF(AND(AA7=1,AB7=1),1,0)</formula>
    </cfRule>
    <cfRule type="expression" dxfId="215" priority="342">
      <formula>IF(AND(AA7=0,AB7=1),1,0)</formula>
    </cfRule>
    <cfRule type="expression" dxfId="214" priority="341">
      <formula>IF(AND(AA7=1,AB7=-1),1,0)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1">
      <formula>IF(BP14&lt;BP15,1,0)</formula>
    </cfRule>
    <cfRule type="expression" dxfId="185" priority="183">
      <formula>IF(BP14&gt;BP15,1,0)</formula>
    </cfRule>
  </conditionalFormatting>
  <conditionalFormatting sqref="BL18">
    <cfRule type="expression" dxfId="184" priority="178">
      <formula>IF(BP18&gt;BP19,1,0)</formula>
    </cfRule>
    <cfRule type="expression" dxfId="183" priority="176">
      <formula>IF(BP18&lt;BP19,1,0)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2">
      <formula>IF(BP22&gt;BP23,1,0)</formula>
    </cfRule>
    <cfRule type="expression" dxfId="179" priority="170">
      <formula>IF(BP22&lt;BP23,1,0)</formula>
    </cfRule>
  </conditionalFormatting>
  <conditionalFormatting sqref="BL23">
    <cfRule type="expression" dxfId="178" priority="171">
      <formula>IF(BP22&gt;BP23,1,0)</formula>
    </cfRule>
    <cfRule type="expression" dxfId="177" priority="169">
      <formula>IF(BP22&lt;BP23,1,0)</formula>
    </cfRule>
  </conditionalFormatting>
  <conditionalFormatting sqref="BL26">
    <cfRule type="expression" dxfId="176" priority="166">
      <formula>IF(BP26&gt;BP27,1,0)</formula>
    </cfRule>
    <cfRule type="expression" dxfId="175" priority="164">
      <formula>IF(BP26&lt;BP27,1,0)</formula>
    </cfRule>
  </conditionalFormatting>
  <conditionalFormatting sqref="BL27">
    <cfRule type="expression" dxfId="174" priority="165">
      <formula>IF(BP26&gt;BP27,1,0)</formula>
    </cfRule>
    <cfRule type="expression" dxfId="173" priority="163">
      <formula>IF(BP26&lt;BP27,1,0)</formula>
    </cfRule>
  </conditionalFormatting>
  <conditionalFormatting sqref="BL30">
    <cfRule type="expression" dxfId="172" priority="160">
      <formula>IF(BP30&gt;BP31,1,0)</formula>
    </cfRule>
    <cfRule type="expression" dxfId="171" priority="158">
      <formula>IF(BP30&lt;BP31,1,0)</formula>
    </cfRule>
  </conditionalFormatting>
  <conditionalFormatting sqref="BL31">
    <cfRule type="expression" dxfId="170" priority="159">
      <formula>IF(BP30&gt;BP31,1,0)</formula>
    </cfRule>
    <cfRule type="expression" dxfId="169" priority="157">
      <formula>IF(BP30&lt;BP31,1,0)</formula>
    </cfRule>
  </conditionalFormatting>
  <conditionalFormatting sqref="BL34">
    <cfRule type="expression" dxfId="168" priority="154">
      <formula>IF(BP34&gt;BP35,1,0)</formula>
    </cfRule>
    <cfRule type="expression" dxfId="167" priority="152">
      <formula>IF(BP34&lt;BP35,1,0)</formula>
    </cfRule>
  </conditionalFormatting>
  <conditionalFormatting sqref="BL35">
    <cfRule type="expression" dxfId="166" priority="153">
      <formula>IF(BP34&gt;BP35,1,0)</formula>
    </cfRule>
    <cfRule type="expression" dxfId="165" priority="151">
      <formula>IF(BP34&lt;BP35,1,0)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5">
      <formula>IF(BP46&gt;BP47,1,0)</formula>
    </cfRule>
    <cfRule type="expression" dxfId="153" priority="133">
      <formula>IF(BP46&lt;BP47,1,0)</formula>
    </cfRule>
  </conditionalFormatting>
  <conditionalFormatting sqref="BL50">
    <cfRule type="expression" dxfId="152" priority="130">
      <formula>IF(BP50&gt;BP51,1,0)</formula>
    </cfRule>
    <cfRule type="expression" dxfId="151" priority="128">
      <formula>IF(BP50&lt;BP51,1,0)</formula>
    </cfRule>
  </conditionalFormatting>
  <conditionalFormatting sqref="BL51">
    <cfRule type="expression" dxfId="150" priority="129">
      <formula>IF(BP50&gt;BP51,1,0)</formula>
    </cfRule>
    <cfRule type="expression" dxfId="149" priority="127">
      <formula>IF(BP50&lt;BP51,1,0)</formula>
    </cfRule>
  </conditionalFormatting>
  <conditionalFormatting sqref="BL54">
    <cfRule type="expression" dxfId="148" priority="124">
      <formula>IF(BP54&gt;BP55,1,0)</formula>
    </cfRule>
    <cfRule type="expression" dxfId="147" priority="122">
      <formula>IF(BP54&lt;BP55,1,0)</formula>
    </cfRule>
  </conditionalFormatting>
  <conditionalFormatting sqref="BL55">
    <cfRule type="expression" dxfId="146" priority="123">
      <formula>IF(BP54&gt;BP55,1,0)</formula>
    </cfRule>
    <cfRule type="expression" dxfId="145" priority="121">
      <formula>IF(BP54&lt;BP55,1,0)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2">
      <formula>IF(BP62&gt;BP63,1,0)</formula>
    </cfRule>
    <cfRule type="expression" dxfId="139" priority="110">
      <formula>IF(BP62&lt;BP63,1,0)</formula>
    </cfRule>
  </conditionalFormatting>
  <conditionalFormatting sqref="BL63">
    <cfRule type="expression" dxfId="138" priority="111">
      <formula>IF(BP62&gt;BP63,1,0)</formula>
    </cfRule>
    <cfRule type="expression" dxfId="137" priority="109">
      <formula>IF(BP62&lt;BP63,1,0)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3">
      <formula>IF(BP66&lt;BP67,1,0)</formula>
    </cfRule>
    <cfRule type="expression" dxfId="133" priority="105">
      <formula>IF(BP66&gt;BP67,1,0)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0">
      <formula>IF(BW12&lt;BW13,1,0)</formula>
    </cfRule>
    <cfRule type="expression" dxfId="95" priority="52">
      <formula>IF(BW12&gt;BW13,1,0)</formula>
    </cfRule>
  </conditionalFormatting>
  <conditionalFormatting sqref="BS13">
    <cfRule type="expression" dxfId="94" priority="49">
      <formula>IF(BW12&lt;BW13,1,0)</formula>
    </cfRule>
    <cfRule type="expression" dxfId="93" priority="51">
      <formula>IF(BW12&gt;BW13,1,0)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4">
      <formula>IF(BW28&gt;BW29,1,0)</formula>
    </cfRule>
    <cfRule type="expression" dxfId="87" priority="62">
      <formula>IF(BW28&lt;BW29,1,0)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9">
      <formula>IF(BW36&gt;BW37,1,0)</formula>
    </cfRule>
    <cfRule type="expression" dxfId="81" priority="67">
      <formula>IF(BW36&lt;BW37,1,0)</formula>
    </cfRule>
  </conditionalFormatting>
  <conditionalFormatting sqref="BS44">
    <cfRule type="expression" dxfId="80" priority="76">
      <formula>IF(BW44&gt;BW45,1,0)</formula>
    </cfRule>
    <cfRule type="expression" dxfId="79" priority="74">
      <formula>IF(BW44&lt;BW45,1,0)</formula>
    </cfRule>
  </conditionalFormatting>
  <conditionalFormatting sqref="BS45">
    <cfRule type="expression" dxfId="78" priority="73">
      <formula>IF(BW44&lt;BW45,1,0)</formula>
    </cfRule>
    <cfRule type="expression" dxfId="77" priority="75">
      <formula>IF(BW44&gt;BW45,1,0)</formula>
    </cfRule>
  </conditionalFormatting>
  <conditionalFormatting sqref="BS52">
    <cfRule type="expression" dxfId="76" priority="82">
      <formula>IF(BW52&gt;BW53,1,0)</formula>
    </cfRule>
    <cfRule type="expression" dxfId="75" priority="80">
      <formula>IF(BW52&lt;BW53,1,0)</formula>
    </cfRule>
  </conditionalFormatting>
  <conditionalFormatting sqref="BS53">
    <cfRule type="expression" dxfId="74" priority="81">
      <formula>IF(BW52&gt;BW53,1,0)</formula>
    </cfRule>
    <cfRule type="expression" dxfId="73" priority="79">
      <formula>IF(BW52&lt;BW53,1,0)</formula>
    </cfRule>
  </conditionalFormatting>
  <conditionalFormatting sqref="BS60">
    <cfRule type="expression" dxfId="72" priority="88">
      <formula>IF(BW60&gt;BW61,1,0)</formula>
    </cfRule>
    <cfRule type="expression" dxfId="71" priority="86">
      <formula>IF(BW60&lt;BW61,1,0)</formula>
    </cfRule>
  </conditionalFormatting>
  <conditionalFormatting sqref="BS61">
    <cfRule type="expression" dxfId="70" priority="85">
      <formula>IF(BW60&lt;BW61,1,0)</formula>
    </cfRule>
    <cfRule type="expression" dxfId="69" priority="87">
      <formula>IF(BW60&gt;BW61,1,0)</formula>
    </cfRule>
  </conditionalFormatting>
  <conditionalFormatting sqref="BS68">
    <cfRule type="expression" dxfId="68" priority="92">
      <formula>IF(BW68&lt;BW69,1,0)</formula>
    </cfRule>
    <cfRule type="expression" dxfId="67" priority="94">
      <formula>IF(BW68&gt;BW69,1,0)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40">
      <formula>IF(CD32&gt;CD33,1,0)</formula>
    </cfRule>
    <cfRule type="expression" dxfId="43" priority="38">
      <formula>IF(CD32&lt;CD33,1,0)</formula>
    </cfRule>
  </conditionalFormatting>
  <conditionalFormatting sqref="BZ33">
    <cfRule type="expression" dxfId="42" priority="39">
      <formula>IF(CD32&gt;CD33,1,0)</formula>
    </cfRule>
    <cfRule type="expression" dxfId="41" priority="37">
      <formula>IF(CD32&lt;CD33,1,0)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1">
      <formula>IF(CD48&lt;CD49,1,0)</formula>
    </cfRule>
    <cfRule type="expression" dxfId="37" priority="33">
      <formula>IF(CD48&gt;CD49,1,0)</formula>
    </cfRule>
  </conditionalFormatting>
  <conditionalFormatting sqref="BZ64">
    <cfRule type="expression" dxfId="36" priority="26">
      <formula>IF(CD64&lt;CD65,1,0)</formula>
    </cfRule>
    <cfRule type="expression" dxfId="35" priority="28">
      <formula>IF(CD64&gt;CD65,1,0)</formula>
    </cfRule>
  </conditionalFormatting>
  <conditionalFormatting sqref="BZ65">
    <cfRule type="expression" dxfId="34" priority="27">
      <formula>IF(CD64&gt;CD65,1,0)</formula>
    </cfRule>
    <cfRule type="expression" dxfId="33" priority="25">
      <formula>IF(CD64&lt;CD65,1,0)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3">
      <formula>IF(CK23&lt;CK24,1,0)</formula>
    </cfRule>
    <cfRule type="expression" dxfId="21" priority="15">
      <formula>IF(CK23&gt;CK24,1,0)</formula>
    </cfRule>
  </conditionalFormatting>
  <conditionalFormatting sqref="CG55">
    <cfRule type="expression" dxfId="20" priority="22">
      <formula>IF(CK55&gt;CK56,1,0)</formula>
    </cfRule>
    <cfRule type="expression" dxfId="19" priority="20">
      <formula>IF(CK55&lt;CK56,1,0)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453125" defaultRowHeight="15" x14ac:dyDescent="0.2"/>
  <cols>
    <col min="1" max="1" width="2.41796875" style="82" customWidth="1"/>
    <col min="2" max="2" width="9.14453125" style="81"/>
    <col min="3" max="3" width="13.71875" style="81" customWidth="1"/>
    <col min="4" max="11" width="9.4140625" style="81" customWidth="1"/>
    <col min="12" max="16384" width="9.14453125" style="82"/>
  </cols>
  <sheetData>
    <row r="1" spans="2:11" ht="8.25" customHeight="1" x14ac:dyDescent="0.2"/>
    <row r="2" spans="2:11" ht="21" x14ac:dyDescent="0.2">
      <c r="B2" s="108" t="s">
        <v>3193</v>
      </c>
    </row>
    <row r="3" spans="2:11" x14ac:dyDescent="0.2">
      <c r="B3" s="109">
        <f>MATCH(C3,C6:C500,0)</f>
        <v>185</v>
      </c>
      <c r="C3" s="121" t="str">
        <f>'2026 World Cup'!AR91</f>
        <v>ADEGHIJL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3J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3H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Dagfinn Hagen</cp:lastModifiedBy>
  <cp:revision/>
  <dcterms:created xsi:type="dcterms:W3CDTF">2017-12-27T19:32:51Z</dcterms:created>
  <dcterms:modified xsi:type="dcterms:W3CDTF">2026-06-04T15:44:04Z</dcterms:modified>
  <cp:category>Sports</cp:category>
  <cp:contentStatus/>
</cp:coreProperties>
</file>
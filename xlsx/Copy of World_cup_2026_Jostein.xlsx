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teira\UiO Dropbox\Jostein Askim\privat\"/>
    </mc:Choice>
  </mc:AlternateContent>
  <xr:revisionPtr revIDLastSave="0" documentId="8_{71AB7840-FBD8-4AE2-93CD-6B2F9E270011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S54" i="3"/>
  <c r="S77" i="3"/>
  <c r="T78" i="3"/>
  <c r="S50" i="3"/>
  <c r="S76" i="3"/>
  <c r="S47" i="3"/>
  <c r="S67" i="3"/>
  <c r="T48" i="3"/>
  <c r="T43" i="3"/>
  <c r="S72" i="3"/>
  <c r="T44" i="3"/>
  <c r="S70" i="3"/>
  <c r="S42" i="3"/>
  <c r="S64" i="3"/>
  <c r="T41" i="3"/>
  <c r="S40" i="3"/>
  <c r="S62" i="3"/>
  <c r="T61" i="3"/>
  <c r="T16" i="3"/>
  <c r="T39" i="3"/>
  <c r="S38" i="3"/>
  <c r="S65" i="3"/>
  <c r="T66" i="3"/>
  <c r="S55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N3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44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<sst xmlns="http://schemas.openxmlformats.org/spreadsheetml/2006/main" count="9786" uniqueCount="3698">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</sst>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1" zoomScaleNormal="100" workbookViewId="0">
      <selection activeCell="CQ73" sqref="CQ73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0</v>
      </c>
      <c r="AG8" s="123">
        <f>COUNTIF($S$7:$T$78,"=" &amp; AE8 &amp; "_draw")</f>
        <v>2</v>
      </c>
      <c r="AH8" s="123">
        <f>COUNTIF($S$7:$T$78,"=" &amp; AE8 &amp; "_lose")</f>
        <v>1</v>
      </c>
      <c r="AI8" s="123">
        <f>SUMIF($E$7:$E$78,$AE8,$F$7:$F$78) + SUMIF($H$7:$H$78,$AE8,$G$7:$G$78)</f>
        <v>3</v>
      </c>
      <c r="AJ8" s="123">
        <f>SUMIF($E$7:$E$78,$AE8,$G$7:$G$78) + SUMIF($H$7:$H$78,$AE8,$F$7:$F$78)</f>
        <v>4</v>
      </c>
      <c r="AL8" s="123">
        <f>AI8-AJ8</f>
        <v>-1</v>
      </c>
      <c r="AM8" s="123">
        <f>AL8-AL12</f>
        <v>2</v>
      </c>
      <c r="AN8" s="123">
        <f>AF8*3+AG8</f>
        <v>2</v>
      </c>
      <c r="AO8" s="123">
        <f>AN8/AN12*10+BA8</f>
        <v>2</v>
      </c>
      <c r="AP8" s="123">
        <f>AO8*10000000+BI8*100+AM8/AM12*10+AI8/AI12*1++IF(AQ8=0,ROW(),AQ8)/2000000</f>
        <v>20000002.651634168</v>
      </c>
      <c r="AQ8" s="126">
        <f>VLOOKUP(AE8,db_fifarank,2,FALSE)</f>
        <v>1681.03</v>
      </c>
      <c r="AR8" s="125">
        <f>AP8/AP12</f>
        <v>0.2222222251494507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10000000.143572008</v>
      </c>
      <c r="AQ9" s="126">
        <f>VLOOKUP(AE9,db_fifarank,2,FALSE)</f>
        <v>1429.73</v>
      </c>
      <c r="AR9" s="125">
        <f>AP9/AP12</f>
        <v>0.11111109943867052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3</v>
      </c>
      <c r="AG10" s="123">
        <f>COUNTIF($S$7:$T$78,"=" &amp; AE10 &amp; "_draw")</f>
        <v>0</v>
      </c>
      <c r="AH10" s="123">
        <f>COUNTIF($S$7:$T$78,"=" &amp; AE10 &amp; "_lose")</f>
        <v>0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1</v>
      </c>
      <c r="AL10" s="123">
        <f>AI10-AJ10</f>
        <v>5</v>
      </c>
      <c r="AM10" s="123">
        <f>AL10-AL12</f>
        <v>8</v>
      </c>
      <c r="AN10" s="123">
        <f>AF10*3+AG10</f>
        <v>9</v>
      </c>
      <c r="AO10" s="123">
        <f>AN10/AN12*10+BA10</f>
        <v>9</v>
      </c>
      <c r="AP10" s="123">
        <f>AO10*10000000+BI10*100+AM10/AM12*10+AI10/AI12*1++IF(AQ10=0,ROW(),AQ10)/2000000</f>
        <v>90000009.746826082</v>
      </c>
      <c r="AQ10" s="126">
        <f>VLOOKUP(AE10,db_fifarank,2,FALSE)</f>
        <v>1588.66</v>
      </c>
      <c r="AR10" s="125">
        <f>AP10/AP12</f>
        <v>0.99999998888889019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>
        <v>2</v>
      </c>
      <c r="BO10" s="25"/>
      <c r="BP10" s="112">
        <f>IF(OR(BM10="",BM11="",AND(BN10="",BN11&lt;&gt;""),AND(BN11="",BN10&lt;&gt;""),AND(BO10="",BO11&lt;&gt;""),AND(BO11="",BO10&lt;&gt;"")),"",BM10*1000+BN10*10+BO10)</f>
        <v>1020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40000002.508687198</v>
      </c>
      <c r="AQ11" s="126">
        <f>VLOOKUP(AE11,db_fifarank,2,FALSE)</f>
        <v>1501.38</v>
      </c>
      <c r="AR11" s="125">
        <f>AP11/AP12</f>
        <v>0.44444441924800354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>
        <v>1</v>
      </c>
      <c r="BO11" s="27"/>
      <c r="BP11" s="113">
        <f>IF(BP10="","",BM11*1000+BN11*10+BO11)</f>
        <v>1010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90000010.746826082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5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50000005.375778243</v>
      </c>
      <c r="AQ14" s="126">
        <f>VLOOKUP(AE14,db_fifarank,2,FALSE)</f>
        <v>1556.48</v>
      </c>
      <c r="AR14" s="125">
        <f>AP14/AP18</f>
        <v>0.57142856184024426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6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62500006.500692919</v>
      </c>
      <c r="AQ15" s="126">
        <f>VLOOKUP(AE15,db_fifarank,2,FALSE)</f>
        <v>1385.84</v>
      </c>
      <c r="AR15" s="125">
        <f>AP15/AP18</f>
        <v>0.71428569979710699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8.3140561094603794E-12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3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87500009.875824705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8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87500010.875824705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>
        <v>1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14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0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0</v>
      </c>
      <c r="W19" s="123">
        <f t="shared" si="4"/>
        <v>0</v>
      </c>
      <c r="X19" s="123">
        <f t="shared" si="9"/>
        <v>1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Bosnia and Herzegovina</v>
      </c>
      <c r="BM19" s="62">
        <v>0</v>
      </c>
      <c r="BN19" s="64">
        <v>1</v>
      </c>
      <c r="BO19" s="27">
        <v>3</v>
      </c>
      <c r="BP19" s="113">
        <f>IF(BP18="","",BM19*1000+BN19*10+BO19)</f>
        <v>13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14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60000008.936174698</v>
      </c>
      <c r="AQ20" s="126">
        <f>VLOOKUP(AE20,db_fifarank,2,FALSE)</f>
        <v>1761.16</v>
      </c>
      <c r="AR20" s="125">
        <f>AP20/AP24</f>
        <v>0.6666666821601418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3</v>
      </c>
      <c r="AL21" s="123">
        <f>AI21-AJ21</f>
        <v>6</v>
      </c>
      <c r="AM21" s="123">
        <f>AL21-AL24</f>
        <v>16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90000010.312642649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Brazil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11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1.118287137213525E-9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10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30000006.383102115</v>
      </c>
      <c r="AQ23" s="126">
        <f>VLOOKUP(AE23,db_fifarank,2,FALSE)</f>
        <v>1498.35</v>
      </c>
      <c r="AR23" s="125">
        <f>AP23/AP24</f>
        <v>0.33333336235801003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1 - 11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-10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90000011.312642649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0</v>
      </c>
      <c r="AL26" s="123">
        <f>AI26-AJ26</f>
        <v>4</v>
      </c>
      <c r="AM26" s="123">
        <f>AL26-AL30</f>
        <v>7</v>
      </c>
      <c r="AN26" s="123">
        <f>AF26*3+AG26</f>
        <v>7</v>
      </c>
      <c r="AO26" s="123">
        <f>AN26/AN30*10+BA26</f>
        <v>9.735221674876847</v>
      </c>
      <c r="AP26" s="123">
        <f>AO26*10000000+BI26*100+AM26/AM30*10+AI26/AI30*1++IF(AQ26=0,ROW(),AQ26)/2000000</f>
        <v>97352324.821772516</v>
      </c>
      <c r="AQ26" s="126">
        <f>VLOOKUP(AE26,db_fifarank,2,FALSE)</f>
        <v>1673.13</v>
      </c>
      <c r="AR26" s="125">
        <f>AP26/AP30</f>
        <v>0.99999998972803172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100</v>
      </c>
      <c r="BA26" s="126">
        <f>AZ26/AZ30</f>
        <v>0.98522167487684731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100</v>
      </c>
      <c r="BI26" s="126">
        <f>BH26/BH30</f>
        <v>0.98522167487684731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4 - 0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2.2401477832512313</v>
      </c>
      <c r="AP27" s="123">
        <f>AO27*10000000+BI27*100+AM27/AM30*10+AI27/AI30*1++IF(AQ27=0,ROW(),AQ27)/2000000</f>
        <v>22401577.248042382</v>
      </c>
      <c r="AQ27" s="126">
        <f>VLOOKUP(AE27,db_fifarank,2,FALSE)</f>
        <v>1503.5</v>
      </c>
      <c r="AR27" s="125">
        <f>AP27/AP30</f>
        <v>0.23010829026369647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100.5</v>
      </c>
      <c r="BA27" s="126">
        <f>AZ27/AZ30</f>
        <v>0.99014778325123154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100.5</v>
      </c>
      <c r="BI27" s="126">
        <f>BH27/BH30</f>
        <v>0.99014778325123154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2.2401477832512313</v>
      </c>
      <c r="AP28" s="123">
        <f>AO28*10000000+BI28*100+AM28/AM30*10+AI28/AI30*1++IF(AQ28=0,ROW(),AQ28)/2000000</f>
        <v>22401577.248080969</v>
      </c>
      <c r="AQ28" s="126">
        <f>VLOOKUP(AE28,db_fifarank,2,FALSE)</f>
        <v>1580.67</v>
      </c>
      <c r="AR28" s="125">
        <f>AP28/AP30</f>
        <v>0.23010829026409282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100.5</v>
      </c>
      <c r="BA28" s="126">
        <f>AZ28/AZ30</f>
        <v>0.99014778325123154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100.5</v>
      </c>
      <c r="BI28" s="126">
        <f>BH28/BH30</f>
        <v>0.99014778325123154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2 - 5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9.735221674876847</v>
      </c>
      <c r="AP29" s="123">
        <f>AO29*10000000+BI29*100+AM29/AM30*10+AI29/AI30*1++IF(AQ29=0,ROW(),AQ29)/2000000</f>
        <v>97352322.321735471</v>
      </c>
      <c r="AQ29" s="126">
        <f>VLOOKUP(AE29,db_fifarank,2,FALSE)</f>
        <v>1599.04</v>
      </c>
      <c r="AR29" s="125">
        <f>AP29/AP30</f>
        <v>0.99999996404773062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100</v>
      </c>
      <c r="BA29" s="126">
        <f>AZ29/AZ30</f>
        <v>0.98522167487684731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100</v>
      </c>
      <c r="BI29" s="126">
        <f>BH29/BH30</f>
        <v>0.98522167487684731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5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10.735221674876847</v>
      </c>
      <c r="AP30" s="123">
        <f>MAX(AP26:AP29)+1</f>
        <v>97352325.821772516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101.5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13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87500010.161579475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>
        <v>2</v>
      </c>
      <c r="CC32" s="25"/>
      <c r="CD32" s="116">
        <f>IF(OR(CA32="",CA33="",AND(CB32="",CB33&lt;&gt;""),AND(CB33="",CB32&lt;&gt;""),AND(CC32="",CC33&lt;&gt;""),AND(CC33="",CC32&lt;&gt;"")),"",CA32*1000+CB32*10+CC32)</f>
        <v>1020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7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7.3979990563045219E-12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>
        <v>1</v>
      </c>
      <c r="CC33" s="27"/>
      <c r="CD33" s="112">
        <f>IF(CD32="","",CA33*1000+CB33*10+CC33)</f>
        <v>1010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4 - 1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1</v>
      </c>
      <c r="AL34" s="123">
        <f>AI34-AJ34</f>
        <v>3</v>
      </c>
      <c r="AM34" s="123">
        <f>AL34-AL36</f>
        <v>11</v>
      </c>
      <c r="AN34" s="123">
        <f>AF34*3+AG34</f>
        <v>5</v>
      </c>
      <c r="AO34" s="123">
        <f>AN34/AN36*10+BA34</f>
        <v>6.25</v>
      </c>
      <c r="AP34" s="123">
        <f>AO34*10000000+BI34*100+AM34/AM36*10+AI34/AI36*1++IF(AQ34=0,ROW(),AQ34)/2000000</f>
        <v>62500008.357909352</v>
      </c>
      <c r="AQ34" s="126">
        <f>VLOOKUP(AE34,db_fifarank,2,FALSE)</f>
        <v>1532.98</v>
      </c>
      <c r="AR34" s="125">
        <f>AP34/AP36</f>
        <v>0.71428571868974322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2 - 2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5</v>
      </c>
      <c r="AP35" s="123">
        <f>AO35*10000000+BI35*100+AM35/AM36*10+AI35/AI36*1++IF(AQ35=0,ROW(),AQ35)/2000000</f>
        <v>50000005.965083107</v>
      </c>
      <c r="AQ35" s="126">
        <f>VLOOKUP(AE35,db_fifarank,2,FALSE)</f>
        <v>1594.78</v>
      </c>
      <c r="AR35" s="125">
        <f>AP35/AP36</f>
        <v>0.57142856670900277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14</v>
      </c>
      <c r="AN36" s="123">
        <f>MAX(AN32:AN35)+1</f>
        <v>8</v>
      </c>
      <c r="AO36" s="123">
        <f>MAX(AO32:AO35)+1</f>
        <v>9.75</v>
      </c>
      <c r="AP36" s="123">
        <f>MAX(AP32:AP35)+1</f>
        <v>87500011.161579475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2</v>
      </c>
      <c r="CQ37" s="25"/>
      <c r="CR37" s="111">
        <f>IF(OR(CO37="",CO38="",AND(CP37="",CP38&lt;&gt;""),AND(CP38="",CP37&lt;&gt;""),AND(CQ37="",CQ38&lt;&gt;""),AND(CQ38="",CQ37&lt;&gt;"")),"",CO37*1000+CP37*10+CQ37)</f>
        <v>1020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1</v>
      </c>
      <c r="AH38" s="123">
        <f>COUNTIF($S$7:$T$78,"=" &amp; AE38 &amp; "_lose")</f>
        <v>1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2</v>
      </c>
      <c r="AL38" s="123">
        <f>AI38-AJ38</f>
        <v>1</v>
      </c>
      <c r="AM38" s="123">
        <f>AL38-AL42</f>
        <v>3</v>
      </c>
      <c r="AN38" s="123">
        <f>AF38*3+AG38</f>
        <v>4</v>
      </c>
      <c r="AO38" s="123">
        <f>AN38/AN42*10+BA38</f>
        <v>5</v>
      </c>
      <c r="AP38" s="123">
        <f>AO38*10000000+BI38*100+AM38/AM42*10+AI38/AI42*1++IF(AQ38=0,ROW(),AQ38)/2000000</f>
        <v>50000005.500878938</v>
      </c>
      <c r="AQ38" s="126">
        <f>VLOOKUP(AE38,db_fifarank,2,FALSE)</f>
        <v>1757.87</v>
      </c>
      <c r="AR38" s="125">
        <f>AP38/AP42</f>
        <v>0.57142856789578012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>
        <v>1</v>
      </c>
      <c r="BO38" s="25">
        <v>3</v>
      </c>
      <c r="BP38" s="116">
        <f>IF(OR(BM38="",BM39="",AND(BN38="",BN39&lt;&gt;""),AND(BN39="",BN38&lt;&gt;""),AND(BO38="",BO39&lt;&gt;""),AND(BO39="",BO38&lt;&gt;"")),"",BM38*1000+BN38*10+BO38)</f>
        <v>1013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1</v>
      </c>
      <c r="CP38" s="64">
        <v>1</v>
      </c>
      <c r="CQ38" s="27"/>
      <c r="CR38" s="111">
        <f>IF(CR37="","",CO38*1000+CP38*10+CQ38)</f>
        <v>1010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2</v>
      </c>
      <c r="AL39" s="123">
        <f>AI39-AJ39</f>
        <v>3</v>
      </c>
      <c r="AM39" s="123">
        <f>AL39-AL42</f>
        <v>5</v>
      </c>
      <c r="AN39" s="123">
        <f>AF39*3+AG39</f>
        <v>7</v>
      </c>
      <c r="AO39" s="123">
        <f>AN39/AN42*10+BA39</f>
        <v>8.75</v>
      </c>
      <c r="AP39" s="123">
        <f>AO39*10000000+BI39*100+AM39/AM42*10+AI39/AI42*1++IF(AQ39=0,ROW(),AQ39)/2000000</f>
        <v>87500009.167496875</v>
      </c>
      <c r="AQ39" s="126">
        <f>VLOOKUP(AE39,db_fifarank,2,FALSE)</f>
        <v>1660.43</v>
      </c>
      <c r="AR39" s="125">
        <f>AP39/AP42</f>
        <v>0.99999998857142991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Norway</v>
      </c>
      <c r="BM39" s="62">
        <v>1</v>
      </c>
      <c r="BN39" s="64">
        <v>1</v>
      </c>
      <c r="BO39" s="27">
        <v>2</v>
      </c>
      <c r="BP39" s="112">
        <f>IF(BP38="","",BM39*1000+BN39*10+BO39)</f>
        <v>1012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3 - 2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0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37500000.500757381</v>
      </c>
      <c r="AQ40" s="126">
        <f>VLOOKUP(AE40,db_fifarank,2,FALSE)</f>
        <v>1514.77</v>
      </c>
      <c r="AR40" s="125">
        <f>AP40/AP42</f>
        <v>0.42857138449439053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2</v>
      </c>
      <c r="AL41" s="123">
        <f>AI41-AJ41</f>
        <v>-2</v>
      </c>
      <c r="AM41" s="123">
        <f>AL41-AL42</f>
        <v>0</v>
      </c>
      <c r="AN41" s="123">
        <f>AF41*3+AG41</f>
        <v>2</v>
      </c>
      <c r="AO41" s="123">
        <f>AN41/AN42*10+BA41</f>
        <v>2.5</v>
      </c>
      <c r="AP41" s="123">
        <f>AO41*10000000+BI41*100+AM41/AM42*10+AI41/AI42*1++IF(AQ41=0,ROW(),AQ41)/2000000</f>
        <v>25000000.000741526</v>
      </c>
      <c r="AQ41" s="126">
        <f>VLOOKUP(AE41,db_fifarank,2,FALSE)</f>
        <v>1483.05</v>
      </c>
      <c r="AR41" s="125">
        <f>AP41/AP42</f>
        <v>0.28571425252277438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0 - 2</v>
      </c>
      <c r="P42" s="37">
        <f>L42*3+M42</f>
        <v>2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6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87500010.167496875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Netherlands</v>
      </c>
      <c r="BM43" s="62">
        <v>3</v>
      </c>
      <c r="BN43" s="64"/>
      <c r="BO43" s="27"/>
      <c r="BP43" s="113">
        <f>IF(BP42="","",BM43*1000+BN43*10+BO43)</f>
        <v>3000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11</v>
      </c>
      <c r="AN44" s="123">
        <f>AF44*3+AG44</f>
        <v>7</v>
      </c>
      <c r="AO44" s="123">
        <f>AN44/AN48*10+BA44</f>
        <v>9.7401960784313726</v>
      </c>
      <c r="AP44" s="123">
        <f>AO44*10000000+BI44*100+AM44/AM48*10+AI44/AI48*1++IF(AQ44=0,ROW(),AQ44)/2000000</f>
        <v>97402069.860344484</v>
      </c>
      <c r="AQ44" s="126">
        <f>VLOOKUP(AE44,db_fifarank,2,FALSE)</f>
        <v>1734.71</v>
      </c>
      <c r="AR44" s="125">
        <f>AP44/AP48</f>
        <v>0.99999998973327786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0.99019607843137258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0.99019607843137258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Netherlands</v>
      </c>
      <c r="BT44" s="61">
        <v>1</v>
      </c>
      <c r="BU44" s="63">
        <v>1</v>
      </c>
      <c r="BV44" s="25"/>
      <c r="BW44" s="112">
        <f>IF(OR(BT44="",BT45="",AND(BU44="",BU45&lt;&gt;""),AND(BU45="",BU44&lt;&gt;""),AND(BV44="",BV45&lt;&gt;""),AND(BV45="",BV44&lt;&gt;"")),"",BT44*1000+BU44*10+BV44)</f>
        <v>1010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7</v>
      </c>
      <c r="AN45" s="123">
        <f>AF45*3+AG45</f>
        <v>7</v>
      </c>
      <c r="AO45" s="123">
        <f>AN45/AN48*10+BA45</f>
        <v>9.7401960784313726</v>
      </c>
      <c r="AP45" s="123">
        <f>AO45*10000000+BI45*100+AM45/AM48*10+AI45/AI48*1++IF(AQ45=0,ROW(),AQ45)/2000000</f>
        <v>97402066.082480967</v>
      </c>
      <c r="AQ45" s="126">
        <f>VLOOKUP(AE45,db_fifarank,2,FALSE)</f>
        <v>1563.24</v>
      </c>
      <c r="AR45" s="125">
        <f>AP45/AP48</f>
        <v>0.99999995094700267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0.99019607843137258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0.99019607843137258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>
        <v>2</v>
      </c>
      <c r="BV45" s="27"/>
      <c r="BW45" s="113">
        <f>IF(BW44="","",BT45*1000+BU45*10+BV45)</f>
        <v>1020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4 - 2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2</v>
      </c>
      <c r="AN46" s="123">
        <f>AF46*3+AG46</f>
        <v>1</v>
      </c>
      <c r="AO46" s="123">
        <f>AN46/AN48*10+BA46</f>
        <v>2.2352941176470589</v>
      </c>
      <c r="AP46" s="123">
        <f>AO46*10000000+BI46*100+AM46/AM48*10+AI46/AI48*1++IF(AQ46=0,ROW(),AQ46)/2000000</f>
        <v>22353041.484467782</v>
      </c>
      <c r="AQ46" s="126">
        <f>VLOOKUP(AE46,db_fifarank,2,FALSE)</f>
        <v>1615.3</v>
      </c>
      <c r="AR46" s="125">
        <f>AP46/AP48</f>
        <v>0.22949246650533406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0.98529411764705888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0.98529411764705888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2.2352941176470589</v>
      </c>
      <c r="AP47" s="123">
        <f>AO47*10000000+BI47*100+AM47/AM48*10+AI47/AI48*1++IF(AQ47=0,ROW(),AQ47)/2000000</f>
        <v>22353039.817634247</v>
      </c>
      <c r="AQ47" s="126">
        <f>VLOOKUP(AE47,db_fifarank,2,FALSE)</f>
        <v>1281.57</v>
      </c>
      <c r="AR47" s="125">
        <f>AP47/AP48</f>
        <v>0.22949244939241728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100.5</v>
      </c>
      <c r="BA47" s="126">
        <f>AZ47/AZ48</f>
        <v>0.98529411764705888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100.5</v>
      </c>
      <c r="BI47" s="126">
        <f>BH47/BH48</f>
        <v>0.98529411764705888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12</v>
      </c>
      <c r="AN48" s="123">
        <f>MAX(AN44:AN47)+1</f>
        <v>8</v>
      </c>
      <c r="AO48" s="123">
        <f>MAX(AO44:AO47)+1</f>
        <v>10.740196078431373</v>
      </c>
      <c r="AP48" s="123">
        <f>MAX(AP44:AP47)+1</f>
        <v>97402070.860344484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Senegal</v>
      </c>
      <c r="CA48" s="61">
        <v>0</v>
      </c>
      <c r="CB48" s="63">
        <v>0</v>
      </c>
      <c r="CC48" s="25">
        <v>2</v>
      </c>
      <c r="CD48" s="112">
        <f>IF(OR(CA48="",CA49="",AND(CB48="",CB49&lt;&gt;""),AND(CB49="",CB48&lt;&gt;""),AND(CC48="",CC49&lt;&gt;""),AND(CC49="",CC48&lt;&gt;"")),"",CA48*1000+CB48*10+CC48)</f>
        <v>2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4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4000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>
        <v>0</v>
      </c>
      <c r="CC49" s="27">
        <v>4</v>
      </c>
      <c r="CD49" s="113">
        <f>IF(CD48="","",CA49*1000+CB49*10+CC49)</f>
        <v>4</v>
      </c>
      <c r="CK49" s="114"/>
      <c r="CL49" s="115"/>
      <c r="CM49" s="132"/>
      <c r="CN49" s="26" t="str">
        <f>IF(CK55&gt;CK56,CG56,IF(CK55&lt;CK56,CG55,""))</f>
        <v>Argentina</v>
      </c>
      <c r="CO49" s="62">
        <v>3</v>
      </c>
      <c r="CP49" s="64"/>
      <c r="CQ49" s="27"/>
      <c r="CR49" s="111">
        <f>IF(CR48="","",CO49*1000+CP49*10+CQ49)</f>
        <v>3000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1</v>
      </c>
      <c r="AL50" s="123">
        <f>AI50-AJ50</f>
        <v>10</v>
      </c>
      <c r="AM50" s="123">
        <f>AL50-AL54</f>
        <v>19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90000010.417604879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8.4016398333333325E-2</v>
      </c>
      <c r="AQ51" s="126">
        <f>VLOOKUP(AE51,db_fifarank,2,FALSE)</f>
        <v>1366.13</v>
      </c>
      <c r="AR51" s="125">
        <f>AP51/AP54</f>
        <v>9.3351541860914581E-10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4 - 4</v>
      </c>
      <c r="P52" s="34">
        <f>L52*3+M52</f>
        <v>4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2</v>
      </c>
      <c r="AL52" s="123">
        <f>AI52-AJ52</f>
        <v>-1</v>
      </c>
      <c r="AM52" s="123">
        <f>AL52-AL54</f>
        <v>8</v>
      </c>
      <c r="AN52" s="123">
        <f>AF52*3+AG52</f>
        <v>4</v>
      </c>
      <c r="AO52" s="123">
        <f>AN52/AN54*10+BA52</f>
        <v>4.9803921568627452</v>
      </c>
      <c r="AP52" s="123">
        <f>AO52*10000000+BI52*100+AM52/AM54*10+AI52/AI54*1++IF(AQ52=0,ROW(),AQ52)/2000000</f>
        <v>49804023.691887192</v>
      </c>
      <c r="AQ52" s="126">
        <f>VLOOKUP(AE52,db_fifarank,2,FALSE)</f>
        <v>1421.43</v>
      </c>
      <c r="AR52" s="125">
        <f>AP52/AP54</f>
        <v>0.55337797081817974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1 - 2</v>
      </c>
      <c r="P53" s="34">
        <f>L53*3+M53</f>
        <v>4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4</v>
      </c>
      <c r="AL53" s="123">
        <f>AI53-AJ53</f>
        <v>0</v>
      </c>
      <c r="AM53" s="123">
        <f>AL53-AL54</f>
        <v>9</v>
      </c>
      <c r="AN53" s="123">
        <f>AF53*3+AG53</f>
        <v>4</v>
      </c>
      <c r="AO53" s="123">
        <f>AN53/AN54*10+BA53</f>
        <v>4.9803921568627452</v>
      </c>
      <c r="AP53" s="123">
        <f>AO53*10000000+BI53*100+AM53/AM54*10+AI53/AI54*1++IF(AQ53=0,ROW(),AQ53)/2000000</f>
        <v>49804024.44201301</v>
      </c>
      <c r="AQ53" s="126">
        <f>VLOOKUP(AE53,db_fifarank,2,FALSE)</f>
        <v>1673.07</v>
      </c>
      <c r="AR53" s="125">
        <f>AP53/AP54</f>
        <v>0.55337797915290998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</v>
      </c>
      <c r="BA53" s="126">
        <f>AZ53/AZ54</f>
        <v>0.98039215686274506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</v>
      </c>
      <c r="BI53" s="126">
        <f>BH53/BH54</f>
        <v>0.98039215686274506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1 - 10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1</v>
      </c>
      <c r="W54" s="123">
        <f t="shared" si="22"/>
        <v>1</v>
      </c>
      <c r="X54" s="123">
        <f t="shared" si="9"/>
        <v>1</v>
      </c>
      <c r="Y54" s="123">
        <f t="shared" si="10"/>
        <v>1</v>
      </c>
      <c r="Z54" s="123">
        <f t="shared" si="11"/>
        <v>1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12</v>
      </c>
      <c r="AL54" s="123">
        <f>MIN(AL50:AL53)</f>
        <v>-9</v>
      </c>
      <c r="AM54" s="123">
        <f>MAX(AM50:AM53)+1</f>
        <v>20</v>
      </c>
      <c r="AN54" s="123">
        <f>MAX(AN50:AN53)+1</f>
        <v>10</v>
      </c>
      <c r="AO54" s="123">
        <f>MAX(AO50:AO53)+1</f>
        <v>10</v>
      </c>
      <c r="AP54" s="123">
        <f>MAX(AP50:AP53)+1</f>
        <v>90000011.417604879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4</v>
      </c>
      <c r="AL56" s="123">
        <f>AI56-AJ56</f>
        <v>4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90000009.889827549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8 - 4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6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49805929.968482025</v>
      </c>
      <c r="AQ57" s="126">
        <f>VLOOKUP(AE57,db_fifarank,2,FALSE)</f>
        <v>1688.99</v>
      </c>
      <c r="AR57" s="125">
        <f>AP57/AP60</f>
        <v>0.55339915491178515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0.22294579222222222</v>
      </c>
      <c r="AQ58" s="126">
        <f>VLOOKUP(AE58,db_fifarank,2,FALSE)</f>
        <v>1447.14</v>
      </c>
      <c r="AR58" s="125">
        <f>AP58/AP60</f>
        <v>2.4771751694023534E-9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1</v>
      </c>
      <c r="BO58" s="25">
        <v>3</v>
      </c>
      <c r="BP58" s="112">
        <f>IF(OR(BM58="",BM59="",AND(BN58="",BN59&lt;&gt;""),AND(BN59="",BN58&lt;&gt;""),AND(BO58="",BO59&lt;&gt;""),AND(BO59="",BO58&lt;&gt;"")),"",BM58*1000+BN58*10+BO58)</f>
        <v>1013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5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49805928.635079674</v>
      </c>
      <c r="AQ59" s="126">
        <f>VLOOKUP(AE59,db_fifarank,2,FALSE)</f>
        <v>1550.94</v>
      </c>
      <c r="AR59" s="125">
        <f>AP59/AP60</f>
        <v>0.55339914009620528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>
        <v>1</v>
      </c>
      <c r="BO59" s="27">
        <v>2</v>
      </c>
      <c r="BP59" s="113">
        <f>IF(BP58="","",BM59*1000+BN59*10+BO59)</f>
        <v>1012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-5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90000010.889827549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>
        <v>2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1024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5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30000004.667448796</v>
      </c>
      <c r="AQ63" s="126">
        <f>VLOOKUP(AE63,db_fifarank,2,FALSE)</f>
        <v>1564.26</v>
      </c>
      <c r="AR63" s="125">
        <f>AP63/AP66</f>
        <v>0.33333334429534051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2</v>
      </c>
      <c r="BO63" s="27">
        <v>2</v>
      </c>
      <c r="BP63" s="112">
        <f>IF(BP62="","",BM63*1000+BN63*10+BO63)</f>
        <v>1022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0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60000007.292463392</v>
      </c>
      <c r="AQ64" s="126">
        <f>VLOOKUP(AE64,db_fifarank,2,FALSE)</f>
        <v>1593.45</v>
      </c>
      <c r="AR64" s="125">
        <f>AP64/AP66</f>
        <v>0.66666666589697043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4 - 5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0</v>
      </c>
      <c r="W65" s="123">
        <f t="shared" si="22"/>
        <v>0</v>
      </c>
      <c r="X65" s="123">
        <f t="shared" si="9"/>
        <v>1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1.3966189953076597E-9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90000010.175485089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4</v>
      </c>
      <c r="AL69" s="123">
        <f>AI69-AJ69</f>
        <v>-1</v>
      </c>
      <c r="AM69" s="123">
        <f>AL69-AL72</f>
        <v>5</v>
      </c>
      <c r="AN69" s="123">
        <f>AF69*3+AG69</f>
        <v>4</v>
      </c>
      <c r="AO69" s="123">
        <f>AN69/AN72*10+BA69</f>
        <v>4.9805825242718447</v>
      </c>
      <c r="AP69" s="123">
        <f>AO69*10000000+BI69*100+AM69/AM72*10+AI69/AI72*1++IF(AQ69=0,ROW(),AQ69)/2000000</f>
        <v>49805927.20647195</v>
      </c>
      <c r="AQ69" s="126">
        <f>VLOOKUP(AE69,db_fifarank,2,FALSE)</f>
        <v>1478.35</v>
      </c>
      <c r="AR69" s="125">
        <f>AP69/AP72</f>
        <v>0.55339912246631451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0.11184378111111111</v>
      </c>
      <c r="AQ70" s="126">
        <f>VLOOKUP(AE70,db_fifarank,2,FALSE)</f>
        <v>1465.34</v>
      </c>
      <c r="AR70" s="125">
        <f>AP70/AP72</f>
        <v>1.2427085247026725E-9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3 - 4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6</v>
      </c>
      <c r="AN71" s="123">
        <f>AF71*3+AG71</f>
        <v>4</v>
      </c>
      <c r="AO71" s="123">
        <f>AN71/AN72*10+BA71</f>
        <v>4.9805825242718447</v>
      </c>
      <c r="AP71" s="123">
        <f>AO71*10000000+BI71*100+AM71/AM72*10+AI71/AI72*1++IF(AQ71=0,ROW(),AQ71)/2000000</f>
        <v>49805927.920865029</v>
      </c>
      <c r="AQ71" s="126">
        <f>VLOOKUP(AE71,db_fifarank,2,FALSE)</f>
        <v>1693.09</v>
      </c>
      <c r="AR71" s="125">
        <f>AP71/AP72</f>
        <v>0.55339913040401445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1 - 7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90000011.175485089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11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87500010.000912979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62500009.167525209</v>
      </c>
      <c r="AQ75" s="126">
        <f>VLOOKUP(AE75,db_fifarank,2,FALSE)</f>
        <v>1717.07</v>
      </c>
      <c r="AR75" s="125">
        <f>AP75/AP78</f>
        <v>0.71428572925405787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5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7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50000006.500673153</v>
      </c>
      <c r="AQ76" s="126">
        <f>VLOOKUP(AE76,db_fifarank,2,FALSE)</f>
        <v>1346.31</v>
      </c>
      <c r="AR76" s="125">
        <f>AP76/AP78</f>
        <v>0.57142857387928159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4 - 4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8.8036560360199548E-12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6</v>
      </c>
      <c r="AL78" s="123">
        <f>MIN(AL74:AL77)</f>
        <v>-7</v>
      </c>
      <c r="AM78" s="123">
        <f>MAX(AM74:AM77)+1</f>
        <v>12</v>
      </c>
      <c r="AN78" s="123">
        <f>MAX(AN74:AN77)+1</f>
        <v>8</v>
      </c>
      <c r="AO78" s="123">
        <f>MAX(AO74:AO77)+1</f>
        <v>9.75</v>
      </c>
      <c r="AP78" s="123">
        <f>MAX(AP74:AP77)+1</f>
        <v>87500011.000912979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Mexico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4550.0008405150002</v>
      </c>
      <c r="AQ80" s="126">
        <f t="shared" ref="AQ80:AQ91" si="37">VLOOKUP($AE80,$AE$8:$AQ$78,13,FALSE)</f>
        <v>1681.03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Mexico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8800.0007782400007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6833.3340825083333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2</v>
      </c>
      <c r="AJ83" s="123">
        <f t="shared" si="42"/>
        <v>5</v>
      </c>
      <c r="AK83" s="123" t="s">
        <v>3184</v>
      </c>
      <c r="AL83" s="123">
        <f t="shared" si="43"/>
        <v>-3</v>
      </c>
      <c r="AM83" s="123">
        <f t="shared" si="44"/>
        <v>0</v>
      </c>
      <c r="AN83" s="123">
        <f t="shared" si="45"/>
        <v>1</v>
      </c>
      <c r="AP83" s="123">
        <f>AN83/AN92*10000+AM83/AM92*1000+AI83/AI92*100+IF(AQ83=0,ROW(),AQ83)/2000000</f>
        <v>2033.3341236683332</v>
      </c>
      <c r="AQ83" s="126">
        <f t="shared" si="37"/>
        <v>1580.67</v>
      </c>
      <c r="AR83" s="125" t="str">
        <f t="shared" si="50"/>
        <v>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8783.3341307233331</v>
      </c>
      <c r="AQ84" s="126">
        <f t="shared" si="37"/>
        <v>1594.78</v>
      </c>
      <c r="AR84" s="125" t="str">
        <f t="shared" si="50"/>
        <v>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Ⓚ DR Congo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6300.0007573849998</v>
      </c>
      <c r="AQ85" s="126">
        <f t="shared" si="37"/>
        <v>1514.77</v>
      </c>
      <c r="AR85" s="125" t="str">
        <f t="shared" si="50"/>
        <v>BCE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1 - 2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2016.6674743166668</v>
      </c>
      <c r="AQ86" s="126">
        <f t="shared" si="37"/>
        <v>1615.3</v>
      </c>
      <c r="AR86" s="125" t="str">
        <f t="shared" si="50"/>
        <v>BCE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1</v>
      </c>
      <c r="AJ87" s="123">
        <f t="shared" si="42"/>
        <v>2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4</v>
      </c>
      <c r="AP87" s="123">
        <f>AN87/AN92*10000+AM87/AM92*1000+AI87/AI92*100+IF(AQ87=0,ROW(),AQ87)/2000000</f>
        <v>8516.6673773816656</v>
      </c>
      <c r="AQ87" s="126">
        <f t="shared" si="37"/>
        <v>1421.43</v>
      </c>
      <c r="AR87" s="125" t="str">
        <f t="shared" si="50"/>
        <v>BCEH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8800.00077547</v>
      </c>
      <c r="AQ88" s="126">
        <f t="shared" si="37"/>
        <v>1550.94</v>
      </c>
      <c r="AR88" s="125" t="str">
        <f t="shared" si="50"/>
        <v>BCEHI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4</v>
      </c>
      <c r="AJ89" s="123">
        <f t="shared" si="42"/>
        <v>5</v>
      </c>
      <c r="AK89" s="123" t="s">
        <v>3190</v>
      </c>
      <c r="AL89" s="123">
        <f t="shared" si="43"/>
        <v>-1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6566.6674487966666</v>
      </c>
      <c r="AQ89" s="126">
        <f t="shared" si="37"/>
        <v>1564.26</v>
      </c>
      <c r="AR89" s="125" t="str">
        <f t="shared" si="50"/>
        <v>BCEHIJ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Mexico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5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3</v>
      </c>
      <c r="AJ90" s="123">
        <f t="shared" si="42"/>
        <v>4</v>
      </c>
      <c r="AK90" s="123" t="s">
        <v>3191</v>
      </c>
      <c r="AL90" s="123">
        <f t="shared" si="43"/>
        <v>-1</v>
      </c>
      <c r="AM90" s="123">
        <f t="shared" si="44"/>
        <v>2</v>
      </c>
      <c r="AN90" s="123">
        <f t="shared" si="45"/>
        <v>4</v>
      </c>
      <c r="AP90" s="123">
        <f>AN90/AN92*10000+AM90/AM92*1000+AI90/AI92*100+IF(AQ90=0,ROW(),AQ90)/2000000</f>
        <v>8550.0007391750005</v>
      </c>
      <c r="AQ90" s="126">
        <f t="shared" si="37"/>
        <v>1478.35</v>
      </c>
      <c r="AR90" s="125" t="str">
        <f t="shared" si="50"/>
        <v>BCEHIJK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8816.6673398216662</v>
      </c>
      <c r="AQ91" s="126">
        <f t="shared" si="37"/>
        <v>1346.31</v>
      </c>
      <c r="AR91" s="125" t="str">
        <f t="shared" si="50"/>
        <v>BCEHIJKL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89</v>
      </c>
      <c r="C3" s="121" t="str">
        <f>'2026 World Cup'!AR91</f>
        <v>BCEHIJKL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3I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Jostein Askim</cp:lastModifiedBy>
  <cp:revision/>
  <dcterms:created xsi:type="dcterms:W3CDTF">2017-12-27T19:32:51Z</dcterms:created>
  <dcterms:modified xsi:type="dcterms:W3CDTF">2026-06-11T12:33:13Z</dcterms:modified>
  <cp:category>Sports</cp:category>
  <cp:contentStatus/>
</cp:coreProperties>
</file>
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p\Desktop\"/>
    </mc:Choice>
  </mc:AlternateContent>
  <xr:revisionPtr revIDLastSave="0" documentId="8_{22DAC88A-8E5A-4208-843E-F073E05813A4}" xr6:coauthVersionLast="47" xr6:coauthVersionMax="47" xr10:uidLastSave="{00000000-0000-0000-0000-000000000000}"/>
  <bookViews>
    <workbookView xWindow="3195" yWindow="1845" windowWidth="24030" windowHeight="1444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S74" i="3"/>
  <c r="S28" i="3"/>
  <c r="S51" i="3"/>
  <c r="S30" i="3"/>
  <c r="S78" i="3"/>
  <c r="S26" i="3"/>
  <c r="S75" i="3"/>
  <c r="S25" i="3"/>
  <c r="S49" i="3"/>
  <c r="S68" i="3"/>
  <c r="S23" i="3"/>
  <c r="S48" i="3"/>
  <c r="S43" i="3"/>
  <c r="S19" i="3"/>
  <c r="S20" i="3"/>
  <c r="S44" i="3"/>
  <c r="S46" i="3"/>
  <c r="S21" i="3"/>
  <c r="S45" i="3"/>
  <c r="S18" i="3"/>
  <c r="S63" i="3"/>
  <c r="S17" i="3"/>
  <c r="S41" i="3"/>
  <c r="S15" i="3"/>
  <c r="S61" i="3"/>
  <c r="S16" i="3"/>
  <c r="S39" i="3"/>
  <c r="S66" i="3"/>
  <c r="S10" i="3"/>
  <c r="S37" i="3"/>
  <c r="S11" i="3"/>
  <c r="S56" i="3"/>
  <c r="S13" i="3"/>
  <c r="S32" i="3"/>
  <c r="S14" i="3"/>
  <c r="S8" i="3"/>
  <c r="S9" i="3"/>
  <c r="S33" i="3"/>
  <c r="S60" i="3"/>
  <c r="S34" i="3"/>
  <c r="S29" i="3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74" i="3"/>
  <c r="T28" i="3"/>
  <c r="T51" i="3"/>
  <c r="S54" i="3"/>
  <c r="S77" i="3"/>
  <c r="T30" i="3"/>
  <c r="T78" i="3"/>
  <c r="S50" i="3"/>
  <c r="S76" i="3"/>
  <c r="T26" i="3"/>
  <c r="T75" i="3"/>
  <c r="T25" i="3"/>
  <c r="T49" i="3"/>
  <c r="S47" i="3"/>
  <c r="S67" i="3"/>
  <c r="T68" i="3"/>
  <c r="T23" i="3"/>
  <c r="T48" i="3"/>
  <c r="T43" i="3"/>
  <c r="S72" i="3"/>
  <c r="T19" i="3"/>
  <c r="T20" i="3"/>
  <c r="T44" i="3"/>
  <c r="T46" i="3"/>
  <c r="S70" i="3"/>
  <c r="T21" i="3"/>
  <c r="T45" i="3"/>
  <c r="S42" i="3"/>
  <c r="S64" i="3"/>
  <c r="T18" i="3"/>
  <c r="T63" i="3"/>
  <c r="T17" i="3"/>
  <c r="T41" i="3"/>
  <c r="S40" i="3"/>
  <c r="S62" i="3"/>
  <c r="T15" i="3"/>
  <c r="T61" i="3"/>
  <c r="T16" i="3"/>
  <c r="T39" i="3"/>
  <c r="S38" i="3"/>
  <c r="S65" i="3"/>
  <c r="T66" i="3"/>
  <c r="T10" i="3"/>
  <c r="T37" i="3"/>
  <c r="S55" i="3"/>
  <c r="T11" i="3"/>
  <c r="T56" i="3"/>
  <c r="T13" i="3"/>
  <c r="T32" i="3"/>
  <c r="S57" i="3"/>
  <c r="T14" i="3"/>
  <c r="T8" i="3"/>
  <c r="T9" i="3"/>
  <c r="T33" i="3"/>
  <c r="T60" i="3"/>
  <c r="T34" i="3"/>
  <c r="T29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/>
  <c r="BH10" i="3" l="1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/>
  <c r="AP20" i="3" s="1"/>
  <c r="BI26" i="3"/>
  <c r="AP26" i="3" s="1"/>
  <c r="BI69" i="3"/>
  <c r="AP69" i="3" s="1"/>
  <c r="BI22" i="3" l="1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AP72" i="3" s="1"/>
  <c r="AR68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/>
  <c r="AR8" i="3" s="1"/>
  <c r="AP30" i="3" l="1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9" i="3"/>
  <c r="AR28" i="3"/>
  <c r="AR27" i="3"/>
  <c r="AR35" i="3"/>
  <c r="AR34" i="3"/>
  <c r="AR33" i="3"/>
  <c r="AR41" i="3"/>
  <c r="AR40" i="3"/>
  <c r="AR65" i="3"/>
  <c r="AR71" i="3"/>
  <c r="AR70" i="3"/>
  <c r="AR69" i="3"/>
  <c r="AR77" i="3"/>
  <c r="AR76" i="3"/>
  <c r="AR75" i="3"/>
  <c r="AR23" i="3" l="1"/>
  <c r="AD22" i="3" s="1"/>
  <c r="AR51" i="3"/>
  <c r="AR52" i="3"/>
  <c r="AR53" i="3"/>
  <c r="AR46" i="3"/>
  <c r="AR15" i="3"/>
  <c r="AR45" i="3"/>
  <c r="AR63" i="3"/>
  <c r="AR47" i="3"/>
  <c r="AD44" i="3" s="1"/>
  <c r="AR64" i="3"/>
  <c r="AR39" i="3"/>
  <c r="AD39" i="3" s="1"/>
  <c r="AD56" i="3"/>
  <c r="AR16" i="3"/>
  <c r="AR17" i="3"/>
  <c r="AD14" i="3" s="1"/>
  <c r="AD59" i="3"/>
  <c r="AD75" i="3"/>
  <c r="AD74" i="3"/>
  <c r="AD76" i="3"/>
  <c r="AD77" i="3"/>
  <c r="AD69" i="3"/>
  <c r="AD68" i="3"/>
  <c r="AD70" i="3"/>
  <c r="AD71" i="3"/>
  <c r="AD63" i="3"/>
  <c r="AD62" i="3"/>
  <c r="AD53" i="3"/>
  <c r="AD47" i="3"/>
  <c r="AD41" i="3"/>
  <c r="AD33" i="3"/>
  <c r="AD32" i="3"/>
  <c r="AD34" i="3"/>
  <c r="AD35" i="3"/>
  <c r="AD27" i="3"/>
  <c r="AD26" i="3"/>
  <c r="AD28" i="3"/>
  <c r="AD29" i="3"/>
  <c r="AD21" i="3"/>
  <c r="AD20" i="3"/>
  <c r="AD15" i="3"/>
  <c r="AD9" i="3"/>
  <c r="AD8" i="3"/>
  <c r="AD10" i="3"/>
  <c r="AD11" i="3"/>
  <c r="N58" i="3"/>
  <c r="L59" i="3"/>
  <c r="O60" i="3"/>
  <c r="M58" i="3"/>
  <c r="L58" i="3"/>
  <c r="M59" i="3"/>
  <c r="L57" i="3" l="1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N15" i="3" s="1"/>
  <c r="AF88" i="3"/>
  <c r="AG88" i="3"/>
  <c r="AH88" i="3"/>
  <c r="AI88" i="3"/>
  <c r="AJ88" i="3"/>
  <c r="AL88" i="3"/>
  <c r="AN88" i="3"/>
  <c r="AT88" i="3"/>
  <c r="P58" i="3"/>
  <c r="K58" i="3"/>
  <c r="P59" i="3"/>
  <c r="K59" i="3"/>
  <c r="K57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J17" i="3"/>
  <c r="AE81" i="3" s="1"/>
  <c r="AQ81" i="3" s="1"/>
  <c r="M16" i="3"/>
  <c r="O17" i="3"/>
  <c r="L17" i="3"/>
  <c r="N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3" i="3"/>
  <c r="AE82" i="3" s="1"/>
  <c r="AQ82" i="3" s="1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M23" i="3"/>
  <c r="O22" i="3"/>
  <c r="M21" i="3"/>
  <c r="N23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L41" i="3"/>
  <c r="O40" i="3"/>
  <c r="L39" i="3"/>
  <c r="M41" i="3"/>
  <c r="L42" i="3"/>
  <c r="M40" i="3"/>
  <c r="O41" i="3"/>
  <c r="L40" i="3"/>
  <c r="O42" i="3"/>
  <c r="N41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O54" i="3"/>
  <c r="L51" i="3"/>
  <c r="N51" i="3"/>
  <c r="N53" i="3"/>
  <c r="M52" i="3"/>
  <c r="J51" i="3"/>
  <c r="AS50" i="3" s="1"/>
  <c r="BL30" i="3" s="1"/>
  <c r="O52" i="3"/>
  <c r="O53" i="3"/>
  <c r="J52" i="3"/>
  <c r="AS51" i="3" s="1"/>
  <c r="BL59" i="3" s="1"/>
  <c r="J53" i="3"/>
  <c r="AE87" i="3" s="1"/>
  <c r="AQ87" i="3" s="1"/>
  <c r="L53" i="3"/>
  <c r="N54" i="3"/>
  <c r="J54" i="3"/>
  <c r="O51" i="3"/>
  <c r="N52" i="3"/>
  <c r="M53" i="3"/>
  <c r="L54" i="3"/>
  <c r="L52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42" i="3" l="1"/>
  <c r="P60" i="3"/>
  <c r="K60" i="3"/>
  <c r="M15" i="3"/>
  <c r="O15" i="3"/>
  <c r="J15" i="3"/>
  <c r="AS14" i="3" s="1"/>
  <c r="BL66" i="3" s="1"/>
  <c r="P53" i="3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2" i="3"/>
  <c r="K52" i="3"/>
  <c r="P54" i="3"/>
  <c r="K54" i="3"/>
  <c r="K53" i="3"/>
  <c r="AF87" i="3"/>
  <c r="AG87" i="3"/>
  <c r="AH87" i="3"/>
  <c r="AI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K23" i="3"/>
  <c r="P22" i="3"/>
  <c r="K22" i="3"/>
  <c r="K24" i="3"/>
  <c r="P24" i="3"/>
  <c r="P21" i="3"/>
  <c r="K21" i="3"/>
  <c r="AF82" i="3"/>
  <c r="AG82" i="3"/>
  <c r="AH82" i="3"/>
  <c r="AI82" i="3"/>
  <c r="AJ82" i="3"/>
  <c r="AL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AJ92" i="3" l="1"/>
  <c r="AI92" i="3"/>
  <c r="AG92" i="3"/>
  <c r="AF92" i="3"/>
  <c r="AH92" i="3"/>
  <c r="AS92" i="3"/>
  <c r="AN92" i="3"/>
  <c r="AL92" i="3"/>
  <c r="AM88" i="3" s="1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P88" i="3" s="1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92" i="3" l="1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<sst xmlns="http://schemas.openxmlformats.org/spreadsheetml/2006/main" count="9786" uniqueCount="3698">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</sst>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O1" zoomScaleNormal="100" workbookViewId="0">
      <selection activeCell="CO38" sqref="CO38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90000009.40560241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1.8597945812709299E-9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4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60000006.215080045</v>
      </c>
      <c r="AQ10" s="126">
        <f>VLOOKUP(AE10,db_fifarank,2,FALSE)</f>
        <v>1588.66</v>
      </c>
      <c r="AR10" s="125">
        <f>AP10/AP12</f>
        <v>0.66666665864457619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1 - 2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2</v>
      </c>
      <c r="AL11" s="123">
        <f>AI11-AJ11</f>
        <v>-1</v>
      </c>
      <c r="AM11" s="123">
        <f>AL11-AL12</f>
        <v>2</v>
      </c>
      <c r="AN11" s="123">
        <f>AF11*3+AG11</f>
        <v>3</v>
      </c>
      <c r="AO11" s="123">
        <f>AN11/AN12*10+BA11</f>
        <v>3</v>
      </c>
      <c r="AP11" s="123">
        <f>AO11*10000000+BI11*100+AM11/AM12*10+AI11/AI12*1++IF(AQ11=0,ROW(),AQ11)/2000000</f>
        <v>30000003.024560217</v>
      </c>
      <c r="AQ11" s="126">
        <f>VLOOKUP(AE11,db_fifarank,2,FALSE)</f>
        <v>1501.38</v>
      </c>
      <c r="AR11" s="125">
        <f>AP11/AP12</f>
        <v>0.33333332840029034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1 - 4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90000010.40560241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1</v>
      </c>
      <c r="W13" s="123">
        <f t="shared" si="4"/>
        <v>1</v>
      </c>
      <c r="X13" s="123">
        <f t="shared" si="9"/>
        <v>1</v>
      </c>
      <c r="Y13" s="123">
        <f t="shared" si="10"/>
        <v>1</v>
      </c>
      <c r="Z13" s="123">
        <f t="shared" si="11"/>
        <v>1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3</v>
      </c>
      <c r="AL14" s="123">
        <f>AI14-AJ14</f>
        <v>1</v>
      </c>
      <c r="AM14" s="123">
        <f>AL14-AL18</f>
        <v>6</v>
      </c>
      <c r="AN14" s="123">
        <f>AF14*3+AG14</f>
        <v>4</v>
      </c>
      <c r="AO14" s="123">
        <f>AN14/AN18*10+BA14</f>
        <v>4.9805825242718447</v>
      </c>
      <c r="AP14" s="123">
        <f>AO14*10000000+BI14*100+AM14/AM18*10+AI14/AI18*1++IF(AQ14=0,ROW(),AQ14)/2000000</f>
        <v>49805929.873177685</v>
      </c>
      <c r="AQ14" s="126">
        <f>VLOOKUP(AE14,db_fifarank,2,FALSE)</f>
        <v>1556.48</v>
      </c>
      <c r="AR14" s="125">
        <f>AP14/AP18</f>
        <v>0.5533991540487514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1</v>
      </c>
      <c r="AW14" s="126" cm="1">
        <f t="array" ref="AW14">SUMPRODUCT(($E$7:$E$78=AE14)*($U$7:$U$78)*($G$7:$G$78))+SUMPRODUCT(($H$7:$H$78=AE14)*($U$7:$U$78)*($F$7:$F$78))</f>
        <v>1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50.5</v>
      </c>
      <c r="BA14" s="126">
        <f>AZ14/AZ18</f>
        <v>0.98058252427184467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1</v>
      </c>
      <c r="BE14" s="126" cm="1">
        <f t="array" ref="BE14">SUMPRODUCT(($E$7:$E$78=AE14)*($X$7:$X$78)*($G$7:$G$78))+SUMPRODUCT(($H$7:$H$78=AE14)*($X$7:$X$78)*($F$7:$F$78))</f>
        <v>1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50.5</v>
      </c>
      <c r="BI14" s="126">
        <f>BH14/BH18</f>
        <v>0.98058252427184467</v>
      </c>
      <c r="BK14" s="13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3</v>
      </c>
      <c r="AL15" s="123">
        <f>AI15-AJ15</f>
        <v>0</v>
      </c>
      <c r="AM15" s="123">
        <f>AL15-AL18</f>
        <v>5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49805928.730235212</v>
      </c>
      <c r="AQ15" s="126">
        <f>VLOOKUP(AE15,db_fifarank,2,FALSE)</f>
        <v>1385.84</v>
      </c>
      <c r="AR15" s="125">
        <f>AP15/AP18</f>
        <v>0.55339914134939205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Paraguay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4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8.0831101359316934E-12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>
        <v>2</v>
      </c>
      <c r="CC16" s="25">
        <v>4</v>
      </c>
      <c r="CD16" s="112">
        <f>IF(OR(CA16="",CA17="",AND(CB16="",CB17&lt;&gt;""),AND(CB17="",CB16&lt;&gt;""),AND(CC16="",CC17&lt;&gt;""),AND(CC17="",CC16&lt;&gt;"")),"",CA16*1000+CB16*10+CC16)</f>
        <v>1024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3 - 3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90000009.857967556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>
        <v>2</v>
      </c>
      <c r="CC17" s="27">
        <v>5</v>
      </c>
      <c r="CD17" s="113">
        <f>IF(CD16="","",CA17*1000+CB17*10+CC17)</f>
        <v>1025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1</v>
      </c>
      <c r="W18" s="123">
        <f t="shared" si="4"/>
        <v>1</v>
      </c>
      <c r="X18" s="123">
        <f t="shared" si="9"/>
        <v>1</v>
      </c>
      <c r="Y18" s="123">
        <f t="shared" si="10"/>
        <v>1</v>
      </c>
      <c r="Z18" s="123">
        <f t="shared" si="11"/>
        <v>1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90000010.857967556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>
        <v>2</v>
      </c>
      <c r="BO18" s="25"/>
      <c r="BP18" s="112">
        <f>IF(OR(BM18="",BM19="",AND(BN18="",BN19&lt;&gt;""),AND(BN19="",BN18&lt;&gt;""),AND(BO18="",BO19&lt;&gt;""),AND(BO19="",BO18&lt;&gt;"")),"",BM18*1000+BN18*10+BO18)</f>
        <v>1020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1</v>
      </c>
      <c r="BO19" s="27"/>
      <c r="BP19" s="113">
        <f>IF(BP18="","",BM19*1000+BN19*10+BO19)</f>
        <v>1010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1</v>
      </c>
      <c r="AL20" s="123">
        <f>AI20-AJ20</f>
        <v>4</v>
      </c>
      <c r="AM20" s="123">
        <f>AL20-AL24</f>
        <v>10</v>
      </c>
      <c r="AN20" s="123">
        <f>AF20*3+AG20</f>
        <v>7</v>
      </c>
      <c r="AO20" s="123">
        <f>AN20/AN24*10+BA20</f>
        <v>9.7305825242718456</v>
      </c>
      <c r="AP20" s="123">
        <f>AO20*10000000+BI20*100+AM20/AM24*10+AI20/AI24*1++IF(AQ20=0,ROW(),AQ20)/2000000</f>
        <v>97305931.619159162</v>
      </c>
      <c r="AQ20" s="126">
        <f>VLOOKUP(AE20,db_fifarank,2,FALSE)</f>
        <v>1761.16</v>
      </c>
      <c r="AR20" s="125">
        <f>AP20/AP24</f>
        <v>0.99999997134338314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1</v>
      </c>
      <c r="AW20" s="126" cm="1">
        <f t="array" ref="AW20">SUMPRODUCT(($E$7:$E$78=AE20)*($U$7:$U$78)*($G$7:$G$78))+SUMPRODUCT(($H$7:$H$78=AE20)*($U$7:$U$78)*($F$7:$F$78))</f>
        <v>1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50.5</v>
      </c>
      <c r="BA20" s="126">
        <f>AZ20/AZ24</f>
        <v>0.98058252427184467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1</v>
      </c>
      <c r="BE20" s="126" cm="1">
        <f t="array" ref="BE20">SUMPRODUCT(($E$7:$E$78=AE20)*($X$7:$X$78)*($G$7:$G$78))+SUMPRODUCT(($H$7:$H$78=AE20)*($X$7:$X$78)*($F$7:$F$78))</f>
        <v>1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50.5</v>
      </c>
      <c r="BI20" s="126">
        <f>BH20/BH24</f>
        <v>0.98058252427184467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7 - 1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1</v>
      </c>
      <c r="AL21" s="123">
        <f>AI21-AJ21</f>
        <v>6</v>
      </c>
      <c r="AM21" s="123">
        <f>AL21-AL24</f>
        <v>12</v>
      </c>
      <c r="AN21" s="123">
        <f>AF21*3+AG21</f>
        <v>7</v>
      </c>
      <c r="AO21" s="123">
        <f>AN21/AN24*10+BA21</f>
        <v>9.7305825242718456</v>
      </c>
      <c r="AP21" s="123">
        <f>AO21*10000000+BI21*100+AM21/AM24*10+AI21/AI24*1++IF(AQ21=0,ROW(),AQ21)/2000000</f>
        <v>97305933.407618046</v>
      </c>
      <c r="AQ21" s="126">
        <f>VLOOKUP(AE21,db_fifarank,2,FALSE)</f>
        <v>1755.87</v>
      </c>
      <c r="AR21" s="125">
        <f>AP21/AP24</f>
        <v>0.99999998972313453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1</v>
      </c>
      <c r="AW21" s="126" cm="1">
        <f t="array" ref="AW21">SUMPRODUCT(($E$7:$E$78=AE21)*($U$7:$U$78)*($G$7:$G$78))+SUMPRODUCT(($H$7:$H$78=AE21)*($U$7:$U$78)*($F$7:$F$78))</f>
        <v>1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50.5</v>
      </c>
      <c r="BA21" s="126">
        <f>AZ21/AZ24</f>
        <v>0.98058252427184467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1</v>
      </c>
      <c r="BE21" s="126" cm="1">
        <f t="array" ref="BE21">SUMPRODUCT(($E$7:$E$78=AE21)*($X$7:$X$78)*($G$7:$G$78))+SUMPRODUCT(($H$7:$H$78=AE21)*($X$7:$X$78)*($F$7:$F$78))</f>
        <v>1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50.5</v>
      </c>
      <c r="BI21" s="126">
        <f>BH21/BH24</f>
        <v>0.98058252427184467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5 - 1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6.6373649657840011E-12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1</v>
      </c>
      <c r="BO22" s="25">
        <v>5</v>
      </c>
      <c r="BP22" s="116">
        <f>IF(OR(BM22="",BM23="",AND(BN22="",BN23&lt;&gt;""),AND(BN23="",BN22&lt;&gt;""),AND(BO22="",BO23&lt;&gt;""),AND(BO23="",BO22&lt;&gt;"")),"",BM22*1000+BN22*10+BO22)</f>
        <v>1015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1 - 5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5</v>
      </c>
      <c r="AL23" s="123">
        <f>AI23-AJ23</f>
        <v>-4</v>
      </c>
      <c r="AM23" s="123">
        <f>AL23-AL24</f>
        <v>2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37500001.664210714</v>
      </c>
      <c r="AQ23" s="126">
        <f>VLOOKUP(AE23,db_fifarank,2,FALSE)</f>
        <v>1498.35</v>
      </c>
      <c r="AR23" s="125">
        <f>AP23/AP24</f>
        <v>0.38538247325308922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Brazil</v>
      </c>
      <c r="BM23" s="62">
        <v>1</v>
      </c>
      <c r="BN23" s="64">
        <v>1</v>
      </c>
      <c r="BO23" s="27">
        <v>4</v>
      </c>
      <c r="BP23" s="112">
        <f>IF(BP22="","",BM23*1000+BN23*10+BO23)</f>
        <v>1014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1</v>
      </c>
      <c r="CI23" s="63">
        <v>1</v>
      </c>
      <c r="CJ23" s="25"/>
      <c r="CK23" s="112">
        <f>IF(OR(CH23="",CH24="",AND(CI23="",CI24&lt;&gt;""),AND(CI24="",CI23&lt;&gt;""),AND(CJ23="",CJ24&lt;&gt;""),AND(CJ24="",CJ23&lt;&gt;"")),"",CH23*1000+CI23*10+CJ23)</f>
        <v>1010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-6</v>
      </c>
      <c r="AM24" s="123">
        <f>MAX(AM20:AM23)+1</f>
        <v>13</v>
      </c>
      <c r="AN24" s="123">
        <f>MAX(AN20:AN23)+1</f>
        <v>8</v>
      </c>
      <c r="AO24" s="123">
        <f>MAX(AO20:AO23)+1</f>
        <v>10.730582524271846</v>
      </c>
      <c r="AP24" s="123">
        <f>MAX(AP20:AP23)+1</f>
        <v>97305934.407618046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2</v>
      </c>
      <c r="AW24" s="126">
        <f>MAX(AW20:AW23)-MIN(AW20:AW23)+1</f>
        <v>2</v>
      </c>
      <c r="AY24" s="126">
        <f>MAX(AY20:AY23)-MIN(AY20:AY23)+1</f>
        <v>1</v>
      </c>
      <c r="AZ24" s="126">
        <f>MAX(AZ20:AZ23)+1</f>
        <v>51.5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2</v>
      </c>
      <c r="BE24" s="126">
        <f>MAX(BE20:BE23)-MIN(BE20:BE23)+1</f>
        <v>2</v>
      </c>
      <c r="BG24" s="126">
        <f>MAX(BG20:BG23)-MIN(BG20:BG23)+1</f>
        <v>1</v>
      </c>
      <c r="BH24" s="126">
        <f>MAX(BH20:BH23)+1</f>
        <v>51.5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>
        <v>2</v>
      </c>
      <c r="CJ24" s="27"/>
      <c r="CK24" s="113">
        <f>IF(CK23="","",CH24*1000+CI24*10+CJ24)</f>
        <v>1020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1</v>
      </c>
      <c r="AL26" s="123">
        <f>AI26-AJ26</f>
        <v>5</v>
      </c>
      <c r="AM26" s="123">
        <f>AL26-AL30</f>
        <v>12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97305933.389719531</v>
      </c>
      <c r="AQ26" s="126">
        <f>VLOOKUP(AE26,db_fifarank,2,FALSE)</f>
        <v>1673.13</v>
      </c>
      <c r="AR26" s="125">
        <f>AP26/AP30</f>
        <v>0.99999998972313453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4</v>
      </c>
      <c r="AL27" s="123">
        <f>AI27-AJ27</f>
        <v>-1</v>
      </c>
      <c r="AM27" s="123">
        <f>AL27-AL30</f>
        <v>6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37500005.04470779</v>
      </c>
      <c r="AQ27" s="126">
        <f>VLOOKUP(AE27,db_fifarank,2,FALSE)</f>
        <v>1503.5</v>
      </c>
      <c r="AR27" s="125">
        <f>AP27/AP30</f>
        <v>0.38538250806489049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5 - 2</v>
      </c>
      <c r="P28" s="34">
        <f>L28*3+M28</f>
        <v>7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0</v>
      </c>
      <c r="AJ28" s="123">
        <f>SUMIF($E$7:$E$78,$AE28,$G$7:$G$78) + SUMIF($H$7:$H$78,$AE28,$F$7:$F$78)</f>
        <v>7</v>
      </c>
      <c r="AL28" s="123">
        <f>AI28-AJ28</f>
        <v>-7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7.9033500000000008E-4</v>
      </c>
      <c r="AQ28" s="126">
        <f>VLOOKUP(AE28,db_fifarank,2,FALSE)</f>
        <v>1580.67</v>
      </c>
      <c r="AR28" s="125">
        <f>AP28/AP30</f>
        <v>8.1221664943335643E-12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3 - 4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2</v>
      </c>
      <c r="AL29" s="123">
        <f>AI29-AJ29</f>
        <v>3</v>
      </c>
      <c r="AM29" s="123">
        <f>AL29-AL30</f>
        <v>10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97305931.708363816</v>
      </c>
      <c r="AQ29" s="126">
        <f>VLOOKUP(AE29,db_fifarank,2,FALSE)</f>
        <v>1599.04</v>
      </c>
      <c r="AR29" s="125">
        <f>AP29/AP30</f>
        <v>0.99999997244406791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0 - 7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-7</v>
      </c>
      <c r="AM30" s="123">
        <f>MAX(AM26:AM29)+1</f>
        <v>13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97305934.389719531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1</v>
      </c>
      <c r="AG32" s="123">
        <f>COUNTIF($S$7:$T$78,"=" &amp; AE32 &amp; "_draw")</f>
        <v>2</v>
      </c>
      <c r="AH32" s="123">
        <f>COUNTIF($S$7:$T$78,"=" &amp; AE32 &amp; "_lose")</f>
        <v>0</v>
      </c>
      <c r="AI32" s="123">
        <f>SUMIF($E$7:$E$78,$AE32,$F$7:$F$78) + SUMIF($H$7:$H$78,$AE32,$G$7:$G$78)</f>
        <v>4</v>
      </c>
      <c r="AJ32" s="123">
        <f>SUMIF($E$7:$E$78,$AE32,$G$7:$G$78) + SUMIF($H$7:$H$78,$AE32,$F$7:$F$78)</f>
        <v>2</v>
      </c>
      <c r="AL32" s="123">
        <f>AI32-AJ32</f>
        <v>2</v>
      </c>
      <c r="AM32" s="123">
        <f>AL32-AL36</f>
        <v>8</v>
      </c>
      <c r="AN32" s="123">
        <f>AF32*3+AG32</f>
        <v>5</v>
      </c>
      <c r="AO32" s="123">
        <f>AN32/AN36*10+BA32</f>
        <v>9.3186991869918714</v>
      </c>
      <c r="AP32" s="123">
        <f>AO32*10000000+BI32*100+AM32/AM36*10+AI32/AI36*1++IF(AQ32=0,ROW(),AQ32)/2000000</f>
        <v>93187100.096258163</v>
      </c>
      <c r="AQ32" s="126">
        <f>VLOOKUP(AE32,db_fifarank,2,FALSE)</f>
        <v>1730.37</v>
      </c>
      <c r="AR32" s="125">
        <f>AP32/AP36</f>
        <v>0.9999999892689011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2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2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67.333333333333329</v>
      </c>
      <c r="BA32" s="126">
        <f>AZ32/AZ36</f>
        <v>0.98536585365853657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2</v>
      </c>
      <c r="BD32" s="126" cm="1">
        <f t="array" ref="BD32">SUMPRODUCT(($E$7:$E$78=AE32)*($X$7:$X$78)*($F$7:$F$78))+SUMPRODUCT(($H$7:$H$78=AE32)*($X$7:$X$78)*($G$7:$G$78))</f>
        <v>2</v>
      </c>
      <c r="BE32" s="126" cm="1">
        <f t="array" ref="BE32">SUMPRODUCT(($E$7:$E$78=AE32)*($X$7:$X$78)*($G$7:$G$78))+SUMPRODUCT(($H$7:$H$78=AE32)*($X$7:$X$78)*($F$7:$F$78))</f>
        <v>2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67.333333333333329</v>
      </c>
      <c r="BI32" s="126">
        <f>BH32/BH36</f>
        <v>0.98536585365853657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1</v>
      </c>
      <c r="M33" s="31">
        <f>VLOOKUP(1,AD32:AN35,4,FALSE)</f>
        <v>2</v>
      </c>
      <c r="N33" s="31">
        <f>VLOOKUP(1,AD32:AN35,5,FALSE)</f>
        <v>0</v>
      </c>
      <c r="O33" s="31" t="str">
        <f>VLOOKUP(1,AD32:AN35,6,FALSE) &amp; " - " &amp; VLOOKUP(1,AD32:AN35,7,FALSE)</f>
        <v>4 - 2</v>
      </c>
      <c r="P33" s="32">
        <f>L33*3+M33</f>
        <v>5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6</v>
      </c>
      <c r="AL33" s="123">
        <f>AI33-AJ33</f>
        <v>-6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6.9465086088614543E-12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/>
      <c r="CC33" s="27"/>
      <c r="CD33" s="112">
        <f>IF(CD32="","",CA33*1000+CB33*10+CC33)</f>
        <v>1000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2</v>
      </c>
      <c r="N34" s="23">
        <f>VLOOKUP(2,AD32:AN35,5,FALSE)</f>
        <v>0</v>
      </c>
      <c r="O34" s="23" t="str">
        <f>VLOOKUP(2,AD32:AN35,6,FALSE) &amp; " - " &amp; VLOOKUP(2,AD32:AN35,7,FALSE)</f>
        <v>4 - 2</v>
      </c>
      <c r="P34" s="34">
        <f>L34*3+M34</f>
        <v>5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2</v>
      </c>
      <c r="AH34" s="123">
        <f>COUNTIF($S$7:$T$78,"=" &amp; AE34 &amp; "_lose")</f>
        <v>0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2</v>
      </c>
      <c r="AL34" s="123">
        <f>AI34-AJ34</f>
        <v>2</v>
      </c>
      <c r="AM34" s="123">
        <f>AL34-AL36</f>
        <v>8</v>
      </c>
      <c r="AN34" s="123">
        <f>AF34*3+AG34</f>
        <v>5</v>
      </c>
      <c r="AO34" s="123">
        <f>AN34/AN36*10+BA34</f>
        <v>9.3186991869918714</v>
      </c>
      <c r="AP34" s="123">
        <f>AO34*10000000+BI34*100+AM34/AM36*10+AI34/AI36*1++IF(AQ34=0,ROW(),AQ34)/2000000</f>
        <v>93187100.096159458</v>
      </c>
      <c r="AQ34" s="126">
        <f>VLOOKUP(AE34,db_fifarank,2,FALSE)</f>
        <v>1532.98</v>
      </c>
      <c r="AR34" s="125">
        <f>AP34/AP36</f>
        <v>0.99999998926784184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2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67.333333333333329</v>
      </c>
      <c r="BA34" s="126">
        <f>AZ34/AZ36</f>
        <v>0.98536585365853657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2</v>
      </c>
      <c r="BD34" s="126" cm="1">
        <f t="array" ref="BD34">SUMPRODUCT(($E$7:$E$78=AE34)*($X$7:$X$78)*($F$7:$F$78))+SUMPRODUCT(($H$7:$H$78=AE34)*($X$7:$X$78)*($G$7:$G$78))</f>
        <v>2</v>
      </c>
      <c r="BE34" s="126" cm="1">
        <f t="array" ref="BE34">SUMPRODUCT(($E$7:$E$78=AE34)*($X$7:$X$78)*($G$7:$G$78))+SUMPRODUCT(($H$7:$H$78=AE34)*($X$7:$X$78)*($F$7:$F$78))</f>
        <v>2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67.333333333333329</v>
      </c>
      <c r="BI34" s="126">
        <f>BH34/BH36</f>
        <v>0.98536585365853657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2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2</v>
      </c>
      <c r="N35" s="23">
        <f>VLOOKUP(3,AD32:AN35,5,FALSE)</f>
        <v>0</v>
      </c>
      <c r="O35" s="23" t="str">
        <f>VLOOKUP(3,AD32:AN35,6,FALSE) &amp; " - " &amp; VLOOKUP(3,AD32:AN35,7,FALSE)</f>
        <v>4 - 2</v>
      </c>
      <c r="P35" s="34">
        <f>L35*3+M35</f>
        <v>5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2</v>
      </c>
      <c r="AH35" s="123">
        <f>COUNTIF($S$7:$T$78,"=" &amp; AE35 &amp; "_lose")</f>
        <v>0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2</v>
      </c>
      <c r="AL35" s="123">
        <f>AI35-AJ35</f>
        <v>2</v>
      </c>
      <c r="AM35" s="123">
        <f>AL35-AL36</f>
        <v>8</v>
      </c>
      <c r="AN35" s="123">
        <f>AF35*3+AG35</f>
        <v>5</v>
      </c>
      <c r="AO35" s="123">
        <f>AN35/AN36*10+BA35</f>
        <v>9.3186991869918714</v>
      </c>
      <c r="AP35" s="123">
        <f>AO35*10000000+BI35*100+AM35/AM36*10+AI35/AI36*1++IF(AQ35=0,ROW(),AQ35)/2000000</f>
        <v>93187100.096190363</v>
      </c>
      <c r="AQ35" s="126">
        <f>VLOOKUP(AE35,db_fifarank,2,FALSE)</f>
        <v>1594.78</v>
      </c>
      <c r="AR35" s="125">
        <f>AP35/AP36</f>
        <v>0.99999998926817346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2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67.333333333333329</v>
      </c>
      <c r="BA35" s="126">
        <f>AZ35/AZ36</f>
        <v>0.98536585365853657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2</v>
      </c>
      <c r="BD35" s="126" cm="1">
        <f t="array" ref="BD35">SUMPRODUCT(($E$7:$E$78=AE35)*($X$7:$X$78)*($F$7:$F$78))+SUMPRODUCT(($H$7:$H$78=AE35)*($X$7:$X$78)*($G$7:$G$78))</f>
        <v>2</v>
      </c>
      <c r="BE35" s="126" cm="1">
        <f t="array" ref="BE35">SUMPRODUCT(($E$7:$E$78=AE35)*($X$7:$X$78)*($G$7:$G$78))+SUMPRODUCT(($H$7:$H$78=AE35)*($X$7:$X$78)*($F$7:$F$78))</f>
        <v>2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67.333333333333329</v>
      </c>
      <c r="BI35" s="126">
        <f>BH35/BH36</f>
        <v>0.98536585365853657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0 - 6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2</v>
      </c>
      <c r="AG36" s="123">
        <f t="shared" si="16"/>
        <v>3</v>
      </c>
      <c r="AH36" s="123">
        <f t="shared" si="16"/>
        <v>4</v>
      </c>
      <c r="AI36" s="123">
        <f>MAX(AI32:AI35)+1</f>
        <v>5</v>
      </c>
      <c r="AL36" s="123">
        <f>MIN(AL32:AL35)</f>
        <v>-6</v>
      </c>
      <c r="AM36" s="123">
        <f>MAX(AM32:AM35)+1</f>
        <v>9</v>
      </c>
      <c r="AN36" s="123">
        <f>MAX(AN32:AN35)+1</f>
        <v>6</v>
      </c>
      <c r="AO36" s="123">
        <f>MAX(AO32:AO35)+1</f>
        <v>10.318699186991871</v>
      </c>
      <c r="AP36" s="123">
        <f>MAX(AP32:AP35)+1</f>
        <v>93187101.096258163</v>
      </c>
      <c r="AT36" s="126">
        <f>MAX(AT32:AT35)-MIN(AT32:AT35)+1</f>
        <v>1</v>
      </c>
      <c r="AU36" s="126">
        <f>MAX(AU32:AU35)-MIN(AU32:AU35)+1</f>
        <v>3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68.333333333333329</v>
      </c>
      <c r="BB36" s="126">
        <f>MAX(BB32:BB35)-MIN(BB32:BB35)+1</f>
        <v>1</v>
      </c>
      <c r="BC36" s="126">
        <f>MAX(BC32:BC35)-MIN(BC32:BC35)+1</f>
        <v>3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68.333333333333329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1010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3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>
        <v>2</v>
      </c>
      <c r="BV37" s="27"/>
      <c r="BW37" s="112">
        <f>IF(BW36="","",BT37*1000+BU37*10+BV37)</f>
        <v>1020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8</v>
      </c>
      <c r="AN38" s="123">
        <f>AF38*3+AG38</f>
        <v>7</v>
      </c>
      <c r="AO38" s="123">
        <f>AN38/AN42*10+BA38</f>
        <v>9.7401960784313726</v>
      </c>
      <c r="AP38" s="123">
        <f>AO38*10000000+BI38*100+AM38/AM42*10+AI38/AI42*1++IF(AQ38=0,ROW(),AQ38)/2000000</f>
        <v>97402069.527022719</v>
      </c>
      <c r="AQ38" s="126">
        <f>VLOOKUP(AE38,db_fifarank,2,FALSE)</f>
        <v>1757.87</v>
      </c>
      <c r="AR38" s="125">
        <f>AP38/AP42</f>
        <v>0.99999998973327775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101</v>
      </c>
      <c r="BA38" s="126">
        <f>AZ38/AZ42</f>
        <v>0.99019607843137258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101</v>
      </c>
      <c r="BI38" s="126">
        <f>BH38/BH42</f>
        <v>0.99019607843137258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Portugal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1</v>
      </c>
      <c r="V39" s="123">
        <f t="shared" si="3"/>
        <v>1</v>
      </c>
      <c r="W39" s="123">
        <f t="shared" si="4"/>
        <v>1</v>
      </c>
      <c r="X39" s="123">
        <f t="shared" si="9"/>
        <v>1</v>
      </c>
      <c r="Y39" s="123">
        <f t="shared" si="10"/>
        <v>1</v>
      </c>
      <c r="Z39" s="123">
        <f t="shared" si="11"/>
        <v>1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2</v>
      </c>
      <c r="AL39" s="123">
        <f>AI39-AJ39</f>
        <v>3</v>
      </c>
      <c r="AM39" s="123">
        <f>AL39-AL42</f>
        <v>7</v>
      </c>
      <c r="AN39" s="123">
        <f>AF39*3+AG39</f>
        <v>7</v>
      </c>
      <c r="AO39" s="123">
        <f>AN39/AN42*10+BA39</f>
        <v>9.7401960784313726</v>
      </c>
      <c r="AP39" s="123">
        <f>AO39*10000000+BI39*100+AM39/AM42*10+AI39/AI42*1++IF(AQ39=0,ROW(),AQ39)/2000000</f>
        <v>97402068.415862888</v>
      </c>
      <c r="AQ39" s="126">
        <f>VLOOKUP(AE39,db_fifarank,2,FALSE)</f>
        <v>1660.43</v>
      </c>
      <c r="AR39" s="125">
        <f>AP39/AP42</f>
        <v>0.99999997832530851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101</v>
      </c>
      <c r="BA39" s="126">
        <f>AZ39/AZ42</f>
        <v>0.99019607843137258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101</v>
      </c>
      <c r="BI39" s="126">
        <f>BH39/BH42</f>
        <v>0.99019607843137258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5 - 2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5</v>
      </c>
      <c r="AL40" s="123">
        <f>AI40-AJ40</f>
        <v>-4</v>
      </c>
      <c r="AM40" s="123">
        <f>AL40-AL42</f>
        <v>0</v>
      </c>
      <c r="AN40" s="123">
        <f>AF40*3+AG40</f>
        <v>1</v>
      </c>
      <c r="AO40" s="123">
        <f>AN40/AN42*10+BA40</f>
        <v>2.2401960784313726</v>
      </c>
      <c r="AP40" s="123">
        <f>AO40*10000000+BI40*100+AM40/AM42*10+AI40/AI42*1++IF(AQ40=0,ROW(),AQ40)/2000000</f>
        <v>22402059.971345622</v>
      </c>
      <c r="AQ40" s="126">
        <f>VLOOKUP(AE40,db_fifarank,2,FALSE)</f>
        <v>1514.77</v>
      </c>
      <c r="AR40" s="125">
        <f>AP40/AP42</f>
        <v>0.22999572647822217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101</v>
      </c>
      <c r="BA40" s="126">
        <f>AZ40/AZ42</f>
        <v>0.99019607843137258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101</v>
      </c>
      <c r="BI40" s="126">
        <f>BH40/BH42</f>
        <v>0.99019607843137258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1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5</v>
      </c>
      <c r="AL41" s="123">
        <f>AI41-AJ41</f>
        <v>-3</v>
      </c>
      <c r="AM41" s="123">
        <f>AL41-AL42</f>
        <v>1</v>
      </c>
      <c r="AN41" s="123">
        <f>AF41*3+AG41</f>
        <v>1</v>
      </c>
      <c r="AO41" s="123">
        <f>AN41/AN42*10+BA41</f>
        <v>2.2401960784313726</v>
      </c>
      <c r="AP41" s="123">
        <f>AO41*10000000+BI41*100+AM41/AM42*10+AI41/AI42*1++IF(AQ41=0,ROW(),AQ41)/2000000</f>
        <v>22402061.24910754</v>
      </c>
      <c r="AQ41" s="126">
        <f>VLOOKUP(AE41,db_fifarank,2,FALSE)</f>
        <v>1483.05</v>
      </c>
      <c r="AR41" s="125">
        <f>AP41/AP42</f>
        <v>0.22999573959664882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1</v>
      </c>
      <c r="AW41" s="126" cm="1">
        <f t="array" ref="AW41">SUMPRODUCT(($E$7:$E$78=AE41)*($U$7:$U$78)*($G$7:$G$78))+SUMPRODUCT(($H$7:$H$78=AE41)*($U$7:$U$78)*($F$7:$F$78))</f>
        <v>1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101</v>
      </c>
      <c r="BA41" s="126">
        <f>AZ41/AZ42</f>
        <v>0.99019607843137258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1</v>
      </c>
      <c r="BE41" s="126" cm="1">
        <f t="array" ref="BE41">SUMPRODUCT(($E$7:$E$78=AE41)*($X$7:$X$78)*($G$7:$G$78))+SUMPRODUCT(($H$7:$H$78=AE41)*($X$7:$X$78)*($F$7:$F$78))</f>
        <v>1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101</v>
      </c>
      <c r="BI41" s="126">
        <f>BH41/BH42</f>
        <v>0.99019607843137258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1 - 5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1</v>
      </c>
      <c r="AH42" s="123">
        <f t="shared" si="18"/>
        <v>3</v>
      </c>
      <c r="AI42" s="123">
        <f>MAX(AI38:AI41)+1</f>
        <v>6</v>
      </c>
      <c r="AL42" s="123">
        <f>MIN(AL38:AL41)</f>
        <v>-4</v>
      </c>
      <c r="AM42" s="123">
        <f>MAX(AM38:AM41)+1</f>
        <v>9</v>
      </c>
      <c r="AN42" s="123">
        <f>MAX(AN38:AN41)+1</f>
        <v>8</v>
      </c>
      <c r="AO42" s="123">
        <f>MAX(AO38:AO41)+1</f>
        <v>10.740196078431373</v>
      </c>
      <c r="AP42" s="123">
        <f>MAX(AP38:AP41)+1</f>
        <v>97402070.527022719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102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102</v>
      </c>
      <c r="BK42" s="131">
        <v>76</v>
      </c>
      <c r="BL42" s="24" t="str">
        <f>AS20</f>
        <v>Morocco</v>
      </c>
      <c r="BM42" s="61">
        <v>1</v>
      </c>
      <c r="BN42" s="63">
        <v>1</v>
      </c>
      <c r="BO42" s="25"/>
      <c r="BP42" s="112">
        <f>IF(OR(BM42="",BM43="",AND(BN42="",BN43&lt;&gt;""),AND(BN43="",BN42&lt;&gt;""),AND(BO42="",BO43&lt;&gt;""),AND(BO43="",BO42&lt;&gt;"")),"",BM42*1000+BN42*10+BO42)</f>
        <v>1010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>
        <v>2</v>
      </c>
      <c r="BO43" s="27"/>
      <c r="BP43" s="113">
        <f>IF(BP42="","",BM43*1000+BN43*10+BO43)</f>
        <v>1020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Japan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2</v>
      </c>
      <c r="AL45" s="123">
        <f>AI45-AJ45</f>
        <v>2</v>
      </c>
      <c r="AM45" s="123">
        <f>AL45-AL48</f>
        <v>6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60000006.572210193</v>
      </c>
      <c r="AQ45" s="126">
        <f>VLOOKUP(AE45,db_fifarank,2,FALSE)</f>
        <v>1563.24</v>
      </c>
      <c r="AR45" s="125">
        <f>AP45/AP48</f>
        <v>0.66666665926152002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4 - 2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4</v>
      </c>
      <c r="AL46" s="123">
        <f>AI46-AJ46</f>
        <v>-3</v>
      </c>
      <c r="AM46" s="123">
        <f>AL46-AL48</f>
        <v>1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30000001.143664792</v>
      </c>
      <c r="AQ46" s="126">
        <f>VLOOKUP(AE46,db_fifarank,2,FALSE)</f>
        <v>1615.3</v>
      </c>
      <c r="AR46" s="125">
        <f>AP46/AP48</f>
        <v>0.33333330582587062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1 - 4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6.4078499999999994E-4</v>
      </c>
      <c r="AQ47" s="126">
        <f>VLOOKUP(AE47,db_fifarank,2,FALSE)</f>
        <v>1281.57</v>
      </c>
      <c r="AR47" s="125">
        <f>AP47/AP48</f>
        <v>7.1198324743642921E-12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2</v>
      </c>
      <c r="BN47" s="64"/>
      <c r="BO47" s="27"/>
      <c r="BP47" s="112">
        <f>IF(BP46="","",BM47*1000+BN47*10+BO47)</f>
        <v>2000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0 - 4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Japan</v>
      </c>
      <c r="CA48" s="61">
        <v>1</v>
      </c>
      <c r="CB48" s="63">
        <v>2</v>
      </c>
      <c r="CC48" s="25"/>
      <c r="CD48" s="112">
        <f>IF(OR(CA48="",CA49="",AND(CB48="",CB49&lt;&gt;""),AND(CB49="",CB48&lt;&gt;""),AND(CC48="",CC49&lt;&gt;""),AND(CC49="",CC48&lt;&gt;"")),"",CA48*1000+CB48*10+CC48)</f>
        <v>1020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1</v>
      </c>
      <c r="CB49" s="64">
        <v>1</v>
      </c>
      <c r="CC49" s="27"/>
      <c r="CD49" s="113">
        <f>IF(CD48="","",CA49*1000+CB49*10+CC49)</f>
        <v>1010</v>
      </c>
      <c r="CK49" s="114"/>
      <c r="CL49" s="115"/>
      <c r="CM49" s="132"/>
      <c r="CN49" s="26" t="str">
        <f>IF(CK55&gt;CK56,CG56,IF(CK55&lt;CK56,CG55,""))</f>
        <v>Japan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0</v>
      </c>
      <c r="AL50" s="123">
        <f>AI50-AJ50</f>
        <v>8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90000010.175541386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1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30000000.82607989</v>
      </c>
      <c r="AQ51" s="126">
        <f>VLOOKUP(AE51,db_fifarank,2,FALSE)</f>
        <v>1366.13</v>
      </c>
      <c r="AR51" s="125">
        <f>AP51/AP54</f>
        <v>0.33333330112110876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Ivory Coast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7.8968323527624796E-12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2</v>
      </c>
      <c r="AL53" s="123">
        <f>AI53-AJ53</f>
        <v>1</v>
      </c>
      <c r="AM53" s="123">
        <f>AL53-AL54</f>
        <v>6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60000004.619884156</v>
      </c>
      <c r="AQ53" s="126">
        <f>VLOOKUP(AE53,db_fifarank,2,FALSE)</f>
        <v>1673.07</v>
      </c>
      <c r="AR53" s="125">
        <f>AP53/AP54</f>
        <v>0.6666666352169287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0 - 5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9</v>
      </c>
      <c r="AL54" s="123">
        <f>MIN(AL50:AL53)</f>
        <v>-5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90000011.175541386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Algeria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Japan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4</v>
      </c>
      <c r="AJ56" s="123">
        <f>SUMIF($E$7:$E$78,$AE56,$G$7:$G$78) + SUMIF($H$7:$H$78,$AE56,$F$7:$F$78)</f>
        <v>1</v>
      </c>
      <c r="AL56" s="123">
        <f>AI56-AJ56</f>
        <v>3</v>
      </c>
      <c r="AM56" s="123">
        <f>AL56-AL60</f>
        <v>9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87500009.800938651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4 - 1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7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50000007.800844491</v>
      </c>
      <c r="AQ57" s="126">
        <f>VLOOKUP(AE57,db_fifarank,2,FALSE)</f>
        <v>1688.99</v>
      </c>
      <c r="AR57" s="125">
        <f>AP57/AP60</f>
        <v>0.57142859004433544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3 - 1</v>
      </c>
      <c r="P58" s="34">
        <f>L58*3+M58</f>
        <v>5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6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8.2693704078061448E-12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4 - 3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1</v>
      </c>
      <c r="AL59" s="123">
        <f>AI59-AJ59</f>
        <v>2</v>
      </c>
      <c r="AM59" s="123">
        <f>AL59-AL60</f>
        <v>8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62500008.600775473</v>
      </c>
      <c r="AQ59" s="126">
        <f>VLOOKUP(AE59,db_fifarank,2,FALSE)</f>
        <v>1550.94</v>
      </c>
      <c r="AR59" s="125">
        <f>AP59/AP60</f>
        <v>0.71428572440936211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5</v>
      </c>
      <c r="AL60" s="123">
        <f>MIN(AL56:AL59)</f>
        <v>-6</v>
      </c>
      <c r="AM60" s="123">
        <f>MAX(AM56:AM59)+1</f>
        <v>10</v>
      </c>
      <c r="AN60" s="123">
        <f>MAX(AN56:AN59)+1</f>
        <v>8</v>
      </c>
      <c r="AO60" s="123">
        <f>MAX(AO56:AO59)+1</f>
        <v>9.75</v>
      </c>
      <c r="AP60" s="123">
        <f>MAX(AP56:AP59)+1</f>
        <v>87500010.800938651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>
        <v>1</v>
      </c>
      <c r="BV60" s="25">
        <v>3</v>
      </c>
      <c r="BW60" s="112">
        <f>IF(OR(BT60="",BT61="",AND(BU60="",BU61&lt;&gt;""),AND(BU61="",BU60&lt;&gt;""),AND(BV60="",BV61&lt;&gt;""),AND(BV61="",BV60&lt;&gt;"")),"",BT60*1000+BU60*10+BV60)</f>
        <v>1013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32"/>
      <c r="BS61" s="26" t="str">
        <f>IF(BP62&gt;BP63,BL62,IF(BP62&lt;BP63,BL63,""))</f>
        <v>Turkey</v>
      </c>
      <c r="BT61" s="62">
        <v>1</v>
      </c>
      <c r="BU61" s="64">
        <v>1</v>
      </c>
      <c r="BV61" s="27">
        <v>4</v>
      </c>
      <c r="BW61" s="113">
        <f>IF(BW60="","",BT61*1000+BU61*10+BV61)</f>
        <v>1014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Ecuador_draw</v>
      </c>
      <c r="T62" s="127" t="str">
        <f t="shared" si="20"/>
        <v>Germany_draw</v>
      </c>
      <c r="U62" s="123">
        <f t="shared" si="8"/>
        <v>1</v>
      </c>
      <c r="V62" s="123">
        <f t="shared" si="21"/>
        <v>1</v>
      </c>
      <c r="W62" s="123">
        <f t="shared" si="22"/>
        <v>1</v>
      </c>
      <c r="X62" s="123">
        <f t="shared" si="9"/>
        <v>1</v>
      </c>
      <c r="Y62" s="123">
        <f t="shared" si="10"/>
        <v>1</v>
      </c>
      <c r="Z62" s="123">
        <f t="shared" si="11"/>
        <v>1</v>
      </c>
      <c r="AA62" s="123">
        <f t="shared" si="17"/>
        <v>0</v>
      </c>
      <c r="AB62" s="123">
        <f t="shared" si="23"/>
        <v>0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5</v>
      </c>
      <c r="AJ62" s="123">
        <f>SUMIF($E$7:$E$78,$AE62,$G$7:$G$78) + SUMIF($H$7:$H$78,$AE62,$F$7:$F$78)</f>
        <v>1</v>
      </c>
      <c r="AL62" s="123">
        <f>AI62-AJ62</f>
        <v>4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90000009.834270746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5 - 1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30000003.167448796</v>
      </c>
      <c r="AQ63" s="126">
        <f>VLOOKUP(AE63,db_fifarank,2,FALSE)</f>
        <v>1564.26</v>
      </c>
      <c r="AR63" s="125">
        <f>AP63/AP66</f>
        <v>0.33333332840028074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5 - 2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2</v>
      </c>
      <c r="AL64" s="123">
        <f>AI64-AJ64</f>
        <v>3</v>
      </c>
      <c r="AM64" s="123">
        <f>AL64-AL66</f>
        <v>8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60000008.834130064</v>
      </c>
      <c r="AQ64" s="126">
        <f>VLOOKUP(AE64,db_fifarank,2,FALSE)</f>
        <v>1593.45</v>
      </c>
      <c r="AR64" s="125">
        <f>AP64/AP66</f>
        <v>0.66666668456980782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Turkey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7.7302768472009745E-12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2</v>
      </c>
      <c r="CB65" s="64"/>
      <c r="CC65" s="27"/>
      <c r="CD65" s="112">
        <f>IF(CD64="","",CA65*1000+CB65*10+CC65)</f>
        <v>2000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6</v>
      </c>
      <c r="AL66" s="123">
        <f>MIN(AL62:AL65)</f>
        <v>-5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90000010.834270746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0</v>
      </c>
      <c r="G67" s="20">
        <v>0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Iran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6</v>
      </c>
      <c r="AJ68" s="123">
        <f>SUMIF($E$7:$E$78,$AE68,$G$7:$G$78) + SUMIF($H$7:$H$78,$AE68,$F$7:$F$78)</f>
        <v>0</v>
      </c>
      <c r="AL68" s="123">
        <f>AI68-AJ68</f>
        <v>6</v>
      </c>
      <c r="AM68" s="123">
        <f>AL68-AL72</f>
        <v>9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90000009.858024761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6 - 0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4</v>
      </c>
      <c r="AL69" s="123">
        <f>AI69-AJ69</f>
        <v>-3</v>
      </c>
      <c r="AM69" s="123">
        <f>AL69-AL72</f>
        <v>0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19804019.751439456</v>
      </c>
      <c r="AQ69" s="126">
        <f>VLOOKUP(AE69,db_fifarank,2,FALSE)</f>
        <v>1478.35</v>
      </c>
      <c r="AR69" s="125">
        <f>AP69/AP72</f>
        <v>0.22004463735765928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3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3 - 3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0.22004463577028563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1 - 4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3</v>
      </c>
      <c r="AJ71" s="123">
        <f>SUMIF($E$7:$E$78,$AE71,$G$7:$G$78) + SUMIF($H$7:$H$78,$AE71,$F$7:$F$78)</f>
        <v>3</v>
      </c>
      <c r="AL71" s="123">
        <f>AI71-AJ71</f>
        <v>0</v>
      </c>
      <c r="AM71" s="123">
        <f>AL71-AL72</f>
        <v>3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60000003.429417968</v>
      </c>
      <c r="AQ71" s="126">
        <f>VLOOKUP(AE71,db_fifarank,2,FALSE)</f>
        <v>1693.09</v>
      </c>
      <c r="AR71" s="125">
        <f>AP71/AP72</f>
        <v>0.66666662434150281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Senegal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0 - 3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7</v>
      </c>
      <c r="AL72" s="123">
        <f>MIN(AL68:AL71)</f>
        <v>-3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90000010.858024761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0</v>
      </c>
      <c r="AL74" s="123">
        <f>AI74-AJ74</f>
        <v>6</v>
      </c>
      <c r="AM74" s="123">
        <f>AL74-AL78</f>
        <v>9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90000009.85805583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6 - 0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0</v>
      </c>
      <c r="AG75" s="123">
        <f>COUNTIF($S$7:$T$78,"=" &amp; AE75 &amp; "_draw")</f>
        <v>2</v>
      </c>
      <c r="AH75" s="123">
        <f>COUNTIF($S$7:$T$78,"=" &amp; AE75 &amp; "_lose")</f>
        <v>1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4</v>
      </c>
      <c r="AL75" s="123">
        <f>AI75-AJ75</f>
        <v>-2</v>
      </c>
      <c r="AM75" s="123">
        <f>AL75-AL78</f>
        <v>1</v>
      </c>
      <c r="AN75" s="123">
        <f>AF75*3+AG75</f>
        <v>2</v>
      </c>
      <c r="AO75" s="123">
        <f>AN75/AN78*10+BA75</f>
        <v>2</v>
      </c>
      <c r="AP75" s="123">
        <f>AO75*10000000+BI75*100+AM75/AM78*10+AI75/AI78*1++IF(AQ75=0,ROW(),AQ75)/2000000</f>
        <v>20000001.286572821</v>
      </c>
      <c r="AQ75" s="126">
        <f>VLOOKUP(AE75,db_fifarank,2,FALSE)</f>
        <v>1717.07</v>
      </c>
      <c r="AR75" s="125">
        <f>AP75/AP78</f>
        <v>0.2222222097074629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2 - 3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3</v>
      </c>
      <c r="AL76" s="123">
        <f>AI76-AJ76</f>
        <v>-1</v>
      </c>
      <c r="AM76" s="123">
        <f>AL76-AL78</f>
        <v>2</v>
      </c>
      <c r="AN76" s="123">
        <f>AF76*3+AG76</f>
        <v>4</v>
      </c>
      <c r="AO76" s="123">
        <f>AN76/AN78*10+BA76</f>
        <v>4</v>
      </c>
      <c r="AP76" s="123">
        <f>AO76*10000000+BI76*100+AM76/AM78*10+AI76/AI78*1++IF(AQ76=0,ROW(),AQ76)/2000000</f>
        <v>40000002.286387436</v>
      </c>
      <c r="AQ76" s="126">
        <f>VLOOKUP(AE76,db_fifarank,2,FALSE)</f>
        <v>1346.31</v>
      </c>
      <c r="AR76" s="125">
        <f>AP76/AP78</f>
        <v>0.44444441622872388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2 - 4</v>
      </c>
      <c r="P77" s="34">
        <f>L77*3+M77</f>
        <v>2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4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</v>
      </c>
      <c r="AP77" s="123">
        <f>AO77*10000000+BI77*100+AM77/AM78*10+AI77/AI78*1++IF(AQ77=0,ROW(),AQ77)/2000000</f>
        <v>10000000.143627463</v>
      </c>
      <c r="AQ77" s="126">
        <f>VLOOKUP(AE77,db_fifarank,2,FALSE)</f>
        <v>1540.64</v>
      </c>
      <c r="AR77" s="125">
        <f>AP77/AP78</f>
        <v>0.11111109930196604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1 - 4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3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10</v>
      </c>
      <c r="AN78" s="123">
        <f>MAX(AN74:AN77)+1</f>
        <v>10</v>
      </c>
      <c r="AO78" s="123">
        <f>MAX(AO74:AO77)+1</f>
        <v>10</v>
      </c>
      <c r="AP78" s="123">
        <f>MAX(AP74:AP77)+1</f>
        <v>90000010.85805583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5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2</v>
      </c>
      <c r="AK80" s="123" t="s">
        <v>3180</v>
      </c>
      <c r="AL80" s="123">
        <f>VLOOKUP($AE80,$AE$8:$AQ$78,8,FALSE)</f>
        <v>-1</v>
      </c>
      <c r="AM80" s="123">
        <f>AL80-$AL$92</f>
        <v>3</v>
      </c>
      <c r="AN80" s="123">
        <f>VLOOKUP($AE80,$AE$8:$AQ$78,10,FALSE)</f>
        <v>3</v>
      </c>
      <c r="AP80" s="123">
        <f>AN80/AN92*10000+AM80/AM92*1000+AI80/AI92*100+IF(AQ80=0,ROW(),AQ80)/2000000</f>
        <v>5448.5721792614286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4 - 2</v>
      </c>
      <c r="P81" s="98">
        <f>L81*3+M81</f>
        <v>5</v>
      </c>
      <c r="AD81" s="123">
        <f t="shared" ref="AD81:AD91" si="38">COUNTIF($AP$80:$AP$91,CONCATENATE("&gt;=",AP81))</f>
        <v>3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7298.0959310152375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1</v>
      </c>
      <c r="AJ82" s="123">
        <f t="shared" si="42"/>
        <v>5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5020.0007491750002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Bosnia and Herzegovina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4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4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5488.5721803214283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Ⓓ Paraguay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2</v>
      </c>
      <c r="AH84" s="123">
        <f t="shared" si="40"/>
        <v>0</v>
      </c>
      <c r="AI84" s="123">
        <f t="shared" si="41"/>
        <v>4</v>
      </c>
      <c r="AJ84" s="123">
        <f t="shared" si="42"/>
        <v>2</v>
      </c>
      <c r="AK84" s="123" t="s">
        <v>3185</v>
      </c>
      <c r="AL84" s="123">
        <f t="shared" si="43"/>
        <v>2</v>
      </c>
      <c r="AM84" s="123">
        <f t="shared" si="44"/>
        <v>6</v>
      </c>
      <c r="AN84" s="123">
        <f t="shared" si="45"/>
        <v>5</v>
      </c>
      <c r="AP84" s="123">
        <f>AN84/AN92*10000+AM84/AM92*1000+AI84/AI92*100+IF(AQ84=0,ROW(),AQ84)/2000000</f>
        <v>9270.4769569661912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Ⓐ Czech Republic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1 - 2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11</v>
      </c>
      <c r="AE85" s="124" t="str">
        <f>J41</f>
        <v>Tunisia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1</v>
      </c>
      <c r="AN85" s="123">
        <f t="shared" si="45"/>
        <v>1</v>
      </c>
      <c r="AP85" s="123">
        <f>AN85/AN92*10000+AM85/AM92*1000+AI85/AI92*100+IF(AQ85=0,ROW(),AQ85)/2000000</f>
        <v>1849.5245510488094</v>
      </c>
      <c r="AQ85" s="126">
        <f t="shared" si="37"/>
        <v>1483.05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Ⓙ Algeria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1 - 3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7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1</v>
      </c>
      <c r="AJ86" s="123">
        <f t="shared" si="42"/>
        <v>4</v>
      </c>
      <c r="AK86" s="123" t="s">
        <v>3187</v>
      </c>
      <c r="AL86" s="123">
        <f t="shared" si="43"/>
        <v>-3</v>
      </c>
      <c r="AM86" s="123">
        <f t="shared" si="44"/>
        <v>1</v>
      </c>
      <c r="AN86" s="123">
        <f t="shared" si="45"/>
        <v>3</v>
      </c>
      <c r="AP86" s="123">
        <f>AN86/AN92*10000+AM86/AM92*1000+AI86/AI92*100+IF(AQ86=0,ROW(),AQ86)/2000000</f>
        <v>5162.857950507143</v>
      </c>
      <c r="AQ86" s="126">
        <f t="shared" si="37"/>
        <v>1615.3</v>
      </c>
      <c r="AR86" s="125" t="str">
        <f t="shared" si="50"/>
        <v>ABCDEG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Ⓖ Iran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1 - 4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5020.000683065</v>
      </c>
      <c r="AQ87" s="126">
        <f t="shared" si="37"/>
        <v>1366.13</v>
      </c>
      <c r="AR87" s="125" t="str">
        <f t="shared" si="50"/>
        <v>ABCDEG</v>
      </c>
      <c r="AS87" s="129" t="str">
        <f t="shared" si="46"/>
        <v/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1 - 5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3</v>
      </c>
      <c r="AK88" s="123" t="s">
        <v>3189</v>
      </c>
      <c r="AL88" s="123">
        <f t="shared" si="43"/>
        <v>1</v>
      </c>
      <c r="AM88" s="123">
        <f t="shared" si="44"/>
        <v>5</v>
      </c>
      <c r="AN88" s="123">
        <f t="shared" si="45"/>
        <v>4</v>
      </c>
      <c r="AP88" s="123">
        <f>AN88/AN92*10000+AM88/AM92*1000+AI88/AI92*100+IF(AQ88=0,ROW(),AQ88)/2000000</f>
        <v>7460.9532254473806</v>
      </c>
      <c r="AQ88" s="126">
        <f t="shared" si="37"/>
        <v>1688.99</v>
      </c>
      <c r="AR88" s="125" t="str">
        <f t="shared" si="50"/>
        <v>ABCDEGI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Cape Verde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1 - 5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6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3</v>
      </c>
      <c r="AP89" s="123">
        <f>AN89/AN92*10000+AM89/AM92*1000+AI89/AI92*100+IF(AQ89=0,ROW(),AQ89)/2000000</f>
        <v>5305.7150678442849</v>
      </c>
      <c r="AQ89" s="126">
        <f t="shared" si="37"/>
        <v>1564.26</v>
      </c>
      <c r="AR89" s="125" t="str">
        <f t="shared" si="50"/>
        <v>ABCDEGIJ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Ⓛ Croatia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4</v>
      </c>
      <c r="AK90" s="123" t="s">
        <v>3191</v>
      </c>
      <c r="AL90" s="123">
        <f t="shared" si="43"/>
        <v>-3</v>
      </c>
      <c r="AM90" s="123">
        <f t="shared" si="44"/>
        <v>1</v>
      </c>
      <c r="AN90" s="123">
        <f t="shared" si="45"/>
        <v>1</v>
      </c>
      <c r="AP90" s="123">
        <f>AN90/AN92*10000+AM90/AM92*1000+AI90/AI92*100+IF(AQ90=0,ROW(),AQ90)/2000000</f>
        <v>1829.5245486988094</v>
      </c>
      <c r="AQ90" s="126">
        <f t="shared" si="37"/>
        <v>1478.35</v>
      </c>
      <c r="AR90" s="125" t="str">
        <f t="shared" si="50"/>
        <v>ABCDEGIJ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Ⓕ Tunisia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10</v>
      </c>
      <c r="AE91" s="124" t="str">
        <f>J77</f>
        <v>Croatia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2</v>
      </c>
      <c r="AP91" s="123">
        <f>AN91/AN92*10000+AM91/AM92*1000+AI91/AI92*100+IF(AQ91=0,ROW(),AQ91)/2000000</f>
        <v>3659.0484775826189</v>
      </c>
      <c r="AQ91" s="126">
        <f t="shared" si="37"/>
        <v>1717.07</v>
      </c>
      <c r="AR91" s="125" t="str">
        <f t="shared" si="50"/>
        <v>ABCDEGIJ</v>
      </c>
      <c r="AS91" s="129" t="str">
        <f t="shared" si="46"/>
        <v/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476</v>
      </c>
      <c r="C3" s="121" t="str">
        <f>'2026 World Cup'!AR91</f>
        <v>ABCDEGIJ</v>
      </c>
      <c r="D3" s="121" t="str">
        <f>VLOOKUP($C3,$C$6:$K$500,2,FALSE)</f>
        <v>3E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3J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Øyvind Colbjørnsen</cp:lastModifiedBy>
  <cp:revision/>
  <dcterms:created xsi:type="dcterms:W3CDTF">2017-12-27T19:32:51Z</dcterms:created>
  <dcterms:modified xsi:type="dcterms:W3CDTF">2026-06-10T19:11:39Z</dcterms:modified>
  <cp:category>Sports</cp:category>
  <cp:contentStatus/>
</cp:coreProperties>
</file>
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rn\Downloads\"/>
    </mc:Choice>
  </mc:AlternateContent>
  <xr:revisionPtr revIDLastSave="0" documentId="8_{596BC258-CAFB-4478-81B1-207EB5BFBA23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S21" i="3"/>
  <c r="T21" i="3" s="1"/>
  <c r="S45" i="3"/>
  <c r="T45" i="3" s="1"/>
  <c r="S18" i="3"/>
  <c r="T18" i="3" s="1"/>
  <c r="S63" i="3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T78" i="3"/>
  <c r="S50" i="3"/>
  <c r="S76" i="3"/>
  <c r="T75" i="3"/>
  <c r="S47" i="3"/>
  <c r="S67" i="3"/>
  <c r="S72" i="3"/>
  <c r="T44" i="3"/>
  <c r="T46" i="3"/>
  <c r="S70" i="3"/>
  <c r="S42" i="3"/>
  <c r="S64" i="3"/>
  <c r="T63" i="3"/>
  <c r="T41" i="3"/>
  <c r="S40" i="3"/>
  <c r="S62" i="3"/>
  <c r="S38" i="3"/>
  <c r="S65" i="3"/>
  <c r="S55" i="3"/>
  <c r="T56" i="3"/>
  <c r="S57" i="3"/>
  <c r="T60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BS44" i="3" l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CN49" i="3" s="1"/>
  <c r="BS68" i="3"/>
  <c r="BZ49" i="3" l="1"/>
  <c r="CG55" i="3" s="1"/>
  <c r="CN38" i="3" s="1"/>
  <c r="CK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<sst xmlns="http://schemas.openxmlformats.org/spreadsheetml/2006/main" count="9786" uniqueCount="3698">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</sst>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P39" sqref="CP3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9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87500009.857983366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0.14357200785714286</v>
      </c>
      <c r="AQ9" s="126">
        <f>VLOOKUP(AE9,db_fifarank,2,FALSE)</f>
        <v>1429.73</v>
      </c>
      <c r="AR9" s="125">
        <f>AP9/AP12</f>
        <v>1.6408227433270492E-9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5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50000005.572222903</v>
      </c>
      <c r="AQ10" s="126">
        <f>VLOOKUP(AE10,db_fifarank,2,FALSE)</f>
        <v>1588.66</v>
      </c>
      <c r="AR10" s="125">
        <f>AP10/AP12</f>
        <v>0.57142856420184063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Ecuador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6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62500006.429322116</v>
      </c>
      <c r="AQ11" s="126">
        <f>VLOOKUP(AE11,db_fifarank,2,FALSE)</f>
        <v>1501.38</v>
      </c>
      <c r="AR11" s="125">
        <f>AP11/AP12</f>
        <v>0.71428569912708428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10</v>
      </c>
      <c r="AN12" s="123">
        <f>MAX(AN8:AN11)+1</f>
        <v>8</v>
      </c>
      <c r="AO12" s="123">
        <f>MAX(AO8:AO11)+1</f>
        <v>9.75</v>
      </c>
      <c r="AP12" s="123">
        <f>MAX(AP8:AP11)+1</f>
        <v>87500010.857983366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Ecuador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11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50000008.572206818</v>
      </c>
      <c r="AQ14" s="126">
        <f>VLOOKUP(AE14,db_fifarank,2,FALSE)</f>
        <v>1556.48</v>
      </c>
      <c r="AR14" s="125">
        <f>AP14/AP18</f>
        <v>0.57142859662158108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6</v>
      </c>
      <c r="AJ15" s="123">
        <f>SUMIF($E$7:$E$78,$AE15,$G$7:$G$78) + SUMIF($H$7:$H$78,$AE15,$F$7:$F$78)</f>
        <v>3</v>
      </c>
      <c r="AL15" s="123">
        <f>AI15-AJ15</f>
        <v>3</v>
      </c>
      <c r="AM15" s="123">
        <f>AL15-AL18</f>
        <v>12</v>
      </c>
      <c r="AN15" s="123">
        <f>AF15*3+AG15</f>
        <v>6</v>
      </c>
      <c r="AO15" s="123">
        <f>AN15/AN18*10+BA15</f>
        <v>7.5</v>
      </c>
      <c r="AP15" s="123">
        <f>AO15*10000000+BI15*100+AM15/AM18*10+AI15/AI18*1++IF(AQ15=0,ROW(),AQ15)/2000000</f>
        <v>75000009.429264337</v>
      </c>
      <c r="AQ15" s="126">
        <f>VLOOKUP(AE15,db_fifarank,2,FALSE)</f>
        <v>1385.84</v>
      </c>
      <c r="AR15" s="125">
        <f>AP15/AP18</f>
        <v>0.85714285574328075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1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6 - 3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9</v>
      </c>
      <c r="AL16" s="123">
        <f>AI16-AJ16</f>
        <v>-9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8.3140560840091904E-12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5 - 3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13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87500010.143681839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0 - 9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-9</v>
      </c>
      <c r="AM18" s="123">
        <f>MAX(AM14:AM17)+1</f>
        <v>14</v>
      </c>
      <c r="AN18" s="123">
        <f>MAX(AN14:AN17)+1</f>
        <v>8</v>
      </c>
      <c r="AO18" s="123">
        <f>MAX(AO14:AO17)+1</f>
        <v>9.75</v>
      </c>
      <c r="AP18" s="123">
        <f>MAX(AP14:AP17)+1</f>
        <v>87500011.143681839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0</v>
      </c>
      <c r="BN18" s="63">
        <v>0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0</v>
      </c>
      <c r="BN19" s="64">
        <v>0</v>
      </c>
      <c r="BO19" s="27">
        <v>3</v>
      </c>
      <c r="BP19" s="113">
        <f>IF(BP18="","",BM19*1000+BN19*10+BO19)</f>
        <v>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3</v>
      </c>
      <c r="AL20" s="123">
        <f>AI20-AJ20</f>
        <v>4</v>
      </c>
      <c r="AM20" s="123">
        <f>AL20-AL24</f>
        <v>9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97305933.176851466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8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97305931.926848814</v>
      </c>
      <c r="AQ21" s="126">
        <f>VLOOKUP(AE21,db_fifarank,2,FALSE)</f>
        <v>1755.87</v>
      </c>
      <c r="AR21" s="125">
        <f>AP21/AP24</f>
        <v>0.99999997687702535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7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0.25064585499999997</v>
      </c>
      <c r="AQ22" s="126">
        <f>VLOOKUP(AE22,db_fifarank,2,FALSE)</f>
        <v>1291.71</v>
      </c>
      <c r="AR22" s="125">
        <f>AP22/AP24</f>
        <v>2.5758537454093651E-9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2</v>
      </c>
      <c r="BO22" s="25">
        <v>2</v>
      </c>
      <c r="BP22" s="116">
        <f>IF(OR(BM22="",BM23="",AND(BN22="",BN23&lt;&gt;""),AND(BN23="",BN22&lt;&gt;""),AND(BO22="",BO23&lt;&gt;""),AND(BO23="",BO22&lt;&gt;"")),"",BM22*1000+BN22*10+BO22)</f>
        <v>1022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4</v>
      </c>
      <c r="AL23" s="123">
        <f>AI23-AJ23</f>
        <v>-2</v>
      </c>
      <c r="AM23" s="123">
        <f>AL23-AL24</f>
        <v>3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37500003.250749178</v>
      </c>
      <c r="AQ23" s="126">
        <f>VLOOKUP(AE23,db_fifarank,2,FALSE)</f>
        <v>1498.35</v>
      </c>
      <c r="AR23" s="125">
        <f>AP23/AP24</f>
        <v>0.38538249047168821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>
        <v>2</v>
      </c>
      <c r="BO23" s="27">
        <v>4</v>
      </c>
      <c r="BP23" s="112">
        <f>IF(BP22="","",BM23*1000+BN23*10+BO23)</f>
        <v>1024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1010</v>
      </c>
    </row>
    <row r="24" spans="1:95" x14ac:dyDescent="0.3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2 - 7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-5</v>
      </c>
      <c r="AM24" s="123">
        <f>MAX(AM20:AM23)+1</f>
        <v>10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97305934.176851466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>
        <v>2</v>
      </c>
      <c r="CJ24" s="27"/>
      <c r="CK24" s="113">
        <f>IF(CK23="","",CH24*1000+CI24*10+CJ24)</f>
        <v>1020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4</v>
      </c>
      <c r="AL26" s="123">
        <f>AI26-AJ26</f>
        <v>1</v>
      </c>
      <c r="AM26" s="123">
        <f>AL26-AL30</f>
        <v>3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62500006.625836566</v>
      </c>
      <c r="AQ26" s="126">
        <f>VLOOKUP(AE26,db_fifarank,2,FALSE)</f>
        <v>1673.13</v>
      </c>
      <c r="AR26" s="125">
        <f>AP26/AP30</f>
        <v>0.71428570939078972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7 - 5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12500000.250751751</v>
      </c>
      <c r="AQ27" s="126">
        <f>VLOOKUP(AE27,db_fifarank,2,FALSE)</f>
        <v>1503.5</v>
      </c>
      <c r="AR27" s="125">
        <f>AP27/AP30</f>
        <v>0.14285712959912433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>
        <v>2</v>
      </c>
      <c r="BO27" s="27"/>
      <c r="BP27" s="113">
        <f>IF(BP26="","",BM27*1000+BN27*10+BO27)</f>
        <v>1020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5 - 4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3</v>
      </c>
      <c r="AL28" s="123">
        <f>AI28-AJ28</f>
        <v>-1</v>
      </c>
      <c r="AM28" s="123">
        <f>AL28-AL30</f>
        <v>1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37500002.250790335</v>
      </c>
      <c r="AQ28" s="126">
        <f>VLOOKUP(AE28,db_fifarank,2,FALSE)</f>
        <v>1580.67</v>
      </c>
      <c r="AR28" s="125">
        <f>AP28/AP30</f>
        <v>0.4285714059234863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5</v>
      </c>
      <c r="AL29" s="123">
        <f>AI29-AJ29</f>
        <v>2</v>
      </c>
      <c r="AM29" s="123">
        <f>AL29-AL30</f>
        <v>4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87500008.875799522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2 - 4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8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</v>
      </c>
      <c r="AP30" s="123">
        <f>MAX(AP26:AP29)+1</f>
        <v>87500009.875799522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3</v>
      </c>
      <c r="AL32" s="123">
        <f>AI32-AJ32</f>
        <v>4</v>
      </c>
      <c r="AM32" s="123">
        <f>AL32-AL36</f>
        <v>13</v>
      </c>
      <c r="AN32" s="123">
        <f>AF32*3+AG32</f>
        <v>5</v>
      </c>
      <c r="AO32" s="123">
        <f>AN32/AN36*10+BA32</f>
        <v>6.25</v>
      </c>
      <c r="AP32" s="123">
        <f>AO32*10000000+BI32*100+AM32/AM36*10+AI32/AI36*1++IF(AQ32=0,ROW(),AQ32)/2000000</f>
        <v>62500010.161579467</v>
      </c>
      <c r="AQ32" s="126">
        <f>VLOOKUP(AE32,db_fifarank,2,FALSE)</f>
        <v>1730.37</v>
      </c>
      <c r="AR32" s="125">
        <f>AP32/AP36</f>
        <v>0.71428574032407488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6 - 2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10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1.4359692474503844E-9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7 - 3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10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50000007.643623635</v>
      </c>
      <c r="AQ34" s="126">
        <f>VLOOKUP(AE34,db_fifarank,2,FALSE)</f>
        <v>1532.98</v>
      </c>
      <c r="AR34" s="125">
        <f>AP34/AP36</f>
        <v>0.57142858670908991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13</v>
      </c>
      <c r="AN35" s="123">
        <f>AF35*3+AG35</f>
        <v>7</v>
      </c>
      <c r="AO35" s="123">
        <f>AN35/AN36*10+BA35</f>
        <v>8.75</v>
      </c>
      <c r="AP35" s="123">
        <f>AO35*10000000+BI35*100+AM35/AM36*10+AI35/AI36*1++IF(AQ35=0,ROW(),AQ35)/2000000</f>
        <v>87500010.036511675</v>
      </c>
      <c r="AQ35" s="126">
        <f>VLOOKUP(AE35,db_fifarank,2,FALSE)</f>
        <v>1594.78</v>
      </c>
      <c r="AR35" s="125">
        <f>AP35/AP36</f>
        <v>0.99999998857143002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1 - 10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8</v>
      </c>
      <c r="AL36" s="123">
        <f>MIN(AL32:AL35)</f>
        <v>-9</v>
      </c>
      <c r="AM36" s="123">
        <f>MAX(AM32:AM35)+1</f>
        <v>14</v>
      </c>
      <c r="AN36" s="123">
        <f>MAX(AN32:AN35)+1</f>
        <v>8</v>
      </c>
      <c r="AO36" s="123">
        <f>MAX(AO32:AO35)+1</f>
        <v>9.75</v>
      </c>
      <c r="AP36" s="123">
        <f>MAX(AP32:AP35)+1</f>
        <v>87500011.036511675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9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97305933.176849812</v>
      </c>
      <c r="AQ38" s="126">
        <f>VLOOKUP(AE38,db_fifarank,2,FALSE)</f>
        <v>1757.87</v>
      </c>
      <c r="AR38" s="125">
        <f>AP38/AP42</f>
        <v>0.99999998972313453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1</v>
      </c>
      <c r="CP38" s="64">
        <v>2</v>
      </c>
      <c r="CQ38" s="27"/>
      <c r="CR38" s="111">
        <f>IF(CR37="","",CO38*1000+CP38*10+CQ38)</f>
        <v>1020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3</v>
      </c>
      <c r="AL39" s="123">
        <f>AI39-AJ39</f>
        <v>3</v>
      </c>
      <c r="AM39" s="123">
        <f>AL39-AL42</f>
        <v>7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97305931.0518011</v>
      </c>
      <c r="AQ39" s="126">
        <f>VLOOKUP(AE39,db_fifarank,2,FALSE)</f>
        <v>1660.43</v>
      </c>
      <c r="AR39" s="125">
        <f>AP39/AP42</f>
        <v>0.99999996788429468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Korea Republic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6 - 3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9</v>
      </c>
      <c r="AL40" s="123">
        <f>AI40-AJ40</f>
        <v>-4</v>
      </c>
      <c r="AM40" s="123">
        <f>AL40-AL42</f>
        <v>0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37500000.625757381</v>
      </c>
      <c r="AQ40" s="126">
        <f>VLOOKUP(AE40,db_fifarank,2,FALSE)</f>
        <v>1514.77</v>
      </c>
      <c r="AR40" s="125">
        <f>AP40/AP42</f>
        <v>0.38538246349500704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5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5 - 9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0.12574152499999999</v>
      </c>
      <c r="AQ41" s="126">
        <f>VLOOKUP(AE41,db_fifarank,2,FALSE)</f>
        <v>1483.05</v>
      </c>
      <c r="AR41" s="125">
        <f>AP41/AP42</f>
        <v>1.2922287429199291E-9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-4</v>
      </c>
      <c r="AM42" s="123">
        <f>MAX(AM38:AM41)+1</f>
        <v>10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97305934.176849812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2</v>
      </c>
      <c r="BN42" s="63">
        <v>2</v>
      </c>
      <c r="BO42" s="25"/>
      <c r="BP42" s="112">
        <f>IF(OR(BM42="",BM43="",AND(BN42="",BN43&lt;&gt;""),AND(BN43="",BN42&lt;&gt;""),AND(BO42="",BO43&lt;&gt;""),AND(BO43="",BO42&lt;&gt;"")),"",BM42*1000+BN42*10+BO42)</f>
        <v>2020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2</v>
      </c>
      <c r="BN43" s="64">
        <v>3</v>
      </c>
      <c r="BO43" s="27"/>
      <c r="BP43" s="113">
        <f>IF(BP42="","",BM43*1000+BN43*10+BO43)</f>
        <v>2030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5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1</v>
      </c>
      <c r="AL44" s="123">
        <f>AI44-AJ44</f>
        <v>8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90000010.13163659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Japan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4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4</v>
      </c>
      <c r="AL45" s="123">
        <f>AI45-AJ45</f>
        <v>-2</v>
      </c>
      <c r="AM45" s="123">
        <f>AL45-AL48</f>
        <v>2</v>
      </c>
      <c r="AN45" s="123">
        <f>AF45*3+AG45</f>
        <v>2</v>
      </c>
      <c r="AO45" s="123">
        <f>AN45/AN48*10+BA45</f>
        <v>2.9853300733496333</v>
      </c>
      <c r="AP45" s="123">
        <f>AO45*10000000+BI45*100+AM45/AM48*10+AI45/AI48*1++IF(AQ45=0,ROW(),AQ45)/2000000</f>
        <v>29853400.530991923</v>
      </c>
      <c r="AQ45" s="126">
        <f>VLOOKUP(AE45,db_fifarank,2,FALSE)</f>
        <v>1563.24</v>
      </c>
      <c r="AR45" s="125">
        <f>AP45/AP48</f>
        <v>0.33170440931754425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67.166666666666657</v>
      </c>
      <c r="BA45" s="126">
        <f>AZ45/AZ48</f>
        <v>0.9853300733496333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3</v>
      </c>
      <c r="BU45" s="64"/>
      <c r="BV45" s="27"/>
      <c r="BW45" s="113">
        <f>IF(BW44="","",BT45*1000+BU45*10+BV45)</f>
        <v>3000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2 - 4</v>
      </c>
      <c r="P46" s="34">
        <f>L46*3+M46</f>
        <v>2</v>
      </c>
      <c r="R46" s="123">
        <f>DATE(2026,6,21)+TIME(14,0,0)+gmt_delta</f>
        <v>46195.041666666672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2</v>
      </c>
      <c r="AO46" s="123">
        <f>AN46/AN48*10+BA46</f>
        <v>2.9853300733496333</v>
      </c>
      <c r="AP46" s="123">
        <f>AO46*10000000+BI46*100+AM46/AM48*10+AI46/AI48*1++IF(AQ46=0,ROW(),AQ46)/2000000</f>
        <v>29853398.892556414</v>
      </c>
      <c r="AQ46" s="126">
        <f>VLOOKUP(AE46,db_fifarank,2,FALSE)</f>
        <v>1615.3</v>
      </c>
      <c r="AR46" s="125">
        <f>AP46/AP48</f>
        <v>0.3317043911127075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67.166666666666657</v>
      </c>
      <c r="BA46" s="126">
        <f>AZ46/AZ48</f>
        <v>0.9853300733496333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Germany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1 - 5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2</v>
      </c>
      <c r="AL47" s="123">
        <f>AI47-AJ47</f>
        <v>-2</v>
      </c>
      <c r="AM47" s="123">
        <f>AL47-AL48</f>
        <v>2</v>
      </c>
      <c r="AN47" s="123">
        <f>AF47*3+AG47</f>
        <v>2</v>
      </c>
      <c r="AO47" s="123">
        <f>AN47/AN48*10+BA47</f>
        <v>2.9779951100244499</v>
      </c>
      <c r="AP47" s="123">
        <f>AO47*10000000+BI47*100+AM47/AM48*10+AI47/AI48*1++IF(AQ47=0,ROW(),AQ47)/2000000</f>
        <v>29779952.639346823</v>
      </c>
      <c r="AQ47" s="126">
        <f>VLOOKUP(AE47,db_fifarank,2,FALSE)</f>
        <v>1281.57</v>
      </c>
      <c r="AR47" s="125">
        <f>AP47/AP48</f>
        <v>0.33088832173353638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66.666666666666657</v>
      </c>
      <c r="BA47" s="126">
        <f>AZ47/AZ48</f>
        <v>0.97799511002444983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0 - 2</v>
      </c>
      <c r="P48" s="37">
        <f>L48*3+M48</f>
        <v>2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10</v>
      </c>
      <c r="AL48" s="123">
        <f>MIN(AL44:AL47)</f>
        <v>-4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90000011.13163659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68.166666666666657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14</v>
      </c>
      <c r="AN50" s="123">
        <f>AF50*3+AG50</f>
        <v>7</v>
      </c>
      <c r="AO50" s="123">
        <f>AN50/AN54*10+BA50</f>
        <v>9.735221674876847</v>
      </c>
      <c r="AP50" s="123">
        <f>AO50*10000000+BI50*100+AM50/AM54*10+AI50/AI54*1++IF(AQ50=0,ROW(),AQ50)/2000000</f>
        <v>97352325.505207494</v>
      </c>
      <c r="AQ50" s="126">
        <f>VLOOKUP(AE50,db_fifarank,2,FALSE)</f>
        <v>1876.4</v>
      </c>
      <c r="AR50" s="125">
        <f>AP50/AP54</f>
        <v>0.99999998972803184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100</v>
      </c>
      <c r="BA50" s="126">
        <f>AZ50/AZ54</f>
        <v>0.98522167487684731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100</v>
      </c>
      <c r="BI50" s="126">
        <f>BH50/BH54</f>
        <v>0.98522167487684731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7</v>
      </c>
      <c r="AL51" s="123">
        <f>AI51-AJ51</f>
        <v>-5</v>
      </c>
      <c r="AM51" s="123">
        <f>AL51-AL54</f>
        <v>1</v>
      </c>
      <c r="AN51" s="123">
        <f>AF51*3+AG51</f>
        <v>1</v>
      </c>
      <c r="AO51" s="123">
        <f>AN51/AN54*10+BA51</f>
        <v>2.2401477832512313</v>
      </c>
      <c r="AP51" s="123">
        <f>AO51*10000000+BI51*100+AM51/AM54*10+AI51/AI54*1++IF(AQ51=0,ROW(),AQ51)/2000000</f>
        <v>22401577.714640368</v>
      </c>
      <c r="AQ51" s="126">
        <f>VLOOKUP(AE51,db_fifarank,2,FALSE)</f>
        <v>1366.13</v>
      </c>
      <c r="AR51" s="125">
        <f>AP51/AP54</f>
        <v>0.23010829344116476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100.5</v>
      </c>
      <c r="BA51" s="126">
        <f>AZ51/AZ54</f>
        <v>0.99014778325123154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100.5</v>
      </c>
      <c r="BI51" s="126">
        <f>BH51/BH54</f>
        <v>0.99014778325123154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4 - 1</v>
      </c>
      <c r="P52" s="34">
        <f>L52*3+M52</f>
        <v>7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8</v>
      </c>
      <c r="AL52" s="123">
        <f>AI52-AJ52</f>
        <v>-6</v>
      </c>
      <c r="AM52" s="123">
        <f>AL52-AL54</f>
        <v>0</v>
      </c>
      <c r="AN52" s="123">
        <f>AF52*3+AG52</f>
        <v>1</v>
      </c>
      <c r="AO52" s="123">
        <f>AN52/AN54*10+BA52</f>
        <v>2.2401477832512313</v>
      </c>
      <c r="AP52" s="123">
        <f>AO52*10000000+BI52*100+AM52/AM54*10+AI52/AI54*1++IF(AQ52=0,ROW(),AQ52)/2000000</f>
        <v>22401577.048001349</v>
      </c>
      <c r="AQ52" s="126">
        <f>VLOOKUP(AE52,db_fifarank,2,FALSE)</f>
        <v>1421.43</v>
      </c>
      <c r="AR52" s="125">
        <f>AP52/AP54</f>
        <v>0.23010828659346996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100.5</v>
      </c>
      <c r="BA52" s="126">
        <f>AZ52/AZ54</f>
        <v>0.99014778325123154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100.5</v>
      </c>
      <c r="BI52" s="126">
        <f>BH52/BH54</f>
        <v>0.99014778325123154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>
        <v>1</v>
      </c>
      <c r="BV52" s="25"/>
      <c r="BW52" s="116">
        <f>IF(OR(BT52="",BT53="",AND(BU52="",BU53&lt;&gt;""),AND(BU53="",BU52&lt;&gt;""),AND(BV52="",BV53&lt;&gt;""),AND(BV53="",BV52&lt;&gt;"")),"",BT52*1000+BU52*10+BV52)</f>
        <v>1010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1</v>
      </c>
      <c r="AL53" s="123">
        <f>AI53-AJ53</f>
        <v>3</v>
      </c>
      <c r="AM53" s="123">
        <f>AL53-AL54</f>
        <v>9</v>
      </c>
      <c r="AN53" s="123">
        <f>AF53*3+AG53</f>
        <v>7</v>
      </c>
      <c r="AO53" s="123">
        <f>AN53/AN54*10+BA53</f>
        <v>9.735221674876847</v>
      </c>
      <c r="AP53" s="123">
        <f>AO53*10000000+BI53*100+AM53/AM54*10+AI53/AI54*1++IF(AQ53=0,ROW(),AQ53)/2000000</f>
        <v>97352321.671772495</v>
      </c>
      <c r="AQ53" s="126">
        <f>VLOOKUP(AE53,db_fifarank,2,FALSE)</f>
        <v>1673.07</v>
      </c>
      <c r="AR53" s="125">
        <f>AP53/AP54</f>
        <v>0.99999995035110945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100</v>
      </c>
      <c r="BA53" s="126">
        <f>AZ53/AZ54</f>
        <v>0.98522167487684731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100</v>
      </c>
      <c r="BI53" s="126">
        <f>BH53/BH54</f>
        <v>0.98522167487684731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>
        <v>2</v>
      </c>
      <c r="BV53" s="27"/>
      <c r="BW53" s="112">
        <f>IF(BW52="","",BT53*1000+BU53*10+BV53)</f>
        <v>1020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2 - 8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10</v>
      </c>
      <c r="AL54" s="123">
        <f>MIN(AL50:AL53)</f>
        <v>-6</v>
      </c>
      <c r="AM54" s="123">
        <f>MAX(AM50:AM53)+1</f>
        <v>15</v>
      </c>
      <c r="AN54" s="123">
        <f>MAX(AN50:AN53)+1</f>
        <v>8</v>
      </c>
      <c r="AO54" s="123">
        <f>MAX(AO50:AO53)+1</f>
        <v>10.735221674876847</v>
      </c>
      <c r="AP54" s="123">
        <f>MAX(AP50:AP53)+1</f>
        <v>97352326.505207494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101.5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101.5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0</v>
      </c>
      <c r="CI55" s="63">
        <v>0</v>
      </c>
      <c r="CJ55" s="25">
        <v>3</v>
      </c>
      <c r="CK55" s="116">
        <f>IF(OR(CH55="",CH56="",AND(CI55="",CI56&lt;&gt;""),AND(CI56="",CI55&lt;&gt;""),AND(CJ55="",CJ56&lt;&gt;""),AND(CJ56="",CJ55&lt;&gt;"")),"",CH55*1000+CI55*10+CJ55)</f>
        <v>3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2</v>
      </c>
      <c r="AL56" s="123">
        <f>AI56-AJ56</f>
        <v>7</v>
      </c>
      <c r="AM56" s="123">
        <f>AL56-AL60</f>
        <v>18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90000010.374622867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0</v>
      </c>
      <c r="CI56" s="64">
        <v>0</v>
      </c>
      <c r="CJ56" s="27">
        <v>2</v>
      </c>
      <c r="CK56" s="112">
        <f>IF(CK55="","",CH56*1000+CI56*10+CJ56)</f>
        <v>2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7</v>
      </c>
      <c r="AJ57" s="123">
        <f>SUMIF($E$7:$E$78,$AE57,$G$7:$G$78) + SUMIF($H$7:$H$78,$AE57,$F$7:$F$78)</f>
        <v>6</v>
      </c>
      <c r="AL57" s="123">
        <f>AI57-AJ57</f>
        <v>1</v>
      </c>
      <c r="AM57" s="123">
        <f>AL57-AL60</f>
        <v>12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30000007.016633965</v>
      </c>
      <c r="AQ57" s="126">
        <f>VLOOKUP(AE57,db_fifarank,2,FALSE)</f>
        <v>1688.99</v>
      </c>
      <c r="AR57" s="125">
        <f>AP57/AP60</f>
        <v>0.33333336916769557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3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8 - 5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13</v>
      </c>
      <c r="AL58" s="123">
        <f>AI58-AJ58</f>
        <v>-11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2.2302616070179482E-9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>
        <v>3</v>
      </c>
      <c r="BO58" s="25"/>
      <c r="BP58" s="112">
        <f>IF(OR(BM58="",BM59="",AND(BN58="",BN59&lt;&gt;""),AND(BN59="",BN58&lt;&gt;""),AND(BO58="",BO59&lt;&gt;""),AND(BO59="",BO58&lt;&gt;"")),"",BM58*1000+BN58*10+BO58)</f>
        <v>1030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7 - 6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8</v>
      </c>
      <c r="AJ59" s="123">
        <f>SUMIF($E$7:$E$78,$AE59,$G$7:$G$78) + SUMIF($H$7:$H$78,$AE59,$F$7:$F$78)</f>
        <v>5</v>
      </c>
      <c r="AL59" s="123">
        <f>AI59-AJ59</f>
        <v>3</v>
      </c>
      <c r="AM59" s="123">
        <f>AL59-AL60</f>
        <v>14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60000008.169196524</v>
      </c>
      <c r="AQ59" s="126">
        <f>VLOOKUP(AE59,db_fifarank,2,FALSE)</f>
        <v>1550.94</v>
      </c>
      <c r="AR59" s="125">
        <f>AP59/AP60</f>
        <v>0.66666667317905048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>
        <v>1</v>
      </c>
      <c r="BO59" s="27"/>
      <c r="BP59" s="113">
        <f>IF(BP58="","",BM59*1000+BN59*10+BO59)</f>
        <v>1010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2 - 13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-11</v>
      </c>
      <c r="AM60" s="123">
        <f>MAX(AM56:AM59)+1</f>
        <v>19</v>
      </c>
      <c r="AN60" s="123">
        <f>MAX(AN56:AN59)+1</f>
        <v>10</v>
      </c>
      <c r="AO60" s="123">
        <f>MAX(AO56:AO59)+1</f>
        <v>10</v>
      </c>
      <c r="AP60" s="123">
        <f>MAX(AP56:AP59)+1</f>
        <v>90000011.374622867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4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4000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4</v>
      </c>
      <c r="AL62" s="123">
        <f>AI62-AJ62</f>
        <v>3</v>
      </c>
      <c r="AM62" s="123">
        <f>AL62-AL66</f>
        <v>9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87500009.875937417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3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7 - 4</v>
      </c>
      <c r="P63" s="32">
        <f>L63*3+M63</f>
        <v>7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3</v>
      </c>
      <c r="AL63" s="123">
        <f>AI63-AJ63</f>
        <v>2</v>
      </c>
      <c r="AM63" s="123">
        <f>AL63-AL66</f>
        <v>8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50000008.625782132</v>
      </c>
      <c r="AQ63" s="126">
        <f>VLOOKUP(AE63,db_fifarank,2,FALSE)</f>
        <v>1564.26</v>
      </c>
      <c r="AR63" s="125">
        <f>AP63/AP66</f>
        <v>0.57142859898240517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4 - 3</v>
      </c>
      <c r="P64" s="34">
        <f>L64*3+M64</f>
        <v>5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62500007.500796728</v>
      </c>
      <c r="AQ64" s="126">
        <f>VLOOKUP(AE64,db_fifarank,2,FALSE)</f>
        <v>1593.45</v>
      </c>
      <c r="AR64" s="125">
        <f>AP64/AP66</f>
        <v>0.7142857112259432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>
        <v>1</v>
      </c>
      <c r="CC64" s="25">
        <v>5</v>
      </c>
      <c r="CD64" s="116">
        <f>IF(OR(CA64="",CA65="",AND(CB64="",CB65&lt;&gt;""),AND(CB65="",CB64&lt;&gt;""),AND(CC64="",CC65&lt;&gt;""),AND(CC65="",CC64&lt;&gt;"")),"",CA64*1000+CB64*10+CC64)</f>
        <v>1015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3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5 - 3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1.43652239287397E-9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>
        <v>1</v>
      </c>
      <c r="CC65" s="27">
        <v>3</v>
      </c>
      <c r="CD65" s="112">
        <f>IF(CD64="","",CA65*1000+CB65*10+CC65)</f>
        <v>1013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8</v>
      </c>
      <c r="AL66" s="123">
        <f>MIN(AL62:AL65)</f>
        <v>-6</v>
      </c>
      <c r="AM66" s="123">
        <f>MAX(AM62:AM65)+1</f>
        <v>10</v>
      </c>
      <c r="AN66" s="123">
        <f>MAX(AN62:AN65)+1</f>
        <v>8</v>
      </c>
      <c r="AO66" s="123">
        <f>MAX(AO62:AO65)+1</f>
        <v>9.75</v>
      </c>
      <c r="AP66" s="123">
        <f>MAX(AP62:AP65)+1</f>
        <v>87500010.875937417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0</v>
      </c>
      <c r="BN66" s="63">
        <v>1</v>
      </c>
      <c r="BO66" s="25"/>
      <c r="BP66" s="112">
        <f>IF(OR(BM66="",BM67="",AND(BN66="",BN67&lt;&gt;""),AND(BN67="",BN66&lt;&gt;""),AND(BO66="",BO67&lt;&gt;""),AND(BO67="",BO66&lt;&gt;"")),"",BM66*1000+BN66*10+BO66)</f>
        <v>10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>
        <v>0</v>
      </c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4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7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87500009.608024761</v>
      </c>
      <c r="AQ68" s="126">
        <f>VLOOKUP(AE68,db_fifarank,2,FALSE)</f>
        <v>1763.83</v>
      </c>
      <c r="AR68" s="125">
        <f>AP68/AP72</f>
        <v>0.99999998857142991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>
        <v>0</v>
      </c>
      <c r="BV68" s="25">
        <v>3</v>
      </c>
      <c r="BW68" s="116">
        <f>IF(OR(BT68="",BT69="",AND(BU68="",BU69&lt;&gt;""),AND(BU69="",BU68&lt;&gt;""),AND(BV68="",BV69&lt;&gt;""),AND(BV69="",BV68&lt;&gt;"")),"",BT68*1000+BU68*10+BV68)</f>
        <v>3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England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4</v>
      </c>
      <c r="AL69" s="123">
        <f>AI69-AJ69</f>
        <v>-2</v>
      </c>
      <c r="AM69" s="123">
        <f>AL69-AL72</f>
        <v>1</v>
      </c>
      <c r="AN69" s="123">
        <f>AF69*3+AG69</f>
        <v>2</v>
      </c>
      <c r="AO69" s="123">
        <f>AN69/AN72*10+BA69</f>
        <v>2.5</v>
      </c>
      <c r="AP69" s="123">
        <f>AO69*10000000+BI69*100+AM69/AM72*10+AI69/AI72*1++IF(AQ69=0,ROW(),AQ69)/2000000</f>
        <v>25000001.536453463</v>
      </c>
      <c r="AQ69" s="126">
        <f>VLOOKUP(AE69,db_fifarank,2,FALSE)</f>
        <v>1478.35</v>
      </c>
      <c r="AR69" s="125">
        <f>AP69/AP72</f>
        <v>0.28571426863530774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0</v>
      </c>
      <c r="BU69" s="64">
        <v>0</v>
      </c>
      <c r="BV69" s="27">
        <v>4</v>
      </c>
      <c r="BW69" s="112">
        <f>IF(BW68="","",BT69*1000+BU69*10+BV69)</f>
        <v>4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2</v>
      </c>
      <c r="N70" s="23">
        <f>VLOOKUP(2,AD68:AN71,5,FALSE)</f>
        <v>0</v>
      </c>
      <c r="O70" s="23" t="str">
        <f>VLOOKUP(2,AD68:AN71,6,FALSE) &amp; " - " &amp; VLOOKUP(2,AD68:AN71,7,FALSE)</f>
        <v>5 - 4</v>
      </c>
      <c r="P70" s="34">
        <f>L70*3+M70</f>
        <v>5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5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1.25</v>
      </c>
      <c r="AP70" s="123">
        <f>AO70*10000000+BI70*100+AM70/AM72*10+AI70/AI72*1++IF(AQ70=0,ROW(),AQ70)/2000000</f>
        <v>12500000.286446955</v>
      </c>
      <c r="AQ70" s="126">
        <f>VLOOKUP(AE70,db_fifarank,2,FALSE)</f>
        <v>1465.34</v>
      </c>
      <c r="AR70" s="125">
        <f>AP70/AP72</f>
        <v>0.14285712881159995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2 - 4</v>
      </c>
      <c r="P71" s="34">
        <f>L71*3+M71</f>
        <v>2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2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4</v>
      </c>
      <c r="AN71" s="123">
        <f>AF71*3+AG71</f>
        <v>5</v>
      </c>
      <c r="AO71" s="123">
        <f>AN71/AN72*10+BA71</f>
        <v>6.25</v>
      </c>
      <c r="AP71" s="123">
        <f>AO71*10000000+BI71*100+AM71/AM72*10+AI71/AI72*1++IF(AQ71=0,ROW(),AQ71)/2000000</f>
        <v>62500005.715132259</v>
      </c>
      <c r="AQ71" s="126">
        <f>VLOOKUP(AE71,db_fifarank,2,FALSE)</f>
        <v>1693.09</v>
      </c>
      <c r="AR71" s="125">
        <f>AP71/AP72</f>
        <v>0.71428569300539357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0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-3</v>
      </c>
      <c r="AM72" s="123">
        <f>MAX(AM68:AM71)+1</f>
        <v>8</v>
      </c>
      <c r="AN72" s="123">
        <f>MAX(AN68:AN71)+1</f>
        <v>8</v>
      </c>
      <c r="AO72" s="123">
        <f>MAX(AO68:AO71)+1</f>
        <v>9.75</v>
      </c>
      <c r="AP72" s="123">
        <f>MAX(AP68:AP71)+1</f>
        <v>87500010.608024761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6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87500009.286627263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6</v>
      </c>
      <c r="AN75" s="123">
        <f>AF75*3+AG75</f>
        <v>6</v>
      </c>
      <c r="AO75" s="123">
        <f>AN75/AN78*10+BA75</f>
        <v>7.5</v>
      </c>
      <c r="AP75" s="123">
        <f>AO75*10000000+BI75*100+AM75/AM78*10+AI75/AI78*1++IF(AQ75=0,ROW(),AQ75)/2000000</f>
        <v>75000009.429429948</v>
      </c>
      <c r="AQ75" s="126">
        <f>VLOOKUP(AE75,db_fifarank,2,FALSE)</f>
        <v>1717.07</v>
      </c>
      <c r="AR75" s="125">
        <f>AP75/AP78</f>
        <v>0.85714286414080909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1.25</v>
      </c>
      <c r="AP76" s="123">
        <f>AO76*10000000+BI76*100+AM76/AM78*10+AI76/AI78*1++IF(AQ76=0,ROW(),AQ76)/2000000</f>
        <v>12500000.28638744</v>
      </c>
      <c r="AQ76" s="126">
        <f>VLOOKUP(AE76,db_fifarank,2,FALSE)</f>
        <v>1346.31</v>
      </c>
      <c r="AR76" s="125">
        <f>AP76/AP78</f>
        <v>0.14285712933565026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2 - 5</v>
      </c>
      <c r="P77" s="34">
        <f>L77*3+M77</f>
        <v>2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2</v>
      </c>
      <c r="AH77" s="123">
        <f>COUNTIF($S$7:$T$78,"=" &amp; AE77 &amp; "_lose")</f>
        <v>1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0</v>
      </c>
      <c r="AN77" s="123">
        <f>AF77*3+AG77</f>
        <v>2</v>
      </c>
      <c r="AO77" s="123">
        <f>AN77/AN78*10+BA77</f>
        <v>2.5</v>
      </c>
      <c r="AP77" s="123">
        <f>AO77*10000000+BI77*100+AM77/AM78*10+AI77/AI78*1++IF(AQ77=0,ROW(),AQ77)/2000000</f>
        <v>25000000.286484607</v>
      </c>
      <c r="AQ77" s="126">
        <f>VLOOKUP(AE77,db_fifarank,2,FALSE)</f>
        <v>1540.64</v>
      </c>
      <c r="AR77" s="125">
        <f>AP77/AP78</f>
        <v>0.28571425539941209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2 - 5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7</v>
      </c>
      <c r="AL78" s="123">
        <f>MIN(AL74:AL77)</f>
        <v>-3</v>
      </c>
      <c r="AM78" s="123">
        <f>MAX(AM74:AM77)+1</f>
        <v>7</v>
      </c>
      <c r="AN78" s="123">
        <f>MAX(AN74:AN77)+1</f>
        <v>8</v>
      </c>
      <c r="AO78" s="123">
        <f>MAX(AO74:AO77)+1</f>
        <v>9.75</v>
      </c>
      <c r="AP78" s="123">
        <f>MAX(AP74:AP77)+1</f>
        <v>87500010.286627263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8675.0007943300006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Algeria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2</v>
      </c>
      <c r="AM81" s="123">
        <f t="shared" ref="AM81:AM91" si="44">AL81-$AL$92</f>
        <v>7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8937.5007782400007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5 - 3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4</v>
      </c>
      <c r="AK82" s="123" t="s">
        <v>3182</v>
      </c>
      <c r="AL82" s="123">
        <f t="shared" si="43"/>
        <v>-2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6400.0007491750002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6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6525.0007903349997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4 - 4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3</v>
      </c>
      <c r="AK84" s="123" t="s">
        <v>3185</v>
      </c>
      <c r="AL84" s="123">
        <f t="shared" si="43"/>
        <v>1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8800.0007664900004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7 - 6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5</v>
      </c>
      <c r="AJ85" s="123">
        <f t="shared" si="42"/>
        <v>9</v>
      </c>
      <c r="AK85" s="123" t="s">
        <v>3186</v>
      </c>
      <c r="AL85" s="123">
        <f t="shared" si="43"/>
        <v>-4</v>
      </c>
      <c r="AM85" s="123">
        <f t="shared" si="44"/>
        <v>1</v>
      </c>
      <c r="AN85" s="123">
        <f t="shared" si="45"/>
        <v>3</v>
      </c>
      <c r="AP85" s="123">
        <f>AN85/AN92*10000+AM85/AM92*1000+AI85/AI92*100+IF(AQ85=0,ROW(),AQ85)/2000000</f>
        <v>6187.5007573849998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Ⓓ Australia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5</v>
      </c>
      <c r="AK86" s="123" t="s">
        <v>3187</v>
      </c>
      <c r="AL86" s="123">
        <f t="shared" si="43"/>
        <v>-4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4137.5008076499998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2025.000683065</v>
      </c>
      <c r="AQ87" s="126">
        <f t="shared" si="37"/>
        <v>1366.13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5 - 9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7</v>
      </c>
      <c r="AJ88" s="123">
        <f t="shared" si="42"/>
        <v>6</v>
      </c>
      <c r="AK88" s="123" t="s">
        <v>3189</v>
      </c>
      <c r="AL88" s="123">
        <f t="shared" si="43"/>
        <v>1</v>
      </c>
      <c r="AM88" s="123">
        <f t="shared" si="44"/>
        <v>6</v>
      </c>
      <c r="AN88" s="123">
        <f t="shared" si="45"/>
        <v>3</v>
      </c>
      <c r="AP88" s="123">
        <f>AN88/AN92*10000+AM88/AM92*1000+AI88/AI92*100+IF(AQ88=0,ROW(),AQ88)/2000000</f>
        <v>6837.5008444949999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5</v>
      </c>
      <c r="AJ89" s="123">
        <f t="shared" si="42"/>
        <v>3</v>
      </c>
      <c r="AK89" s="123" t="s">
        <v>3190</v>
      </c>
      <c r="AL89" s="123">
        <f t="shared" si="43"/>
        <v>2</v>
      </c>
      <c r="AM89" s="123">
        <f t="shared" si="44"/>
        <v>7</v>
      </c>
      <c r="AN89" s="123">
        <f t="shared" si="45"/>
        <v>4</v>
      </c>
      <c r="AP89" s="123">
        <f>AN89/AN92*10000+AM89/AM92*1000+AI89/AI92*100+IF(AQ89=0,ROW(),AQ89)/2000000</f>
        <v>8937.5007821300005</v>
      </c>
      <c r="AQ89" s="126">
        <f t="shared" si="37"/>
        <v>1564.26</v>
      </c>
      <c r="AR89" s="125" t="str">
        <f t="shared" si="50"/>
        <v>ABCDEFIJ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2 - 5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9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2</v>
      </c>
      <c r="AJ90" s="123">
        <f t="shared" si="42"/>
        <v>4</v>
      </c>
      <c r="AK90" s="123" t="s">
        <v>3191</v>
      </c>
      <c r="AL90" s="123">
        <f t="shared" si="43"/>
        <v>-2</v>
      </c>
      <c r="AM90" s="123">
        <f t="shared" si="44"/>
        <v>3</v>
      </c>
      <c r="AN90" s="123">
        <f t="shared" si="45"/>
        <v>2</v>
      </c>
      <c r="AP90" s="123">
        <f>AN90/AN92*10000+AM90/AM92*1000+AI90/AI92*100+IF(AQ90=0,ROW(),AQ90)/2000000</f>
        <v>4400.0007391749996</v>
      </c>
      <c r="AQ90" s="126">
        <f t="shared" si="37"/>
        <v>1478.35</v>
      </c>
      <c r="AR90" s="125" t="str">
        <f t="shared" si="50"/>
        <v>ABCDEFIJ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1 - 5</v>
      </c>
      <c r="P91" s="104">
        <f t="shared" si="48"/>
        <v>2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Panama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2</v>
      </c>
      <c r="AP91" s="123">
        <f>AN91/AN92*10000+AM91/AM92*1000+AI91/AI92*100+IF(AQ91=0,ROW(),AQ91)/2000000</f>
        <v>4275.0007703199999</v>
      </c>
      <c r="AQ91" s="126">
        <f t="shared" si="37"/>
        <v>1540.64</v>
      </c>
      <c r="AR91" s="125" t="str">
        <f t="shared" si="50"/>
        <v>ABCDEFIJ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8</v>
      </c>
      <c r="AJ92" s="123">
        <f>MAX(AJ80:AJ91)+1</f>
        <v>10</v>
      </c>
      <c r="AL92" s="123">
        <f>MIN(AL80:AL91)</f>
        <v>-5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444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486</v>
      </c>
      <c r="C3" s="121" t="str">
        <f>'2026 World Cup'!AR91</f>
        <v>ABCDEFIJ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Bjorn Ronning Fjaerli</cp:lastModifiedBy>
  <cp:revision/>
  <cp:lastPrinted>2026-06-10T09:43:17Z</cp:lastPrinted>
  <dcterms:created xsi:type="dcterms:W3CDTF">2017-12-27T19:32:51Z</dcterms:created>
  <dcterms:modified xsi:type="dcterms:W3CDTF">2026-06-10T22:16:50Z</dcterms:modified>
  <cp:category>Sports</cp:category>
  <cp:contentStatus/>
</cp:coreProperties>
</file>
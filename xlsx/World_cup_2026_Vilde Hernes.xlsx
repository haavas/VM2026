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oa365-my.sharepoint.com/personal/vildeher_oslomet_no/Documents/Skrivebord/"/>
    </mc:Choice>
  </mc:AlternateContent>
  <xr:revisionPtr revIDLastSave="187" documentId="8_{90FA6AB3-2A63-46F1-BCFD-E79003E03055}" xr6:coauthVersionLast="47" xr6:coauthVersionMax="47" xr10:uidLastSave="{1D6D67AE-8B65-48C8-9B62-AF07479E6571}"/>
  <bookViews>
    <workbookView xWindow="-110" yWindow="-110" windowWidth="19420" windowHeight="115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S66" i="3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T43" i="3"/>
  <c r="S72" i="3"/>
  <c r="S70" i="3"/>
  <c r="S42" i="3"/>
  <c r="S64" i="3"/>
  <c r="S40" i="3"/>
  <c r="S62" i="3"/>
  <c r="T39" i="3"/>
  <c r="S38" i="3"/>
  <c r="S65" i="3"/>
  <c r="T66" i="3"/>
  <c r="S55" i="3"/>
  <c r="T56" i="3"/>
  <c r="S57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O69" i="3" s="1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N59" i="3"/>
  <c r="AD17" i="3"/>
  <c r="J75" i="3" l="1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BS61" i="3" l="1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P41" i="3"/>
  <c r="AF9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CN48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BS68" i="3" s="1"/>
  <c r="BZ65" i="3" s="1"/>
  <c r="CG56" i="3" s="1"/>
  <c r="CN49" i="3" s="1"/>
  <c r="D3" i="4"/>
  <c r="BL51" i="3" s="1"/>
  <c r="BS52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69" i="3"/>
  <c r="BZ49" i="3" l="1"/>
  <c r="CG55" i="3" s="1"/>
  <c r="CN38" i="3" s="1"/>
  <c r="CK6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<sst xmlns="http://schemas.openxmlformats.org/spreadsheetml/2006/main" count="9786" uniqueCount="3698">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</sst>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61" zoomScaleNormal="100" workbookViewId="0">
      <selection activeCell="CO38" sqref="CO38"/>
    </sheetView>
  </sheetViews>
  <sheetFormatPr baseColWidth="10"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0</v>
      </c>
      <c r="AH8" s="123">
        <f>COUNTIF($S$7:$T$78,"=" &amp; AE8 &amp; "_lose")</f>
        <v>1</v>
      </c>
      <c r="AI8" s="123">
        <f>SUMIF($E$7:$E$78,$AE8,$F$7:$F$78) + SUMIF($H$7:$H$78,$AE8,$G$7:$G$78)</f>
        <v>5</v>
      </c>
      <c r="AJ8" s="123">
        <f>SUMIF($E$7:$E$78,$AE8,$G$7:$G$78) + SUMIF($H$7:$H$78,$AE8,$F$7:$F$78)</f>
        <v>3</v>
      </c>
      <c r="AL8" s="123">
        <f>AI8-AJ8</f>
        <v>2</v>
      </c>
      <c r="AM8" s="123">
        <f>AL8-AL12</f>
        <v>5</v>
      </c>
      <c r="AN8" s="123">
        <f>AF8*3+AG8</f>
        <v>6</v>
      </c>
      <c r="AO8" s="123">
        <f>AN8/AN12*10+BA8</f>
        <v>7.5</v>
      </c>
      <c r="AP8" s="123">
        <f>AO8*10000000+BI8*100+AM8/AM12*10+AI8/AI12*1++IF(AQ8=0,ROW(),AQ8)/2000000</f>
        <v>75000009.167507172</v>
      </c>
      <c r="AQ8" s="126">
        <f>VLOOKUP(AE8,db_fifarank,2,FALSE)</f>
        <v>1681.03</v>
      </c>
      <c r="AR8" s="125">
        <f>AP8/AP12</f>
        <v>0.85714286231474923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0</v>
      </c>
      <c r="G9" s="20">
        <v>2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5 - 3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0.33404819833333332</v>
      </c>
      <c r="AQ9" s="126">
        <f>VLOOKUP(AE9,db_fifarank,2,FALSE)</f>
        <v>1429.73</v>
      </c>
      <c r="AR9" s="125">
        <f>AP9/AP12</f>
        <v>3.8176932516238412E-9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2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5 - 3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3</v>
      </c>
      <c r="AL10" s="123">
        <f>AI10-AJ10</f>
        <v>2</v>
      </c>
      <c r="AM10" s="123">
        <f>AL10-AL12</f>
        <v>5</v>
      </c>
      <c r="AN10" s="123">
        <f>AF10*3+AG10</f>
        <v>7</v>
      </c>
      <c r="AO10" s="123">
        <f>AN10/AN12*10+BA10</f>
        <v>8.75</v>
      </c>
      <c r="AP10" s="123">
        <f>AO10*10000000+BI10*100+AM10/AM12*10+AI10/AI12*1++IF(AQ10=0,ROW(),AQ10)/2000000</f>
        <v>87500009.167460993</v>
      </c>
      <c r="AQ10" s="126">
        <f>VLOOKUP(AE10,db_fifarank,2,FALSE)</f>
        <v>1588.66</v>
      </c>
      <c r="AR10" s="125">
        <f>AP10/AP12</f>
        <v>0.99999998857142991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2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50000003.667417362</v>
      </c>
      <c r="AQ11" s="126">
        <f>VLOOKUP(AE11,db_fifarank,2,FALSE)</f>
        <v>1501.38</v>
      </c>
      <c r="AR11" s="125">
        <f>AP11/AP12</f>
        <v>0.57142854694217027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United States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2 - 5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6</v>
      </c>
      <c r="AL12" s="123">
        <f>MIN(AL8:AL11)</f>
        <v>-3</v>
      </c>
      <c r="AM12" s="123">
        <f>MAX(AM8:AM11)+1</f>
        <v>6</v>
      </c>
      <c r="AN12" s="123">
        <f>MAX(AN8:AN11)+1</f>
        <v>8</v>
      </c>
      <c r="AO12" s="123">
        <f>MAX(AO8:AO11)+1</f>
        <v>9.75</v>
      </c>
      <c r="AP12" s="123">
        <f>MAX(AP8:AP11)+1</f>
        <v>87500010.167460993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>
        <v>1</v>
      </c>
      <c r="BV12" s="25"/>
      <c r="BW12" s="112">
        <f>IF(OR(BT12="",BT13="",AND(BU12="",BU13&lt;&gt;""),AND(BU13="",BU12&lt;&gt;""),AND(BV12="",BV13&lt;&gt;""),AND(BV13="",BV12&lt;&gt;"")),"",BT12*1000+BU12*10+BV12)</f>
        <v>1010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4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1</v>
      </c>
      <c r="V13" s="123">
        <f t="shared" si="3"/>
        <v>4</v>
      </c>
      <c r="W13" s="123">
        <f t="shared" si="4"/>
        <v>1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1</v>
      </c>
      <c r="BU13" s="64">
        <v>3</v>
      </c>
      <c r="BV13" s="27"/>
      <c r="BW13" s="113">
        <f>IF(BW12="","",BT13*1000+BU13*10+BV13)</f>
        <v>1030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4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1</v>
      </c>
      <c r="AH14" s="123">
        <f>COUNTIF($S$7:$T$78,"=" &amp; AE14 &amp; "_lose")</f>
        <v>2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5</v>
      </c>
      <c r="AL14" s="123">
        <f>AI14-AJ14</f>
        <v>-3</v>
      </c>
      <c r="AM14" s="123">
        <f>AL14-AL18</f>
        <v>0</v>
      </c>
      <c r="AN14" s="123">
        <f>AF14*3+AG14</f>
        <v>1</v>
      </c>
      <c r="AO14" s="123">
        <f>AN14/AN18*10+BA14</f>
        <v>1.9806451612903224</v>
      </c>
      <c r="AP14" s="123">
        <f>AO14*10000000+BI14*100+AM14/AM18*10+AI14/AI18*1++IF(AQ14=0,ROW(),AQ14)/2000000</f>
        <v>19806550.078197591</v>
      </c>
      <c r="AQ14" s="126">
        <f>VLOOKUP(AE14,db_fifarank,2,FALSE)</f>
        <v>1556.48</v>
      </c>
      <c r="AR14" s="125">
        <f>AP14/AP18</f>
        <v>0.22007275284720615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50.666666666666664</v>
      </c>
      <c r="BA14" s="126">
        <f>AZ14/AZ18</f>
        <v>0.98064516129032253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50.666666666666664</v>
      </c>
      <c r="BI14" s="126">
        <f>BH14/BH18</f>
        <v>0.98064516129032253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4 - 0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2</v>
      </c>
      <c r="AL15" s="123">
        <f>AI15-AJ15</f>
        <v>2</v>
      </c>
      <c r="AM15" s="123">
        <f>AL15-AL18</f>
        <v>5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60000007.050692916</v>
      </c>
      <c r="AQ15" s="126">
        <f>VLOOKUP(AE15,db_fifarank,2,FALSE)</f>
        <v>1385.84</v>
      </c>
      <c r="AR15" s="125">
        <f>AP15/AP18</f>
        <v>0.666666666853442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Tunisia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4 - 2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6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1.9806451612903224</v>
      </c>
      <c r="AP16" s="123">
        <f>AO16*10000000+BI16*100+AM16/AM18*10+AI16/AI18*1++IF(AQ16=0,ROW(),AQ16)/2000000</f>
        <v>19806550.278146833</v>
      </c>
      <c r="AQ16" s="126">
        <f>VLOOKUP(AE16,db_fifarank,2,FALSE)</f>
        <v>1454.96</v>
      </c>
      <c r="AR16" s="125">
        <f>AP16/AP18</f>
        <v>0.22007275506886415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2</v>
      </c>
      <c r="AW16" s="126" cm="1">
        <f t="array" ref="AW16">SUMPRODUCT(($E$7:$E$78=AE16)*($U$7:$U$78)*($G$7:$G$78))+SUMPRODUCT(($H$7:$H$78=AE16)*($U$7:$U$78)*($F$7:$F$78))</f>
        <v>2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50.666666666666664</v>
      </c>
      <c r="BA16" s="126">
        <f>AZ16/AZ18</f>
        <v>0.98064516129032253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2</v>
      </c>
      <c r="BE16" s="126" cm="1">
        <f t="array" ref="BE16">SUMPRODUCT(($E$7:$E$78=AE16)*($X$7:$X$78)*($G$7:$G$78))+SUMPRODUCT(($H$7:$H$78=AE16)*($X$7:$X$78)*($F$7:$F$78))</f>
        <v>2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50.666666666666664</v>
      </c>
      <c r="BI16" s="126">
        <f>BH16/BH18</f>
        <v>0.98064516129032253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3 - 6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0</v>
      </c>
      <c r="AL17" s="123">
        <f>AI17-AJ17</f>
        <v>4</v>
      </c>
      <c r="AM17" s="123">
        <f>AL17-AL18</f>
        <v>7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90000009.550824702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Canada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2 - 5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1</v>
      </c>
      <c r="Y18" s="123">
        <f t="shared" si="10"/>
        <v>1</v>
      </c>
      <c r="Z18" s="123">
        <f t="shared" si="11"/>
        <v>1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5</v>
      </c>
      <c r="AL18" s="123">
        <f>MIN(AL14:AL17)</f>
        <v>-3</v>
      </c>
      <c r="AM18" s="123">
        <f>MAX(AM14:AM17)+1</f>
        <v>8</v>
      </c>
      <c r="AN18" s="123">
        <f>MAX(AN14:AN17)+1</f>
        <v>10</v>
      </c>
      <c r="AO18" s="123">
        <f>MAX(AO14:AO17)+1</f>
        <v>10</v>
      </c>
      <c r="AP18" s="123">
        <f>MAX(AP14:AP17)+1</f>
        <v>90000010.550824702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51.666666666666664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51.666666666666664</v>
      </c>
      <c r="BK18" s="141">
        <v>73</v>
      </c>
      <c r="BL18" s="24" t="str">
        <f>AS9</f>
        <v>Mexico</v>
      </c>
      <c r="BM18" s="61">
        <v>1</v>
      </c>
      <c r="BN18" s="63">
        <v>1</v>
      </c>
      <c r="BO18" s="25">
        <v>5</v>
      </c>
      <c r="BP18" s="112">
        <f>IF(OR(BM18="",BM19="",AND(BN18="",BN19&lt;&gt;""),AND(BN19="",BN18&lt;&gt;""),AND(BO18="",BO19&lt;&gt;""),AND(BO19="",BO18&lt;&gt;"")),"",BM18*1000+BN18*10+BO18)</f>
        <v>1015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Bosnia and Herzegovina</v>
      </c>
      <c r="BM19" s="62">
        <v>1</v>
      </c>
      <c r="BN19" s="64">
        <v>1</v>
      </c>
      <c r="BO19" s="27">
        <v>3</v>
      </c>
      <c r="BP19" s="113">
        <f>IF(BP18="","",BM19*1000+BN19*10+BO19)</f>
        <v>1013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5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0</v>
      </c>
      <c r="AH20" s="123">
        <f>COUNTIF($S$7:$T$78,"=" &amp; AE20 &amp; "_lose")</f>
        <v>1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4</v>
      </c>
      <c r="AL20" s="123">
        <f>AI20-AJ20</f>
        <v>6</v>
      </c>
      <c r="AM20" s="123">
        <f>AL20-AL24</f>
        <v>14</v>
      </c>
      <c r="AN20" s="123">
        <f>AF20*3+AG20</f>
        <v>6</v>
      </c>
      <c r="AO20" s="123">
        <f>AN20/AN24*10+BA20</f>
        <v>9.5694652206432309</v>
      </c>
      <c r="AP20" s="123">
        <f>AO20*10000000+BI20*100+AM20/AM24*10+AI20/AI24*1++IF(AQ20=0,ROW(),AQ20)/2000000</f>
        <v>95694662.449737132</v>
      </c>
      <c r="AQ20" s="126">
        <f>VLOOKUP(AE20,db_fifarank,2,FALSE)</f>
        <v>1761.16</v>
      </c>
      <c r="AR20" s="125">
        <f>AP20/AP24</f>
        <v>0.9999999895500965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1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5</v>
      </c>
      <c r="AW20" s="126" cm="1">
        <f t="array" ref="AW20">SUMPRODUCT(($E$7:$E$78=AE20)*($U$7:$U$78)*($G$7:$G$78))+SUMPRODUCT(($H$7:$H$78=AE20)*($U$7:$U$78)*($F$7:$F$78))</f>
        <v>4</v>
      </c>
      <c r="AX20" s="126">
        <f>AV20-AW20</f>
        <v>1</v>
      </c>
      <c r="AY20" s="126">
        <f>AX20-MIN(AX20:AX23)</f>
        <v>3</v>
      </c>
      <c r="AZ20" s="126">
        <f>AT20/AT24*1000+AU20/AU24*100+AY20/AY24*10+AV20/AV24</f>
        <v>508.33333333333331</v>
      </c>
      <c r="BA20" s="126">
        <f>AZ20/AZ24</f>
        <v>0.99803664921465973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Mexico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0</v>
      </c>
      <c r="N21" s="31">
        <f>VLOOKUP(1,AD20:AN23,5,FALSE)</f>
        <v>1</v>
      </c>
      <c r="O21" s="31" t="str">
        <f>VLOOKUP(1,AD20:AN23,6,FALSE) &amp; " - " &amp; VLOOKUP(1,AD20:AN23,7,FALSE)</f>
        <v>10 - 4</v>
      </c>
      <c r="P21" s="32">
        <f>L21*3+M21</f>
        <v>6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6</v>
      </c>
      <c r="AL21" s="123">
        <f>AI21-AJ21</f>
        <v>0</v>
      </c>
      <c r="AM21" s="123">
        <f>AL21-AL24</f>
        <v>8</v>
      </c>
      <c r="AN21" s="123">
        <f>AF21*3+AG21</f>
        <v>6</v>
      </c>
      <c r="AO21" s="123">
        <f>AN21/AN24*10+BA21</f>
        <v>9.5540856394913991</v>
      </c>
      <c r="AP21" s="123">
        <f>AO21*10000000+BI21*100+AM21/AM24*10+AI21/AI24*1++IF(AQ21=0,ROW(),AQ21)/2000000</f>
        <v>95540862.274579793</v>
      </c>
      <c r="AQ21" s="126">
        <f>VLOOKUP(AE21,db_fifarank,2,FALSE)</f>
        <v>1755.87</v>
      </c>
      <c r="AR21" s="125">
        <f>AP21/AP24</f>
        <v>0.99839279255903213</v>
      </c>
      <c r="AS21" s="125" t="str">
        <f>IF(SUM(AF20:AH23)=12,J22,"2C")</f>
        <v>Scotland</v>
      </c>
      <c r="AT21" s="126" cm="1">
        <f t="array" ref="AT21">SUMPRODUCT(($S$7:$S$78=AE21&amp;"_win")*($U$7:$U$78))+SUMPRODUCT(($T$7:$T$78=AE21&amp;"_win")*($U$7:$U$78))</f>
        <v>1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3</v>
      </c>
      <c r="AW21" s="126" cm="1">
        <f t="array" ref="AW21">SUMPRODUCT(($E$7:$E$78=AE21)*($U$7:$U$78)*($G$7:$G$78))+SUMPRODUCT(($H$7:$H$78=AE21)*($U$7:$U$78)*($F$7:$F$78))</f>
        <v>5</v>
      </c>
      <c r="AX21" s="126">
        <f>AV21-AW21</f>
        <v>-2</v>
      </c>
      <c r="AY21" s="126">
        <f>AX21-MIN(AX20:AX23)</f>
        <v>0</v>
      </c>
      <c r="AZ21" s="126">
        <f>AT21/AT24*1000+AU21/AU24*100+AY21/AY24*10+AV21/AV24</f>
        <v>500.5</v>
      </c>
      <c r="BA21" s="126">
        <f>AZ21/AZ24</f>
        <v>0.98265706806282727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Scotland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9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9.8167539267015706E-3</v>
      </c>
      <c r="AP22" s="123">
        <f>AO22*10000000+BI22*100+AM22/AM24*10+AI22/AI24*1++IF(AQ22=0,ROW(),AQ22)/2000000</f>
        <v>98167.630821961618</v>
      </c>
      <c r="AQ22" s="126">
        <f>VLOOKUP(AE22,db_fifarank,2,FALSE)</f>
        <v>1291.71</v>
      </c>
      <c r="AR22" s="125">
        <f>AP22/AP24</f>
        <v>1.0258422704367773E-3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2</v>
      </c>
      <c r="AZ22" s="126">
        <f>AT22/AT24*1000+AU22/AU24*100+AY22/AY24*10+AV22/AV24</f>
        <v>5</v>
      </c>
      <c r="BA22" s="126">
        <f>AZ22/AZ24</f>
        <v>9.8167539267015706E-3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Morocco</v>
      </c>
      <c r="K23" s="23">
        <f>L23+M23+N23</f>
        <v>3</v>
      </c>
      <c r="L23" s="23">
        <f>VLOOKUP(3,AD20:AN23,3,FALSE)</f>
        <v>2</v>
      </c>
      <c r="M23" s="23">
        <f>VLOOKUP(3,AD20:AN23,4,FALSE)</f>
        <v>0</v>
      </c>
      <c r="N23" s="23">
        <f>VLOOKUP(3,AD20:AN23,5,FALSE)</f>
        <v>1</v>
      </c>
      <c r="O23" s="23" t="str">
        <f>VLOOKUP(3,AD20:AN23,6,FALSE) &amp; " - " &amp; VLOOKUP(3,AD20:AN23,7,FALSE)</f>
        <v>6 - 6</v>
      </c>
      <c r="P23" s="34">
        <f>L23*3+M23</f>
        <v>6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2</v>
      </c>
      <c r="AE23" s="124" t="str">
        <f>VLOOKUP("Scotland",T,lang,FALSE)</f>
        <v>Scotland</v>
      </c>
      <c r="AF23" s="123">
        <f>COUNTIF($S$7:$T$78,"=" &amp; AE23 &amp; "_win")</f>
        <v>2</v>
      </c>
      <c r="AG23" s="123">
        <f>COUNTIF($S$7:$T$78,"=" &amp; AE23 &amp; "_draw")</f>
        <v>0</v>
      </c>
      <c r="AH23" s="123">
        <f>COUNTIF($S$7:$T$78,"=" &amp; AE23 &amp; "_lose")</f>
        <v>1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3</v>
      </c>
      <c r="AL23" s="123">
        <f>AI23-AJ23</f>
        <v>2</v>
      </c>
      <c r="AM23" s="123">
        <f>AL23-AL24</f>
        <v>10</v>
      </c>
      <c r="AN23" s="123">
        <f>AF23*3+AG23</f>
        <v>6</v>
      </c>
      <c r="AO23" s="123">
        <f>AN23/AN24*10+BA23</f>
        <v>9.5691379955123406</v>
      </c>
      <c r="AP23" s="123">
        <f>AO23*10000000+BI23*100+AM23/AM24*10+AI23/AI24*1++IF(AQ23=0,ROW(),AQ23)/2000000</f>
        <v>95691387.077084705</v>
      </c>
      <c r="AQ23" s="126">
        <f>VLOOKUP(AE23,db_fifarank,2,FALSE)</f>
        <v>1498.35</v>
      </c>
      <c r="AR23" s="125">
        <f>AP23/AP24</f>
        <v>0.99996576222190126</v>
      </c>
      <c r="AT23" s="126" cm="1">
        <f t="array" ref="AT23">SUMPRODUCT(($S$7:$S$78=AE23&amp;"_win")*($U$7:$U$78))+SUMPRODUCT(($T$7:$T$78=AE23&amp;"_win")*($U$7:$U$78))</f>
        <v>1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4</v>
      </c>
      <c r="AW23" s="126" cm="1">
        <f t="array" ref="AW23">SUMPRODUCT(($E$7:$E$78=AE23)*($U$7:$U$78)*($G$7:$G$78))+SUMPRODUCT(($H$7:$H$78=AE23)*($U$7:$U$78)*($F$7:$F$78))</f>
        <v>3</v>
      </c>
      <c r="AX23" s="126">
        <f>AV23-AW23</f>
        <v>1</v>
      </c>
      <c r="AY23" s="126">
        <f>AX23-MIN(AX20:AX23)</f>
        <v>3</v>
      </c>
      <c r="AZ23" s="126">
        <f>AT23/AT24*1000+AU23/AU24*100+AY23/AY24*10+AV23/AV24</f>
        <v>508.16666666666669</v>
      </c>
      <c r="BA23" s="126">
        <f>AZ23/AZ24</f>
        <v>0.99770942408376972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Scotland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3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1</v>
      </c>
      <c r="AH24" s="123">
        <f t="shared" si="14"/>
        <v>3</v>
      </c>
      <c r="AI24" s="123">
        <f>MAX(AI20:AI23)+1</f>
        <v>11</v>
      </c>
      <c r="AL24" s="123">
        <f>MIN(AL20:AL23)</f>
        <v>-8</v>
      </c>
      <c r="AM24" s="123">
        <f>MAX(AM20:AM23)+1</f>
        <v>15</v>
      </c>
      <c r="AN24" s="123">
        <f>MAX(AN20:AN23)+1</f>
        <v>7</v>
      </c>
      <c r="AO24" s="123">
        <f>MAX(AO20:AO23)+1</f>
        <v>10.569465220643231</v>
      </c>
      <c r="AP24" s="123">
        <f>MAX(AP20:AP23)+1</f>
        <v>95694663.449737132</v>
      </c>
      <c r="AT24" s="126">
        <f>MAX(AT20:AT23)-MIN(AT20:AT23)+1</f>
        <v>2</v>
      </c>
      <c r="AU24" s="126">
        <f>MAX(AU20:AU23)-MIN(AU20:AU23)+1</f>
        <v>1</v>
      </c>
      <c r="AV24" s="126">
        <f>MAX(AV20:AV23)-MIN(AV20:AV23)+1</f>
        <v>6</v>
      </c>
      <c r="AW24" s="126">
        <f>MAX(AW20:AW23)-MIN(AW20:AW23)+1</f>
        <v>6</v>
      </c>
      <c r="AY24" s="126">
        <f>MAX(AY20:AY23)-MIN(AY20:AY23)+1</f>
        <v>4</v>
      </c>
      <c r="AZ24" s="126">
        <f>MAX(AZ20:AZ23)+1</f>
        <v>509.33333333333331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2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6</v>
      </c>
      <c r="AL26" s="123">
        <f>AI26-AJ26</f>
        <v>-3</v>
      </c>
      <c r="AM26" s="123">
        <f>AL26-AL30</f>
        <v>3</v>
      </c>
      <c r="AN26" s="123">
        <f>AF26*3+AG26</f>
        <v>3</v>
      </c>
      <c r="AO26" s="123">
        <f>AN26/AN30*10+BA26</f>
        <v>3.75</v>
      </c>
      <c r="AP26" s="123">
        <f>AO26*10000000+BI26*100+AM26/AM30*10+AI26/AI30*1++IF(AQ26=0,ROW(),AQ26)/2000000</f>
        <v>37500002.641862206</v>
      </c>
      <c r="AQ26" s="126">
        <f>VLOOKUP(AE26,db_fifarank,2,FALSE)</f>
        <v>1673.13</v>
      </c>
      <c r="AR26" s="125">
        <f>AP26/AP30</f>
        <v>0.38538000248263188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2</v>
      </c>
      <c r="BN26" s="63">
        <v>2</v>
      </c>
      <c r="BO26" s="25">
        <v>3</v>
      </c>
      <c r="BP26" s="112">
        <f>IF(OR(BM26="",BM27="",AND(BN26="",BN27&lt;&gt;""),AND(BN27="",BN26&lt;&gt;""),AND(BO26="",BO27&lt;&gt;""),AND(BO27="",BO26&lt;&gt;"")),"",BM26*1000+BN26*10+BO26)</f>
        <v>2023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8 - 2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1</v>
      </c>
      <c r="AH27" s="123">
        <f>COUNTIF($S$7:$T$78,"=" &amp; AE27 &amp; "_lose")</f>
        <v>0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3</v>
      </c>
      <c r="AL27" s="123">
        <f>AI27-AJ27</f>
        <v>3</v>
      </c>
      <c r="AM27" s="123">
        <f>AL27-AL30</f>
        <v>9</v>
      </c>
      <c r="AN27" s="123">
        <f>AF27*3+AG27</f>
        <v>7</v>
      </c>
      <c r="AO27" s="123">
        <f>AN27/AN30*10+BA27</f>
        <v>9.7306451612903224</v>
      </c>
      <c r="AP27" s="123">
        <f>AO27*10000000+BI27*100+AM27/AM30*10+AI27/AI30*1++IF(AQ27=0,ROW(),AQ27)/2000000</f>
        <v>97306557.267914698</v>
      </c>
      <c r="AQ27" s="126">
        <f>VLOOKUP(AE27,db_fifarank,2,FALSE)</f>
        <v>1503.5</v>
      </c>
      <c r="AR27" s="125">
        <f>AP27/AP30</f>
        <v>0.9999999637232857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50.666666666666664</v>
      </c>
      <c r="BA27" s="126">
        <f>AZ27/AZ30</f>
        <v>0.98064516129032253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2</v>
      </c>
      <c r="BE27" s="126" cm="1">
        <f t="array" ref="BE27">SUMPRODUCT(($E$7:$E$78=AE27)*($X$7:$X$78)*($G$7:$G$78))+SUMPRODUCT(($H$7:$H$78=AE27)*($X$7:$X$78)*($F$7:$F$78))</f>
        <v>2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50.666666666666664</v>
      </c>
      <c r="BI27" s="126">
        <f>BH27/BH30</f>
        <v>0.98064516129032253</v>
      </c>
      <c r="BK27" s="142"/>
      <c r="BL27" s="26" t="str">
        <f>AS75</f>
        <v>England</v>
      </c>
      <c r="BM27" s="62">
        <v>2</v>
      </c>
      <c r="BN27" s="64">
        <v>2</v>
      </c>
      <c r="BO27" s="27">
        <v>4</v>
      </c>
      <c r="BP27" s="113">
        <f>IF(BP26="","",BM27*1000+BN27*10+BO27)</f>
        <v>2024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6 - 3</v>
      </c>
      <c r="P28" s="34">
        <f>L28*3+M28</f>
        <v>7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2</v>
      </c>
      <c r="W28" s="123">
        <f t="shared" si="4"/>
        <v>2</v>
      </c>
      <c r="X28" s="123">
        <f t="shared" si="9"/>
        <v>1</v>
      </c>
      <c r="Y28" s="123">
        <f t="shared" si="10"/>
        <v>2</v>
      </c>
      <c r="Z28" s="123">
        <f t="shared" si="11"/>
        <v>2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7</v>
      </c>
      <c r="AL28" s="123">
        <f>AI28-AJ28</f>
        <v>-6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0.11190144611111111</v>
      </c>
      <c r="AQ28" s="126">
        <f>VLOOKUP(AE28,db_fifarank,2,FALSE)</f>
        <v>1580.67</v>
      </c>
      <c r="AR28" s="125">
        <f>AP28/AP30</f>
        <v>1.1499887077866238E-9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England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1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3 - 6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8</v>
      </c>
      <c r="AJ29" s="123">
        <f>SUMIF($E$7:$E$78,$AE29,$G$7:$G$78) + SUMIF($H$7:$H$78,$AE29,$F$7:$F$78)</f>
        <v>2</v>
      </c>
      <c r="AL29" s="123">
        <f>AI29-AJ29</f>
        <v>6</v>
      </c>
      <c r="AM29" s="123">
        <f>AL29-AL30</f>
        <v>12</v>
      </c>
      <c r="AN29" s="123">
        <f>AF29*3+AG29</f>
        <v>7</v>
      </c>
      <c r="AO29" s="123">
        <f>AN29/AN30*10+BA29</f>
        <v>9.7306451612903224</v>
      </c>
      <c r="AP29" s="123">
        <f>AO29*10000000+BI29*100+AM29/AM30*10+AI29/AI30*1++IF(AQ29=0,ROW(),AQ29)/2000000</f>
        <v>97306559.797876999</v>
      </c>
      <c r="AQ29" s="126">
        <f>VLOOKUP(AE29,db_fifarank,2,FALSE)</f>
        <v>1599.04</v>
      </c>
      <c r="AR29" s="125">
        <f>AP29/AP30</f>
        <v>0.9999999897232007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50.666666666666664</v>
      </c>
      <c r="BA29" s="126">
        <f>AZ29/AZ30</f>
        <v>0.98064516129032253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50.666666666666664</v>
      </c>
      <c r="BI29" s="126">
        <f>BH29/BH30</f>
        <v>0.98064516129032253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1 - 7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9</v>
      </c>
      <c r="AL30" s="123">
        <f>MIN(AL26:AL29)</f>
        <v>-6</v>
      </c>
      <c r="AM30" s="123">
        <f>MAX(AM26:AM29)+1</f>
        <v>13</v>
      </c>
      <c r="AN30" s="123">
        <f>MAX(AN26:AN29)+1</f>
        <v>8</v>
      </c>
      <c r="AO30" s="123">
        <f>MAX(AO26:AO29)+1</f>
        <v>10.730645161290322</v>
      </c>
      <c r="AP30" s="123">
        <f>MAX(AP26:AP29)+1</f>
        <v>97306560.797876999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51.666666666666664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51.666666666666664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90000010.284956098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2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1</v>
      </c>
      <c r="V33" s="123">
        <f t="shared" si="3"/>
        <v>2</v>
      </c>
      <c r="W33" s="123">
        <f t="shared" si="4"/>
        <v>2</v>
      </c>
      <c r="X33" s="123">
        <f t="shared" si="9"/>
        <v>1</v>
      </c>
      <c r="Y33" s="123">
        <f t="shared" si="10"/>
        <v>2</v>
      </c>
      <c r="Z33" s="123">
        <f t="shared" si="11"/>
        <v>2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7.1924990981440383E-12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4 - 4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6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49805927.324464634</v>
      </c>
      <c r="AQ34" s="126">
        <f>VLOOKUP(AE34,db_fifarank,2,FALSE)</f>
        <v>1532.98</v>
      </c>
      <c r="AR34" s="125">
        <f>AP34/AP36</f>
        <v>0.55339912310422024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Turkey</v>
      </c>
      <c r="BM34" s="61">
        <v>1</v>
      </c>
      <c r="BN34" s="63">
        <v>2</v>
      </c>
      <c r="BO34" s="25"/>
      <c r="BP34" s="112">
        <f>IF(OR(BM34="",BM35="",AND(BN34="",BN35&lt;&gt;""),AND(BN35="",BN34&lt;&gt;""),AND(BO34="",BO35&lt;&gt;""),AND(BO35="",BO34&lt;&gt;"")),"",BM34*1000+BN34*10+BO34)</f>
        <v>1020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3 - 4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7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49805928.040404625</v>
      </c>
      <c r="AQ35" s="126">
        <f>VLOOKUP(AE35,db_fifarank,2,FALSE)</f>
        <v>1594.78</v>
      </c>
      <c r="AR35" s="125">
        <f>AP35/AP36</f>
        <v>0.5533991310591081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Ivory Coast</v>
      </c>
      <c r="BM35" s="62">
        <v>1</v>
      </c>
      <c r="BN35" s="64">
        <v>1</v>
      </c>
      <c r="BO35" s="27"/>
      <c r="BP35" s="113">
        <f>IF(BP34="","",BM35*1000+BN35*10+BO35)</f>
        <v>1010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1</v>
      </c>
      <c r="V36" s="123">
        <f t="shared" si="3"/>
        <v>1</v>
      </c>
      <c r="W36" s="123">
        <f t="shared" si="4"/>
        <v>2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11</v>
      </c>
      <c r="AL36" s="123">
        <f>MIN(AL32:AL35)</f>
        <v>-7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90000011.284956098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2</v>
      </c>
      <c r="BU36" s="63">
        <v>2</v>
      </c>
      <c r="BV36" s="25">
        <v>4</v>
      </c>
      <c r="BW36" s="116">
        <f>IF(OR(BT36="",BT37="",AND(BU36="",BU37&lt;&gt;""),AND(BU37="",BU36&lt;&gt;""),AND(BV36="",BV37&lt;&gt;""),AND(BV37="",BV36&lt;&gt;"")),"",BT36*1000+BU36*10+BV36)</f>
        <v>2024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>
        <v>2</v>
      </c>
      <c r="BV37" s="27">
        <v>5</v>
      </c>
      <c r="BW37" s="112">
        <f>IF(BW36="","",BT37*1000+BU37*10+BV37)</f>
        <v>2025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2</v>
      </c>
      <c r="W38" s="123">
        <f t="shared" si="4"/>
        <v>2</v>
      </c>
      <c r="X38" s="123">
        <f t="shared" si="9"/>
        <v>1</v>
      </c>
      <c r="Y38" s="123">
        <f t="shared" si="10"/>
        <v>2</v>
      </c>
      <c r="Z38" s="123">
        <f t="shared" si="11"/>
        <v>2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3</v>
      </c>
      <c r="AL38" s="123">
        <f>AI38-AJ38</f>
        <v>4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90000009.87587893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>
        <v>3</v>
      </c>
      <c r="BO38" s="25"/>
      <c r="BP38" s="116">
        <f>IF(OR(BM38="",BM39="",AND(BN38="",BN39&lt;&gt;""),AND(BN39="",BN38&lt;&gt;""),AND(BO38="",BO39&lt;&gt;""),AND(BO39="",BO38&lt;&gt;"")),"",BM38*1000+BN38*10+BO38)</f>
        <v>2030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Brazil</v>
      </c>
      <c r="CO38" s="62">
        <v>3</v>
      </c>
      <c r="CP38" s="64"/>
      <c r="CQ38" s="27"/>
      <c r="CR38" s="111">
        <f>IF(CR37="","",CO38*1000+CP38*10+CQ38)</f>
        <v>3000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7 - 3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3</v>
      </c>
      <c r="AL39" s="123">
        <f>AI39-AJ39</f>
        <v>3</v>
      </c>
      <c r="AM39" s="123">
        <f>AL39-AL42</f>
        <v>8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60000008.750830218</v>
      </c>
      <c r="AQ39" s="126">
        <f>VLOOKUP(AE39,db_fifarank,2,FALSE)</f>
        <v>1660.43</v>
      </c>
      <c r="AR39" s="125">
        <f>AP39/AP42</f>
        <v>0.6666666833360454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2</v>
      </c>
      <c r="BN39" s="64">
        <v>2</v>
      </c>
      <c r="BO39" s="27"/>
      <c r="BP39" s="112">
        <f>IF(BP38="","",BM39*1000+BN39*10+BO39)</f>
        <v>2020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6 - 3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7</v>
      </c>
      <c r="AL40" s="123">
        <f>AI40-AJ40</f>
        <v>-5</v>
      </c>
      <c r="AM40" s="123">
        <f>AL40-AL42</f>
        <v>0</v>
      </c>
      <c r="AN40" s="123">
        <f>AF40*3+AG40</f>
        <v>1</v>
      </c>
      <c r="AO40" s="123">
        <f>AN40/AN42*10+BA40</f>
        <v>1.9805825242718447</v>
      </c>
      <c r="AP40" s="123">
        <f>AO40*10000000+BI40*100+AM40/AM42*10+AI40/AI42*1++IF(AQ40=0,ROW(),AQ40)/2000000</f>
        <v>19805923.55172826</v>
      </c>
      <c r="AQ40" s="126">
        <f>VLOOKUP(AE40,db_fifarank,2,FALSE)</f>
        <v>1514.77</v>
      </c>
      <c r="AR40" s="125">
        <f>AP40/AP42</f>
        <v>0.22006579064799292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3 - 5</v>
      </c>
      <c r="P41" s="34">
        <f>L41*3+M41</f>
        <v>1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5</v>
      </c>
      <c r="AL41" s="123">
        <f>AI41-AJ41</f>
        <v>-2</v>
      </c>
      <c r="AM41" s="123">
        <f>AL41-AL42</f>
        <v>3</v>
      </c>
      <c r="AN41" s="123">
        <f>AF41*3+AG41</f>
        <v>1</v>
      </c>
      <c r="AO41" s="123">
        <f>AN41/AN42*10+BA41</f>
        <v>1.9805825242718447</v>
      </c>
      <c r="AP41" s="123">
        <f>AO41*10000000+BI41*100+AM41/AM42*10+AI41/AI42*1++IF(AQ41=0,ROW(),AQ41)/2000000</f>
        <v>19805926.676712401</v>
      </c>
      <c r="AQ41" s="126">
        <f>VLOOKUP(AE41,db_fifarank,2,FALSE)</f>
        <v>1483.05</v>
      </c>
      <c r="AR41" s="125">
        <f>AP41/AP42</f>
        <v>0.22006582537003475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2 - 7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8</v>
      </c>
      <c r="AL42" s="123">
        <f>MIN(AL38:AL41)</f>
        <v>-5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90000010.87587893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Brazil</v>
      </c>
      <c r="BM42" s="61">
        <v>4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4000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90000009.858010203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>
        <v>3</v>
      </c>
      <c r="BV44" s="25"/>
      <c r="BW44" s="112">
        <f>IF(OR(BT44="",BT45="",AND(BU44="",BU45&lt;&gt;""),AND(BU45="",BU44&lt;&gt;""),AND(BV44="",BV45&lt;&gt;""),AND(BV45="",BV44&lt;&gt;"")),"",BT44*1000+BU44*10+BV44)</f>
        <v>2030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3</v>
      </c>
      <c r="AL45" s="123">
        <f>AI45-AJ45</f>
        <v>3</v>
      </c>
      <c r="AM45" s="123">
        <f>AL45-AL48</f>
        <v>7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60000007.857924476</v>
      </c>
      <c r="AQ45" s="126">
        <f>VLOOKUP(AE45,db_fifarank,2,FALSE)</f>
        <v>1563.24</v>
      </c>
      <c r="AR45" s="125">
        <f>AP45/AP48</f>
        <v>0.66666667354723264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2</v>
      </c>
      <c r="BU45" s="64">
        <v>2</v>
      </c>
      <c r="BV45" s="27"/>
      <c r="BW45" s="113">
        <f>IF(BW44="","",BT45*1000+BU45*10+BV45)</f>
        <v>2020</v>
      </c>
      <c r="CK45" s="114"/>
      <c r="CM45" s="147"/>
      <c r="CN45" s="148"/>
      <c r="CO45" s="148"/>
      <c r="CP45" s="148"/>
      <c r="CQ45" s="149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6 - 3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5</v>
      </c>
      <c r="AL46" s="123">
        <f>AI46-AJ46</f>
        <v>-4</v>
      </c>
      <c r="AM46" s="123">
        <f>AL46-AL48</f>
        <v>0</v>
      </c>
      <c r="AN46" s="123">
        <f>AF46*3+AG46</f>
        <v>1</v>
      </c>
      <c r="AO46" s="123">
        <f>AN46/AN48*10+BA46</f>
        <v>1.9803921568627452</v>
      </c>
      <c r="AP46" s="123">
        <f>AO46*10000000+BI46*100+AM46/AM48*10+AI46/AI48*1++IF(AQ46=0,ROW(),AQ46)/2000000</f>
        <v>19804019.75150793</v>
      </c>
      <c r="AQ46" s="126">
        <f>VLOOKUP(AE46,db_fifarank,2,FALSE)</f>
        <v>1615.3</v>
      </c>
      <c r="AR46" s="125">
        <f>AP46/AP48</f>
        <v>0.2200446373584557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0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1 - 5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4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1.9803921568627452</v>
      </c>
      <c r="AP47" s="123">
        <f>AO47*10000000+BI47*100+AM47/AM48*10+AI47/AI48*1++IF(AQ47=0,ROW(),AQ47)/2000000</f>
        <v>19804019.608483922</v>
      </c>
      <c r="AQ47" s="126">
        <f>VLOOKUP(AE47,db_fifarank,2,FALSE)</f>
        <v>1281.57</v>
      </c>
      <c r="AR47" s="125">
        <f>AP47/AP48</f>
        <v>0.22004463576930025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</v>
      </c>
      <c r="BA47" s="126">
        <f>AZ47/AZ48</f>
        <v>0.98039215686274506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42"/>
      <c r="BL47" s="26" t="str">
        <f>AS57</f>
        <v>Norway</v>
      </c>
      <c r="BM47" s="62">
        <v>4</v>
      </c>
      <c r="BN47" s="64"/>
      <c r="BO47" s="27"/>
      <c r="BP47" s="112">
        <f>IF(BP46="","",BM47*1000+BN47*10+BO47)</f>
        <v>4000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0 - 4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7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90000010.858010203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3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3000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Croatia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Algeria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3</v>
      </c>
      <c r="AL50" s="123">
        <f>AI50-AJ50</f>
        <v>8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90000010.250938207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11 - 3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9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1.9806451612903224</v>
      </c>
      <c r="AP51" s="123">
        <f>AO51*10000000+BI51*100+AM51/AM54*10+AI51/AI54*1++IF(AQ51=0,ROW(),AQ51)/2000000</f>
        <v>19806549.928102419</v>
      </c>
      <c r="AQ51" s="126">
        <f>VLOOKUP(AE51,db_fifarank,2,FALSE)</f>
        <v>1366.13</v>
      </c>
      <c r="AR51" s="125">
        <f>AP51/AP54</f>
        <v>0.22007274946752792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2</v>
      </c>
      <c r="AW51" s="126" cm="1">
        <f t="array" ref="AW51">SUMPRODUCT(($E$7:$E$78=AE51)*($U$7:$U$78)*($G$7:$G$78))+SUMPRODUCT(($H$7:$H$78=AE51)*($U$7:$U$78)*($F$7:$F$78))</f>
        <v>2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50.666666666666664</v>
      </c>
      <c r="BA51" s="126">
        <f>AZ51/AZ54</f>
        <v>0.98064516129032253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2</v>
      </c>
      <c r="BE51" s="126" cm="1">
        <f t="array" ref="BE51">SUMPRODUCT(($E$7:$E$78=AE51)*($X$7:$X$78)*($G$7:$G$78))+SUMPRODUCT(($H$7:$H$78=AE51)*($X$7:$X$78)*($F$7:$F$78))</f>
        <v>2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50.666666666666664</v>
      </c>
      <c r="BI51" s="126">
        <f>BH51/BH54</f>
        <v>0.98064516129032253</v>
      </c>
      <c r="BK51" s="142"/>
      <c r="BL51" s="26" t="str">
        <f>IF(group_round_completed,VLOOKUP('3rd places'!D3,AK80:AS91,9,FALSE),"3rd Group C/E/F/H/I")</f>
        <v>Morocco</v>
      </c>
      <c r="BM51" s="62">
        <v>2</v>
      </c>
      <c r="BN51" s="64"/>
      <c r="BO51" s="27"/>
      <c r="BP51" s="113">
        <f>IF(BP50="","",BM51*1000+BN51*10+BO51)</f>
        <v>2000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6 - 4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8</v>
      </c>
      <c r="AL52" s="123">
        <f>AI52-AJ52</f>
        <v>-4</v>
      </c>
      <c r="AM52" s="123">
        <f>AL52-AL54</f>
        <v>2</v>
      </c>
      <c r="AN52" s="123">
        <f>AF52*3+AG52</f>
        <v>1</v>
      </c>
      <c r="AO52" s="123">
        <f>AN52/AN54*10+BA52</f>
        <v>1.9806451612903224</v>
      </c>
      <c r="AP52" s="123">
        <f>AO52*10000000+BI52*100+AM52/AM54*10+AI52/AI54*1++IF(AQ52=0,ROW(),AQ52)/2000000</f>
        <v>19806551.344796732</v>
      </c>
      <c r="AQ52" s="126">
        <f>VLOOKUP(AE52,db_fifarank,2,FALSE)</f>
        <v>1421.43</v>
      </c>
      <c r="AR52" s="125">
        <f>AP52/AP54</f>
        <v>0.22007276520857388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2</v>
      </c>
      <c r="AW52" s="126" cm="1">
        <f t="array" ref="AW52">SUMPRODUCT(($E$7:$E$78=AE52)*($U$7:$U$78)*($G$7:$G$78))+SUMPRODUCT(($H$7:$H$78=AE52)*($U$7:$U$78)*($F$7:$F$78))</f>
        <v>2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50.666666666666664</v>
      </c>
      <c r="BA52" s="126">
        <f>AZ52/AZ54</f>
        <v>0.98064516129032253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2</v>
      </c>
      <c r="BE52" s="126" cm="1">
        <f t="array" ref="BE52">SUMPRODUCT(($E$7:$E$78=AE52)*($X$7:$X$78)*($G$7:$G$78))+SUMPRODUCT(($H$7:$H$78=AE52)*($X$7:$X$78)*($F$7:$F$78))</f>
        <v>2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50.666666666666664</v>
      </c>
      <c r="BI52" s="126">
        <f>BH52/BH54</f>
        <v>0.98064516129032253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Morocco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4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4 - 8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4</v>
      </c>
      <c r="AL53" s="123">
        <f>AI53-AJ53</f>
        <v>2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60000005.834169872</v>
      </c>
      <c r="AQ53" s="126">
        <f>VLOOKUP(AE53,db_fifarank,2,FALSE)</f>
        <v>1673.07</v>
      </c>
      <c r="AR53" s="125">
        <f>AP53/AP54</f>
        <v>0.6666666481504957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Croatia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3 - 9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1</v>
      </c>
      <c r="V54" s="123">
        <f t="shared" si="21"/>
        <v>1</v>
      </c>
      <c r="W54" s="123">
        <f t="shared" si="22"/>
        <v>1</v>
      </c>
      <c r="X54" s="123">
        <f t="shared" si="9"/>
        <v>1</v>
      </c>
      <c r="Y54" s="123">
        <f t="shared" si="10"/>
        <v>1</v>
      </c>
      <c r="Z54" s="123">
        <f t="shared" si="11"/>
        <v>1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12</v>
      </c>
      <c r="AL54" s="123">
        <f>MIN(AL50:AL53)</f>
        <v>-6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90000011.250938207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3</v>
      </c>
      <c r="AW54" s="126">
        <f>MAX(AW50:AW53)-MIN(AW50:AW53)+1</f>
        <v>3</v>
      </c>
      <c r="AY54" s="126">
        <f>MAX(AY50:AY53)-MIN(AY50:AY53)+1</f>
        <v>1</v>
      </c>
      <c r="AZ54" s="126">
        <f>MAX(AZ50:AZ53)+1</f>
        <v>51.666666666666664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3</v>
      </c>
      <c r="BE54" s="126">
        <f>MAX(BE50:BE53)-MIN(BE50:BE53)+1</f>
        <v>3</v>
      </c>
      <c r="BG54" s="126">
        <f>MAX(BG50:BG53)-MIN(BG50:BG53)+1</f>
        <v>1</v>
      </c>
      <c r="BH54" s="126">
        <f>MAX(BH50:BH53)+1</f>
        <v>51.666666666666664</v>
      </c>
      <c r="BK54" s="141">
        <v>80</v>
      </c>
      <c r="BL54" s="24" t="str">
        <f>AS74</f>
        <v>Croatia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3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Scotland_win</v>
      </c>
      <c r="T55" s="127" t="str">
        <f t="shared" si="20"/>
        <v>Brazil_lose</v>
      </c>
      <c r="U55" s="123">
        <f t="shared" si="8"/>
        <v>1</v>
      </c>
      <c r="V55" s="123">
        <f t="shared" si="21"/>
        <v>3</v>
      </c>
      <c r="W55" s="123">
        <f t="shared" si="22"/>
        <v>1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1</v>
      </c>
      <c r="BK55" s="142"/>
      <c r="BL55" s="26" t="str">
        <f>IF(group_round_completed,VLOOKUP('3rd places'!K3,AK80:AS91,9,FALSE),"3rd Group E/H/I/J/K")</f>
        <v>DR Congo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3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3000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3</v>
      </c>
      <c r="AL56" s="123">
        <f>AI56-AJ56</f>
        <v>4</v>
      </c>
      <c r="AM56" s="123">
        <f>AL56-AL60</f>
        <v>11</v>
      </c>
      <c r="AN56" s="123">
        <f>AF56*3+AG56</f>
        <v>7</v>
      </c>
      <c r="AO56" s="123">
        <f>AN56/AN60*10+BA56</f>
        <v>9.7306451612903224</v>
      </c>
      <c r="AP56" s="123">
        <f>AO56*10000000+BI56*100+AM56/AM60*10+AI56/AI60*1++IF(AQ56=0,ROW(),AQ56)/2000000</f>
        <v>97306559.720024675</v>
      </c>
      <c r="AQ56" s="126">
        <f>VLOOKUP(AE56,db_fifarank,2,FALSE)</f>
        <v>1877.32</v>
      </c>
      <c r="AR56" s="125">
        <f>AP56/AP60</f>
        <v>0.9999999897232007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2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50.666666666666664</v>
      </c>
      <c r="BA56" s="126">
        <f>AZ56/AZ60</f>
        <v>0.98064516129032253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50.666666666666664</v>
      </c>
      <c r="BI56" s="126">
        <f>BH56/BH60</f>
        <v>0.98064516129032253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Algeria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7 - 3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7</v>
      </c>
      <c r="AN57" s="123">
        <f>AF57*3+AG57</f>
        <v>3</v>
      </c>
      <c r="AO57" s="123">
        <f>AN57/AN60*10+BA57</f>
        <v>3.75</v>
      </c>
      <c r="AP57" s="123">
        <f>AO57*10000000+BI57*100+AM57/AM60*10+AI57/AI60*1++IF(AQ57=0,ROW(),AQ57)/2000000</f>
        <v>37500006.334177829</v>
      </c>
      <c r="AQ57" s="126">
        <f>VLOOKUP(AE57,db_fifarank,2,FALSE)</f>
        <v>1688.99</v>
      </c>
      <c r="AR57" s="125">
        <f>AP57/AP60</f>
        <v>0.38538004073615068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6 - 3</v>
      </c>
      <c r="P58" s="34">
        <f>L58*3+M58</f>
        <v>7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9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0.25072357000000001</v>
      </c>
      <c r="AQ58" s="126">
        <f>VLOOKUP(AE58,db_fifarank,2,FALSE)</f>
        <v>1447.14</v>
      </c>
      <c r="AR58" s="125">
        <f>AP58/AP60</f>
        <v>2.5766358213131636E-9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4 - 4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3</v>
      </c>
      <c r="AL59" s="123">
        <f>AI59-AJ59</f>
        <v>3</v>
      </c>
      <c r="AM59" s="123">
        <f>AL59-AL60</f>
        <v>10</v>
      </c>
      <c r="AN59" s="123">
        <f>AF59*3+AG59</f>
        <v>7</v>
      </c>
      <c r="AO59" s="123">
        <f>AN59/AN60*10+BA59</f>
        <v>9.7306451612903224</v>
      </c>
      <c r="AP59" s="123">
        <f>AO59*10000000+BI59*100+AM59/AM60*10+AI59/AI60*1++IF(AQ59=0,ROW(),AQ59)/2000000</f>
        <v>97306558.761528149</v>
      </c>
      <c r="AQ59" s="126">
        <f>VLOOKUP(AE59,db_fifarank,2,FALSE)</f>
        <v>1550.94</v>
      </c>
      <c r="AR59" s="125">
        <f>AP59/AP60</f>
        <v>0.99999997987292422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42"/>
      <c r="BL59" s="26" t="str">
        <f>AS51</f>
        <v>Uruguay</v>
      </c>
      <c r="BM59" s="62">
        <v>2</v>
      </c>
      <c r="BN59" s="64"/>
      <c r="BO59" s="27"/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2 - 9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12</v>
      </c>
      <c r="AN60" s="123">
        <f>MAX(AN56:AN59)+1</f>
        <v>8</v>
      </c>
      <c r="AO60" s="123">
        <f>MAX(AO56:AO59)+1</f>
        <v>10.730645161290322</v>
      </c>
      <c r="AP60" s="123">
        <f>MAX(AP56:AP59)+1</f>
        <v>97306560.720024675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Egypt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90000010.042604089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Paraguay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3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5</v>
      </c>
      <c r="AL63" s="123">
        <f>AI63-AJ63</f>
        <v>-1</v>
      </c>
      <c r="AM63" s="123">
        <f>AL63-AL66</f>
        <v>4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49805927.135086335</v>
      </c>
      <c r="AQ63" s="126">
        <f>VLOOKUP(AE63,db_fifarank,2,FALSE)</f>
        <v>1564.26</v>
      </c>
      <c r="AR63" s="125">
        <f>AP63/AP66</f>
        <v>0.55339912249021028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4 - 4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5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49805927.968434259</v>
      </c>
      <c r="AQ64" s="126">
        <f>VLOOKUP(AE64,db_fifarank,2,FALSE)</f>
        <v>1593.45</v>
      </c>
      <c r="AR64" s="125">
        <f>AP64/AP66</f>
        <v>0.55339913174963051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3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4 - 5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7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0.25069572499999998</v>
      </c>
      <c r="AQ65" s="126">
        <f>VLOOKUP(AE65,db_fifarank,2,FALSE)</f>
        <v>1391.45</v>
      </c>
      <c r="AR65" s="125">
        <f>AP65/AP66</f>
        <v>2.7855077137860125E-9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Algeria</v>
      </c>
      <c r="CA65" s="62">
        <v>3</v>
      </c>
      <c r="CB65" s="64"/>
      <c r="CC65" s="27"/>
      <c r="CD65" s="112">
        <f>IF(CD64="","",CA65*1000+CB65*10+CC65)</f>
        <v>3000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2 - 7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-5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90000011.042604089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Switzerland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2</v>
      </c>
      <c r="W67" s="123">
        <f t="shared" si="22"/>
        <v>2</v>
      </c>
      <c r="X67" s="123">
        <f t="shared" si="9"/>
        <v>1</v>
      </c>
      <c r="Y67" s="123">
        <f t="shared" si="10"/>
        <v>2</v>
      </c>
      <c r="Z67" s="123">
        <f t="shared" si="11"/>
        <v>2</v>
      </c>
      <c r="AA67" s="123">
        <f t="shared" si="17"/>
        <v>0</v>
      </c>
      <c r="AB67" s="123">
        <f t="shared" si="23"/>
        <v>0</v>
      </c>
      <c r="BK67" s="142"/>
      <c r="BL67" s="26" t="str">
        <f>IF(group_round_completed,VLOOKUP('3rd places'!E3,AK80:AS91,9,FALSE),"3rd Group E/F/G/I/J")</f>
        <v>Algeria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3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3</v>
      </c>
      <c r="AL68" s="123">
        <f>AI68-AJ68</f>
        <v>6</v>
      </c>
      <c r="AM68" s="123">
        <f>AL68-AL72</f>
        <v>13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90000010.1865962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Algeria</v>
      </c>
      <c r="BT68" s="61">
        <v>2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2000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Brazil</v>
      </c>
      <c r="CL68" s="131"/>
      <c r="CM68" s="131"/>
      <c r="CN68" s="131"/>
      <c r="CO68" s="131"/>
      <c r="CP68" s="131"/>
      <c r="CQ68" s="131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3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9 - 3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1</v>
      </c>
      <c r="AH69" s="123">
        <f>COUNTIF($S$7:$T$78,"=" &amp; AE69 &amp; "_lose")</f>
        <v>1</v>
      </c>
      <c r="AI69" s="123">
        <f>SUMIF($E$7:$E$78,$AE69,$F$7:$F$78) + SUMIF($H$7:$H$78,$AE69,$G$7:$G$78)</f>
        <v>5</v>
      </c>
      <c r="AJ69" s="123">
        <f>SUMIF($E$7:$E$78,$AE69,$G$7:$G$78) + SUMIF($H$7:$H$78,$AE69,$F$7:$F$78)</f>
        <v>5</v>
      </c>
      <c r="AL69" s="123">
        <f>AI69-AJ69</f>
        <v>0</v>
      </c>
      <c r="AM69" s="123">
        <f>AL69-AL72</f>
        <v>7</v>
      </c>
      <c r="AN69" s="123">
        <f>AF69*3+AG69</f>
        <v>4</v>
      </c>
      <c r="AO69" s="123">
        <f>AN69/AN72*10+BA69</f>
        <v>4.9805825242718447</v>
      </c>
      <c r="AP69" s="123">
        <f>AO69*10000000+BI69*100+AM69/AM72*10+AI69/AI72*1++IF(AQ69=0,ROW(),AQ69)/2000000</f>
        <v>49805928.801710039</v>
      </c>
      <c r="AQ69" s="126">
        <f>VLOOKUP(AE69,db_fifarank,2,FALSE)</f>
        <v>1478.35</v>
      </c>
      <c r="AR69" s="125">
        <f>AP69/AP72</f>
        <v>0.55339914012285918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5 - 4</v>
      </c>
      <c r="P70" s="34">
        <f>L70*3+M70</f>
        <v>4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3</v>
      </c>
      <c r="AJ70" s="123">
        <f>SUMIF($E$7:$E$78,$AE70,$G$7:$G$78) + SUMIF($H$7:$H$78,$AE70,$F$7:$F$78)</f>
        <v>10</v>
      </c>
      <c r="AL70" s="123">
        <f>AI70-AJ70</f>
        <v>-7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0.30073266999999998</v>
      </c>
      <c r="AQ70" s="126">
        <f>VLOOKUP(AE70,db_fifarank,2,FALSE)</f>
        <v>1465.34</v>
      </c>
      <c r="AR70" s="125">
        <f>AP70/AP72</f>
        <v>3.3414736957809227E-9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2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1</v>
      </c>
      <c r="N71" s="23">
        <f>VLOOKUP(3,AD68:AN71,5,FALSE)</f>
        <v>1</v>
      </c>
      <c r="O71" s="23" t="str">
        <f>VLOOKUP(3,AD68:AN71,6,FALSE) &amp; " - " &amp; VLOOKUP(3,AD68:AN71,7,FALSE)</f>
        <v>5 - 5</v>
      </c>
      <c r="P71" s="34">
        <f>L71*3+M71</f>
        <v>4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2</v>
      </c>
      <c r="W71" s="123">
        <f t="shared" si="22"/>
        <v>2</v>
      </c>
      <c r="X71" s="123">
        <f t="shared" si="9"/>
        <v>1</v>
      </c>
      <c r="Y71" s="123">
        <f t="shared" si="10"/>
        <v>2</v>
      </c>
      <c r="Z71" s="123">
        <f t="shared" si="11"/>
        <v>2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4</v>
      </c>
      <c r="AL71" s="123">
        <f>AI71-AJ71</f>
        <v>1</v>
      </c>
      <c r="AM71" s="123">
        <f>AL71-AL72</f>
        <v>8</v>
      </c>
      <c r="AN71" s="123">
        <f>AF71*3+AG71</f>
        <v>4</v>
      </c>
      <c r="AO71" s="123">
        <f>AN71/AN72*10+BA71</f>
        <v>4.9805825242718447</v>
      </c>
      <c r="AP71" s="123">
        <f>AO71*10000000+BI71*100+AM71/AM72*10+AI71/AI72*1++IF(AQ71=0,ROW(),AQ71)/2000000</f>
        <v>49805929.516103126</v>
      </c>
      <c r="AQ71" s="126">
        <f>VLOOKUP(AE71,db_fifarank,2,FALSE)</f>
        <v>1693.09</v>
      </c>
      <c r="AR71" s="125">
        <f>AP71/AP72</f>
        <v>0.55339914806055912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42"/>
      <c r="BL71" s="26" t="str">
        <f>IF(group_round_completed,VLOOKUP('3rd places'!J3,AK80:AS91,9,FALSE),"3rd Group D/E/I/J/L")</f>
        <v>Senegal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3 - 10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4</v>
      </c>
      <c r="AI72" s="123">
        <f>MAX(AI68:AI71)+1</f>
        <v>10</v>
      </c>
      <c r="AL72" s="123">
        <f>MIN(AL68:AL71)</f>
        <v>-7</v>
      </c>
      <c r="AM72" s="123">
        <f>MAX(AM68:AM71)+1</f>
        <v>14</v>
      </c>
      <c r="AN72" s="123">
        <f>MAX(AN68:AN71)+1</f>
        <v>10</v>
      </c>
      <c r="AO72" s="123">
        <f>MAX(AO68:AO71)+1</f>
        <v>10</v>
      </c>
      <c r="AP72" s="123">
        <f>MAX(AP68:AP71)+1</f>
        <v>90000011.1865962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3</v>
      </c>
      <c r="AL74" s="123">
        <f>AI74-AJ74</f>
        <v>3</v>
      </c>
      <c r="AM74" s="123">
        <f>AL74-AL78</f>
        <v>8</v>
      </c>
      <c r="AN74" s="123">
        <f>AF74*3+AG74</f>
        <v>7</v>
      </c>
      <c r="AO74" s="123">
        <f>AN74/AN78*10+BA74</f>
        <v>9.7401960784313726</v>
      </c>
      <c r="AP74" s="123">
        <f>AO74*10000000+BI74*100+AM74/AM78*10+AI74/AI78*1++IF(AQ74=0,ROW(),AQ74)/2000000</f>
        <v>97402068.554834545</v>
      </c>
      <c r="AQ74" s="126">
        <f>VLOOKUP(AE74,db_fifarank,2,FALSE)</f>
        <v>1825.97</v>
      </c>
      <c r="AR74" s="125">
        <f>AP74/AP78</f>
        <v>0.9999999781837744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2</v>
      </c>
      <c r="AW74" s="126" cm="1">
        <f t="array" ref="AW74">SUMPRODUCT(($E$7:$E$78=AE74)*($U$7:$U$78)*($G$7:$G$78))+SUMPRODUCT(($H$7:$H$78=AE74)*($U$7:$U$78)*($F$7:$F$78))</f>
        <v>2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101</v>
      </c>
      <c r="BA74" s="126">
        <f>AZ74/AZ78</f>
        <v>0.99019607843137258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2</v>
      </c>
      <c r="BE74" s="126" cm="1">
        <f t="array" ref="BE74">SUMPRODUCT(($E$7:$E$78=AE74)*($X$7:$X$78)*($G$7:$G$78))+SUMPRODUCT(($H$7:$H$78=AE74)*($X$7:$X$78)*($F$7:$F$78))</f>
        <v>2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101</v>
      </c>
      <c r="BI74" s="126">
        <f>BH74/BH78</f>
        <v>0.99019607843137258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7 - 3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3</v>
      </c>
      <c r="AL75" s="123">
        <f>AI75-AJ75</f>
        <v>4</v>
      </c>
      <c r="AM75" s="123">
        <f>AL75-AL78</f>
        <v>9</v>
      </c>
      <c r="AN75" s="123">
        <f>AF75*3+AG75</f>
        <v>7</v>
      </c>
      <c r="AO75" s="123">
        <f>AN75/AN78*10+BA75</f>
        <v>9.7401960784313726</v>
      </c>
      <c r="AP75" s="123">
        <f>AO75*10000000+BI75*100+AM75/AM78*10+AI75/AI78*1++IF(AQ75=0,ROW(),AQ75)/2000000</f>
        <v>97402069.679780096</v>
      </c>
      <c r="AQ75" s="126">
        <f>VLOOKUP(AE75,db_fifarank,2,FALSE)</f>
        <v>1717.07</v>
      </c>
      <c r="AR75" s="125">
        <f>AP75/AP78</f>
        <v>0.99999998973327786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101</v>
      </c>
      <c r="BA75" s="126">
        <f>AZ75/AZ78</f>
        <v>0.99019607843137258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101</v>
      </c>
      <c r="BI75" s="126">
        <f>BH75/BH78</f>
        <v>0.99019607843137258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6 - 3</v>
      </c>
      <c r="P76" s="34">
        <f>L76*3+M76</f>
        <v>7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3</v>
      </c>
      <c r="AN76" s="123">
        <f>AF76*3+AG76</f>
        <v>1</v>
      </c>
      <c r="AO76" s="123">
        <f>AN76/AN78*10+BA76</f>
        <v>2.2352941176470589</v>
      </c>
      <c r="AP76" s="123">
        <f>AO76*10000000+BI76*100+AM76/AM78*10+AI76/AI78*1++IF(AQ76=0,ROW(),AQ76)/2000000</f>
        <v>22353043.081555508</v>
      </c>
      <c r="AQ76" s="126">
        <f>VLOOKUP(AE76,db_fifarank,2,FALSE)</f>
        <v>1346.31</v>
      </c>
      <c r="AR76" s="125">
        <f>AP76/AP78</f>
        <v>0.2294924833276242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100.5</v>
      </c>
      <c r="BA76" s="126">
        <f>AZ76/AZ78</f>
        <v>0.98529411764705888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100.5</v>
      </c>
      <c r="BI76" s="126">
        <f>BH76/BH78</f>
        <v>0.98529411764705888</v>
      </c>
    </row>
    <row r="77" spans="1:95" x14ac:dyDescent="0.3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1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1</v>
      </c>
      <c r="AO77" s="123">
        <f>AN77/AN78*10+BA77</f>
        <v>2.2352941176470589</v>
      </c>
      <c r="AP77" s="123">
        <f>AO77*10000000+BI77*100+AM77/AM78*10+AI77/AI78*1++IF(AQ77=0,ROW(),AQ77)/2000000</f>
        <v>22353039.831652671</v>
      </c>
      <c r="AQ77" s="126">
        <f>VLOOKUP(AE77,db_fifarank,2,FALSE)</f>
        <v>1540.64</v>
      </c>
      <c r="AR77" s="125">
        <f>AP77/AP78</f>
        <v>0.22949244996177465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100.5</v>
      </c>
      <c r="BA77" s="126">
        <f>AZ77/AZ78</f>
        <v>0.98529411764705888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100.5</v>
      </c>
      <c r="BI77" s="126">
        <f>BH77/BH78</f>
        <v>0.98529411764705888</v>
      </c>
    </row>
    <row r="78" spans="1:95" x14ac:dyDescent="0.3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3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1 - 6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8</v>
      </c>
      <c r="AL78" s="123">
        <f>MIN(AL74:AL77)</f>
        <v>-5</v>
      </c>
      <c r="AM78" s="123">
        <f>MAX(AM74:AM77)+1</f>
        <v>10</v>
      </c>
      <c r="AN78" s="123">
        <f>MAX(AN74:AN77)+1</f>
        <v>8</v>
      </c>
      <c r="AO78" s="123">
        <f>MAX(AO74:AO77)+1</f>
        <v>10.740196078431373</v>
      </c>
      <c r="AP78" s="123">
        <f>MAX(AP74:AP77)+1</f>
        <v>97402070.679780096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102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102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5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4</v>
      </c>
      <c r="AP80" s="123">
        <f>AN80/AN92*10000+AM80/AM92*1000+AI80/AI92*100+IF(AQ80=0,ROW(),AQ80)/2000000</f>
        <v>6342.8578935471423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Morocco</v>
      </c>
      <c r="K81" s="97">
        <f>L81+M81+N81</f>
        <v>3</v>
      </c>
      <c r="L81" s="97">
        <f>VLOOKUP(1,$AD$80:$AN$91,3,FALSE)</f>
        <v>2</v>
      </c>
      <c r="M81" s="97">
        <f>VLOOKUP(1,$AD$80:$AN$91,4,FALSE)</f>
        <v>0</v>
      </c>
      <c r="N81" s="97">
        <f>VLOOKUP(1,$AD$80:$AN$91,5,FALSE)</f>
        <v>1</v>
      </c>
      <c r="O81" s="97" t="str">
        <f>VLOOKUP(1,$AD$80:$AN$91,6,FALSE) &amp; " - " &amp; VLOOKUP(1,$AD$80:$AN$91,7,FALSE)</f>
        <v>6 - 6</v>
      </c>
      <c r="P81" s="98">
        <f>L81*3+M81</f>
        <v>6</v>
      </c>
      <c r="AD81" s="123">
        <f t="shared" ref="AD81:AD91" si="38">COUNTIF($AP$80:$AP$91,CONCATENATE("&gt;=",AP81))</f>
        <v>10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6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1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1671.4292989085714</v>
      </c>
      <c r="AQ81" s="126">
        <f t="shared" si="37"/>
        <v>1454.96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Ⓚ DR Congo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Morocco</v>
      </c>
      <c r="AF82" s="123">
        <f t="shared" si="39"/>
        <v>2</v>
      </c>
      <c r="AG82" s="123">
        <f t="shared" ref="AG82:AG91" si="49">VLOOKUP($AE82,$AE$8:$AQ$78,3,FALSE)</f>
        <v>0</v>
      </c>
      <c r="AH82" s="123">
        <f t="shared" si="40"/>
        <v>1</v>
      </c>
      <c r="AI82" s="123">
        <f t="shared" si="41"/>
        <v>6</v>
      </c>
      <c r="AJ82" s="123">
        <f t="shared" si="42"/>
        <v>6</v>
      </c>
      <c r="AK82" s="123" t="s">
        <v>3182</v>
      </c>
      <c r="AL82" s="123">
        <f t="shared" si="43"/>
        <v>0</v>
      </c>
      <c r="AM82" s="123">
        <f t="shared" si="44"/>
        <v>4</v>
      </c>
      <c r="AN82" s="123">
        <f t="shared" si="45"/>
        <v>6</v>
      </c>
      <c r="AP82" s="123">
        <f>AN82/AN92*10000+AM82/AM92*1000+AI82/AI92*100+IF(AQ82=0,ROW(),AQ82)/2000000</f>
        <v>9457.143735077856</v>
      </c>
      <c r="AQ82" s="126">
        <f t="shared" si="37"/>
        <v>1755.87</v>
      </c>
      <c r="AR82" s="125" t="str">
        <f t="shared" ref="AR82:AR91" si="50">AR81&amp;IF(AD82&lt;=8,RIGHT(AK82,1),"")</f>
        <v>AC</v>
      </c>
      <c r="AS82" s="129" t="str">
        <f t="shared" si="46"/>
        <v>Morocco</v>
      </c>
      <c r="AT82" s="130" t="str">
        <f>"Ⓒ "&amp;AE82</f>
        <v>Ⓒ Morocco</v>
      </c>
    </row>
    <row r="83" spans="1:46" ht="15" customHeight="1" x14ac:dyDescent="0.3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Ⓙ Algeria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4 - 5</v>
      </c>
      <c r="P83" s="101">
        <f t="shared" si="48"/>
        <v>4</v>
      </c>
      <c r="AD83" s="123">
        <f t="shared" si="38"/>
        <v>7</v>
      </c>
      <c r="AE83" s="124" t="str">
        <f>J29</f>
        <v>United States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6</v>
      </c>
      <c r="AK83" s="123" t="s">
        <v>3184</v>
      </c>
      <c r="AL83" s="123">
        <f t="shared" si="43"/>
        <v>-3</v>
      </c>
      <c r="AM83" s="123">
        <f t="shared" si="44"/>
        <v>1</v>
      </c>
      <c r="AN83" s="123">
        <f t="shared" si="45"/>
        <v>3</v>
      </c>
      <c r="AP83" s="123">
        <f>AN83/AN92*10000+AM83/AM92*1000+AI83/AI92*100+IF(AQ83=0,ROW(),AQ83)/2000000</f>
        <v>4528.5722651364285</v>
      </c>
      <c r="AQ83" s="126">
        <f t="shared" si="37"/>
        <v>1673.13</v>
      </c>
      <c r="AR83" s="125" t="str">
        <f t="shared" si="50"/>
        <v>ACD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Ⓔ Ivory Coast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3 - 4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4</v>
      </c>
      <c r="AP84" s="123">
        <f>AN84/AN92*10000+AM84/AM92*1000+AI84/AI92*100+IF(AQ84=0,ROW(),AQ84)/2000000</f>
        <v>6357.1436236328573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Ⓐ Czech Republic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2 - 3</v>
      </c>
      <c r="P85" s="101">
        <f t="shared" si="48"/>
        <v>4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Tunisia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1</v>
      </c>
      <c r="AP85" s="123">
        <f>AN85/AN92*10000+AM85/AM92*1000+AI85/AI92*100+IF(AQ85=0,ROW(),AQ85)/2000000</f>
        <v>1871.4293129535713</v>
      </c>
      <c r="AQ85" s="126">
        <f t="shared" si="37"/>
        <v>1483.05</v>
      </c>
      <c r="AR85" s="125" t="str">
        <f t="shared" si="50"/>
        <v>ACDEF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3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4 - 4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12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5</v>
      </c>
      <c r="AK86" s="123" t="s">
        <v>3187</v>
      </c>
      <c r="AL86" s="123">
        <f t="shared" si="43"/>
        <v>-4</v>
      </c>
      <c r="AM86" s="123">
        <f t="shared" si="44"/>
        <v>0</v>
      </c>
      <c r="AN86" s="123">
        <f t="shared" si="45"/>
        <v>1</v>
      </c>
      <c r="AP86" s="123">
        <f>AN86/AN92*10000+AM86/AM92*1000+AI86/AI92*100+IF(AQ86=0,ROW(),AQ86)/2000000</f>
        <v>1442.8579505071427</v>
      </c>
      <c r="AQ86" s="126">
        <f t="shared" si="37"/>
        <v>1615.3</v>
      </c>
      <c r="AR86" s="125" t="str">
        <f t="shared" si="50"/>
        <v>ACDEF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Ⓓ United States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3 - 6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4</v>
      </c>
      <c r="AJ87" s="123">
        <f t="shared" si="42"/>
        <v>8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1485.7149964292855</v>
      </c>
      <c r="AQ87" s="126">
        <f t="shared" si="37"/>
        <v>1421.43</v>
      </c>
      <c r="AR87" s="125" t="str">
        <f t="shared" si="50"/>
        <v>ACDEF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Ⓕ Tunisia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1</v>
      </c>
      <c r="N88" s="100">
        <f>VLOOKUP(8,$AD$80:$AN$91,5,FALSE)</f>
        <v>2</v>
      </c>
      <c r="O88" s="100" t="str">
        <f>VLOOKUP(8,$AD$80:$AN$91,6,FALSE) &amp; " - " &amp; VLOOKUP(8,$AD$80:$AN$91,7,FALSE)</f>
        <v>3 - 5</v>
      </c>
      <c r="P88" s="101">
        <f t="shared" si="48"/>
        <v>1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6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5142.8579873521421</v>
      </c>
      <c r="AQ88" s="126">
        <f t="shared" si="37"/>
        <v>1688.99</v>
      </c>
      <c r="AR88" s="125" t="str">
        <f t="shared" si="50"/>
        <v>ACDEFI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Ghana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1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3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4</v>
      </c>
      <c r="AJ89" s="123">
        <f t="shared" si="42"/>
        <v>5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4</v>
      </c>
      <c r="AP89" s="123">
        <f>AN89/AN92*10000+AM89/AM92*1000+AI89/AI92*100+IF(AQ89=0,ROW(),AQ89)/2000000</f>
        <v>6371.4293535585703</v>
      </c>
      <c r="AQ89" s="126">
        <f t="shared" si="37"/>
        <v>1564.26</v>
      </c>
      <c r="AR89" s="125" t="str">
        <f t="shared" si="50"/>
        <v>ACDEFIJ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Ⓑ Qatar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2</v>
      </c>
      <c r="AE90" s="124" t="str">
        <f>J71</f>
        <v>DR Congo</v>
      </c>
      <c r="AF90" s="123">
        <f t="shared" si="39"/>
        <v>1</v>
      </c>
      <c r="AG90" s="123">
        <f t="shared" si="49"/>
        <v>1</v>
      </c>
      <c r="AH90" s="123">
        <f t="shared" si="40"/>
        <v>1</v>
      </c>
      <c r="AI90" s="123">
        <f t="shared" si="41"/>
        <v>5</v>
      </c>
      <c r="AJ90" s="123">
        <f t="shared" si="42"/>
        <v>5</v>
      </c>
      <c r="AK90" s="123" t="s">
        <v>3191</v>
      </c>
      <c r="AL90" s="123">
        <f t="shared" si="43"/>
        <v>0</v>
      </c>
      <c r="AM90" s="123">
        <f t="shared" si="44"/>
        <v>4</v>
      </c>
      <c r="AN90" s="123">
        <f t="shared" si="45"/>
        <v>4</v>
      </c>
      <c r="AP90" s="123">
        <f>AN90/AN92*10000+AM90/AM92*1000+AI90/AI92*100+IF(AQ90=0,ROW(),AQ90)/2000000</f>
        <v>6585.7150248892849</v>
      </c>
      <c r="AQ90" s="126">
        <f t="shared" si="37"/>
        <v>1478.35</v>
      </c>
      <c r="AR90" s="125" t="str">
        <f t="shared" si="50"/>
        <v>ACDEFIJK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4 - 8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9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1</v>
      </c>
      <c r="AP91" s="123">
        <f>AN91/AN92*10000+AM91/AM92*1000+AI91/AI92*100+IF(AQ91=0,ROW(),AQ91)/2000000</f>
        <v>1871.4292445835713</v>
      </c>
      <c r="AQ91" s="126">
        <f t="shared" si="37"/>
        <v>1346.31</v>
      </c>
      <c r="AR91" s="125" t="str">
        <f t="shared" si="50"/>
        <v>ACDEFIJK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Iran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3</v>
      </c>
      <c r="AG92" s="123">
        <f>MAX(AG80:AG91)+1</f>
        <v>2</v>
      </c>
      <c r="AH92" s="123">
        <f>MAX(AH80:AH91)+1</f>
        <v>3</v>
      </c>
      <c r="AI92" s="123">
        <f>MAX(AI80:AI91)+1</f>
        <v>7</v>
      </c>
      <c r="AJ92" s="123">
        <f>MAX(AJ80:AJ91)+1</f>
        <v>9</v>
      </c>
      <c r="AL92" s="123">
        <f>MIN(AL80:AL91)</f>
        <v>-4</v>
      </c>
      <c r="AM92" s="123">
        <f>MAX(AM80:AM91)+1</f>
        <v>5</v>
      </c>
      <c r="AN92" s="123">
        <f>MAX(AN80:AN91)+1</f>
        <v>7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8" scale="5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269</v>
      </c>
      <c r="C3" s="121" t="str">
        <f>'2026 World Cup'!AR91</f>
        <v>ACDEFIJK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  <clbl:label id="{fec81f12-6286-4550-8911-f446fcdafa1f}" enabled="0" method="" siteId="{fec81f12-6286-4550-8911-f446fcd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Vilde Hernes</cp:lastModifiedBy>
  <cp:revision/>
  <cp:lastPrinted>2026-06-10T09:43:17Z</cp:lastPrinted>
  <dcterms:created xsi:type="dcterms:W3CDTF">2017-12-27T19:32:51Z</dcterms:created>
  <dcterms:modified xsi:type="dcterms:W3CDTF">2026-06-10T21:07:13Z</dcterms:modified>
  <cp:category>Sports</cp:category>
  <cp:contentStatus/>
</cp:coreProperties>
</file>
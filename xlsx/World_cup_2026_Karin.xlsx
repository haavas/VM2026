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kken\Downloads\"/>
    </mc:Choice>
  </mc:AlternateContent>
  <xr:revisionPtr revIDLastSave="0" documentId="8_{8C4FE3AE-7BB9-4AB8-9FAA-91485F409360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S23" i="3"/>
  <c r="T23" i="3" s="1"/>
  <c r="S48" i="3"/>
  <c r="S43" i="3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T49" i="3"/>
  <c r="S47" i="3"/>
  <c r="S67" i="3"/>
  <c r="T68" i="3"/>
  <c r="T48" i="3"/>
  <c r="T43" i="3"/>
  <c r="S72" i="3"/>
  <c r="T44" i="3"/>
  <c r="T46" i="3"/>
  <c r="S70" i="3"/>
  <c r="T45" i="3"/>
  <c r="S42" i="3"/>
  <c r="S64" i="3"/>
  <c r="T63" i="3"/>
  <c r="T41" i="3"/>
  <c r="S40" i="3"/>
  <c r="S62" i="3"/>
  <c r="T61" i="3"/>
  <c r="T16" i="3"/>
  <c r="T39" i="3"/>
  <c r="S38" i="3"/>
  <c r="S65" i="3"/>
  <c r="T66" i="3"/>
  <c r="S55" i="3"/>
  <c r="T56" i="3"/>
  <c r="S57" i="3"/>
  <c r="T60" i="3"/>
  <c r="T34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P41" i="3" s="1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P28" i="3" l="1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AF92" i="3" l="1"/>
  <c r="AG92" i="3"/>
  <c r="AI92" i="3"/>
  <c r="AN92" i="3"/>
  <c r="AH92" i="3"/>
  <c r="AL92" i="3"/>
  <c r="AM88" i="3" s="1"/>
  <c r="AS92" i="3"/>
  <c r="AJ92" i="3"/>
  <c r="AM85" i="3" l="1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4" i="3" l="1"/>
  <c r="AP89" i="3"/>
  <c r="AP86" i="3"/>
  <c r="AP91" i="3"/>
  <c r="AP81" i="3"/>
  <c r="AP88" i="3"/>
  <c r="AP90" i="3"/>
  <c r="AP80" i="3"/>
  <c r="AP85" i="3"/>
  <c r="AP83" i="3"/>
  <c r="AP82" i="3"/>
  <c r="AD87" i="3" l="1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<sst xmlns="http://schemas.openxmlformats.org/spreadsheetml/2006/main" count="9786" uniqueCount="3698">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</sst>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E24" zoomScaleNormal="100" workbookViewId="0">
      <selection activeCell="CT35" sqref="CT35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6.25</v>
      </c>
      <c r="AP8" s="123">
        <f>AO8*10000000+BI8*100+AM8/AM12*10+AI8/AI12*1++IF(AQ8=0,ROW(),AQ8)/2000000</f>
        <v>62500005.667507179</v>
      </c>
      <c r="AQ8" s="126">
        <f>VLOOKUP(AE8,db_fifarank,2,FALSE)</f>
        <v>1681.03</v>
      </c>
      <c r="AR8" s="125">
        <f>AP8/AP12</f>
        <v>0.71428569265618536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12500000.167381531</v>
      </c>
      <c r="AQ9" s="126">
        <f>VLOOKUP(AE9,db_fifarank,2,FALSE)</f>
        <v>1429.73</v>
      </c>
      <c r="AR9" s="125">
        <f>AP9/AP12</f>
        <v>0.14285712748986806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1</v>
      </c>
      <c r="AL10" s="123">
        <f>AI10-AJ10</f>
        <v>4</v>
      </c>
      <c r="AM10" s="123">
        <f>AL10-AL12</f>
        <v>7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87500009.584127665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>
        <v>2</v>
      </c>
      <c r="BO10" s="25"/>
      <c r="BP10" s="112">
        <f>IF(OR(BM10="",BM11="",AND(BN10="",BN11&lt;&gt;""),AND(BN11="",BN10&lt;&gt;""),AND(BO10="",BO11&lt;&gt;""),AND(BO11="",BO10&lt;&gt;"")),"",BM10*1000+BN10*10+BO10)</f>
        <v>1020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1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37500001.584084027</v>
      </c>
      <c r="AQ11" s="126">
        <f>VLOOKUP(AE11,db_fifarank,2,FALSE)</f>
        <v>1501.38</v>
      </c>
      <c r="AR11" s="125">
        <f>AP11/AP12</f>
        <v>0.42857139483462481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>
        <v>1</v>
      </c>
      <c r="BO11" s="27"/>
      <c r="BP11" s="113">
        <f>IF(BP10="","",BM11*1000+BN11*10+BO11)</f>
        <v>1010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87500010.584127665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0</v>
      </c>
      <c r="AJ14" s="123">
        <f>SUMIF($E$7:$E$78,$AE14,$G$7:$G$78) + SUMIF($H$7:$H$78,$AE14,$F$7:$F$78)</f>
        <v>1</v>
      </c>
      <c r="AL14" s="123">
        <f>AI14-AJ14</f>
        <v>-1</v>
      </c>
      <c r="AM14" s="123">
        <f>AL14-AL18</f>
        <v>1</v>
      </c>
      <c r="AN14" s="123">
        <f>AF14*3+AG14</f>
        <v>2</v>
      </c>
      <c r="AO14" s="123">
        <f>AN14/AN18*10+BA14</f>
        <v>2</v>
      </c>
      <c r="AP14" s="123">
        <f>AO14*10000000+BI14*100+AM14/AM18*10+AI14/AI18*1++IF(AQ14=0,ROW(),AQ14)/2000000</f>
        <v>20000001.667444907</v>
      </c>
      <c r="AQ14" s="126">
        <f>VLOOKUP(AE14,db_fifarank,2,FALSE)</f>
        <v>1556.48</v>
      </c>
      <c r="AR14" s="125">
        <f>AP14/AP18</f>
        <v>0.22222221585023294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3 - 0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2</v>
      </c>
      <c r="AL15" s="123">
        <f>AI15-AJ15</f>
        <v>0</v>
      </c>
      <c r="AM15" s="123">
        <f>AL15-AL18</f>
        <v>2</v>
      </c>
      <c r="AN15" s="123">
        <f>AF15*3+AG15</f>
        <v>4</v>
      </c>
      <c r="AO15" s="123">
        <f>AN15/AN18*10+BA15</f>
        <v>4</v>
      </c>
      <c r="AP15" s="123">
        <f>AO15*10000000+BI15*100+AM15/AM18*10+AI15/AI18*1++IF(AQ15=0,ROW(),AQ15)/2000000</f>
        <v>40000003.834026255</v>
      </c>
      <c r="AQ15" s="126">
        <f>VLOOKUP(AE15,db_fifarank,2,FALSE)</f>
        <v>1385.84</v>
      </c>
      <c r="AR15" s="125">
        <f>AP15/AP18</f>
        <v>0.44444443724642568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3</v>
      </c>
      <c r="AL16" s="123">
        <f>AI16-AJ16</f>
        <v>-2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10000000.25072748</v>
      </c>
      <c r="AQ16" s="126">
        <f>VLOOKUP(AE16,db_fifarank,2,FALSE)</f>
        <v>1454.96</v>
      </c>
      <c r="AR16" s="125">
        <f>AP16/AP18</f>
        <v>0.11111110144739526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0 - 1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0</v>
      </c>
      <c r="AL17" s="123">
        <f>AI17-AJ17</f>
        <v>3</v>
      </c>
      <c r="AM17" s="123">
        <f>AL17-AL18</f>
        <v>5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90000009.084158033</v>
      </c>
      <c r="AQ17" s="126">
        <f>VLOOKUP(AE17,db_fifarank,2,FALSE)</f>
        <v>1649.4</v>
      </c>
      <c r="AR17" s="125">
        <f>AP17/AP18</f>
        <v>0.99999998888889008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1 - 3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4</v>
      </c>
      <c r="AL18" s="123">
        <f>MIN(AL14:AL17)</f>
        <v>-2</v>
      </c>
      <c r="AM18" s="123">
        <f>MAX(AM14:AM17)+1</f>
        <v>6</v>
      </c>
      <c r="AN18" s="123">
        <f>MAX(AN14:AN17)+1</f>
        <v>10</v>
      </c>
      <c r="AO18" s="123">
        <f>MAX(AO14:AO17)+1</f>
        <v>10</v>
      </c>
      <c r="AP18" s="123">
        <f>MAX(AP14:AP17)+1</f>
        <v>90000010.084158033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13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97306559.122744381</v>
      </c>
      <c r="AQ20" s="126">
        <f>VLOOKUP(AE20,db_fifarank,2,FALSE)</f>
        <v>1761.16</v>
      </c>
      <c r="AR20" s="125">
        <f>AP20/AP24</f>
        <v>0.9999999817301618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3</v>
      </c>
      <c r="AL21" s="123">
        <f>AI21-AJ21</f>
        <v>5</v>
      </c>
      <c r="AM21" s="123">
        <f>AL21-AL24</f>
        <v>14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97306559.900519505</v>
      </c>
      <c r="AQ21" s="126">
        <f>VLOOKUP(AE21,db_fifarank,2,FALSE)</f>
        <v>1755.87</v>
      </c>
      <c r="AR21" s="125">
        <f>AP21/AP24</f>
        <v>0.9999999897232007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6.6373222321594949E-12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>
        <v>1</v>
      </c>
      <c r="BO22" s="25">
        <v>4</v>
      </c>
      <c r="BP22" s="116">
        <f>IF(OR(BM22="",BM23="",AND(BN22="",BN23&lt;&gt;""),AND(BN23="",BN22&lt;&gt;""),AND(BO22="",BO23&lt;&gt;""),AND(BO23="",BO22&lt;&gt;"")),"",BM22*1000+BN22*10+BO22)</f>
        <v>14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37500006.445193626</v>
      </c>
      <c r="AQ23" s="126">
        <f>VLOOKUP(AE23,db_fifarank,2,FALSE)</f>
        <v>1498.35</v>
      </c>
      <c r="AR23" s="125">
        <f>AP23/AP24</f>
        <v>0.38538004116219277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0</v>
      </c>
      <c r="BN23" s="64">
        <v>1</v>
      </c>
      <c r="BO23" s="27">
        <v>3</v>
      </c>
      <c r="BP23" s="112">
        <f>IF(BP22="","",BM23*1000+BN23*10+BO23)</f>
        <v>13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-9</v>
      </c>
      <c r="AM24" s="123">
        <f>MAX(AM20:AM23)+1</f>
        <v>15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97306560.900519505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1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50000003.300836563</v>
      </c>
      <c r="AQ26" s="126">
        <f>VLOOKUP(AE26,db_fifarank,2,FALSE)</f>
        <v>1673.13</v>
      </c>
      <c r="AR26" s="125">
        <f>AP26/AP30</f>
        <v>0.57142854841250512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2</v>
      </c>
      <c r="AL27" s="123">
        <f>AI27-AJ27</f>
        <v>-1</v>
      </c>
      <c r="AM27" s="123">
        <f>AL27-AL30</f>
        <v>0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37500000.200751752</v>
      </c>
      <c r="AQ27" s="126">
        <f>VLOOKUP(AE27,db_fifarank,2,FALSE)</f>
        <v>1503.5</v>
      </c>
      <c r="AR27" s="125">
        <f>AP27/AP30</f>
        <v>0.42857138531080247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25000000.600790337</v>
      </c>
      <c r="AQ28" s="126">
        <f>VLOOKUP(AE28,db_fifarank,2,FALSE)</f>
        <v>1580.67</v>
      </c>
      <c r="AR28" s="125">
        <f>AP28/AP30</f>
        <v>0.28571426221050589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Ghana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1 - 2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3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87500008.300799519</v>
      </c>
      <c r="AQ29" s="126">
        <f>VLOOKUP(AE29,db_fifarank,2,FALSE)</f>
        <v>1599.04</v>
      </c>
      <c r="AR29" s="125">
        <f>AP29/AP30</f>
        <v>0.9999999885714298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3 - 4</v>
      </c>
      <c r="P30" s="37">
        <f>L30*3+M30</f>
        <v>2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-1</v>
      </c>
      <c r="AM30" s="123">
        <f>MAX(AM26:AM29)+1</f>
        <v>4</v>
      </c>
      <c r="AN30" s="123">
        <f>MAX(AN26:AN29)+1</f>
        <v>8</v>
      </c>
      <c r="AO30" s="123">
        <f>MAX(AO26:AO29)+1</f>
        <v>9.75</v>
      </c>
      <c r="AP30" s="123">
        <f>MAX(AP26:AP29)+1</f>
        <v>87500009.300799519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90000010.334198534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7.1924990942087484E-12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4 - 1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1</v>
      </c>
      <c r="AL34" s="123">
        <f>AI34-AJ34</f>
        <v>3</v>
      </c>
      <c r="AM34" s="123">
        <f>AL34-AL36</f>
        <v>13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60000007.667433165</v>
      </c>
      <c r="AQ34" s="126">
        <f>VLOOKUP(AE34,db_fifarank,2,FALSE)</f>
        <v>1532.98</v>
      </c>
      <c r="AR34" s="125">
        <f>AP34/AP36</f>
        <v>0.66666666790334217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0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3 - 3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10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30000005.889686279</v>
      </c>
      <c r="AQ35" s="126">
        <f>VLOOKUP(AE35,db_fifarank,2,FALSE)</f>
        <v>1594.78</v>
      </c>
      <c r="AR35" s="125">
        <f>AP35/AP36</f>
        <v>0.33333335679577597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Algeria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-10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90000011.334198534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Algeria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5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90000009.191355109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40000003.905592129</v>
      </c>
      <c r="AQ39" s="126">
        <f>VLOOKUP(AE39,db_fifarank,2,FALSE)</f>
        <v>1660.43</v>
      </c>
      <c r="AR39" s="125">
        <f>AP39/AP42</f>
        <v>0.44444443751223378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1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20000002.095995482</v>
      </c>
      <c r="AQ40" s="126">
        <f>VLOOKUP(AE40,db_fifarank,2,FALSE)</f>
        <v>1514.77</v>
      </c>
      <c r="AR40" s="125">
        <f>AP40/AP42</f>
        <v>0.22222222034722136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10000000.429312954</v>
      </c>
      <c r="AQ41" s="126">
        <f>VLOOKUP(AE41,db_fifarank,2,FALSE)</f>
        <v>1483.05</v>
      </c>
      <c r="AR41" s="125">
        <f>AP41/AP42</f>
        <v>0.11111110329933604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6</v>
      </c>
      <c r="AN42" s="123">
        <f>MAX(AN38:AN41)+1</f>
        <v>10</v>
      </c>
      <c r="AO42" s="123">
        <f>MAX(AO38:AO41)+1</f>
        <v>10</v>
      </c>
      <c r="AP42" s="123">
        <f>MAX(AP38:AP41)+1</f>
        <v>90000010.191355109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Morocco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90000009.405629247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1</v>
      </c>
      <c r="BU44" s="63">
        <v>1</v>
      </c>
      <c r="BV44" s="25">
        <v>4</v>
      </c>
      <c r="BW44" s="112">
        <f>IF(OR(BT44="",BT45="",AND(BU44="",BU45&lt;&gt;""),AND(BU45="",BU44&lt;&gt;""),AND(BV44="",BV45&lt;&gt;""),AND(BV45="",BV44&lt;&gt;"")),"",BT44*1000+BU44*10+BV44)</f>
        <v>1014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2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40000003.357924476</v>
      </c>
      <c r="AQ45" s="126">
        <f>VLOOKUP(AE45,db_fifarank,2,FALSE)</f>
        <v>1563.24</v>
      </c>
      <c r="AR45" s="125">
        <f>AP45/AP48</f>
        <v>0.44444443036889458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>
        <v>1</v>
      </c>
      <c r="BV45" s="27">
        <v>5</v>
      </c>
      <c r="BW45" s="113">
        <f>IF(BW44="","",BT45*1000+BU45*10+BV45)</f>
        <v>1015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10000000.334140984</v>
      </c>
      <c r="AQ46" s="126">
        <f>VLOOKUP(AE46,db_fifarank,2,FALSE)</f>
        <v>1615.3</v>
      </c>
      <c r="AR46" s="125">
        <f>AP46/AP48</f>
        <v>0.11111110197733391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0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30000000.333974116</v>
      </c>
      <c r="AQ47" s="126">
        <f>VLOOKUP(AE47,db_fifarank,2,FALSE)</f>
        <v>1281.57</v>
      </c>
      <c r="AR47" s="125">
        <f>AP47/AP48</f>
        <v>0.33333329850479326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>
        <v>2</v>
      </c>
      <c r="BO47" s="27"/>
      <c r="BP47" s="112">
        <f>IF(BP46="","",BM47*1000+BN47*10+BO47)</f>
        <v>1020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90000010.405629247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0</v>
      </c>
      <c r="AL50" s="123">
        <f>AI50-AJ50</f>
        <v>6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90000010.08885029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0.22004463520537987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4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19804021.147015393</v>
      </c>
      <c r="AQ52" s="126">
        <f>VLOOKUP(AE52,db_fifarank,2,FALSE)</f>
        <v>1421.43</v>
      </c>
      <c r="AR52" s="125">
        <f>AP52/AP54</f>
        <v>0.22004465229970208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0 - 4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60000008.407429948</v>
      </c>
      <c r="AQ53" s="126">
        <f>VLOOKUP(AE53,db_fifarank,2,FALSE)</f>
        <v>1673.07</v>
      </c>
      <c r="AR53" s="125">
        <f>AP53/AP54</f>
        <v>0.66666667794292178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7</v>
      </c>
      <c r="AL54" s="123">
        <f>MIN(AL50:AL53)</f>
        <v>-6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90000011.08885029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87500010.106707886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50000005.885459878</v>
      </c>
      <c r="AQ57" s="126">
        <f>VLOOKUP(AE57,db_fifarank,2,FALSE)</f>
        <v>1688.99</v>
      </c>
      <c r="AR57" s="125">
        <f>AP57/AP60</f>
        <v>0.57142856615736815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1.4368406176163542E-9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7.5</v>
      </c>
      <c r="AP59" s="123">
        <f>AO59*10000000+BI59*100+AM59/AM60*10+AI59/AI60*1++IF(AQ59=0,ROW(),AQ59)/2000000</f>
        <v>75000007.548852399</v>
      </c>
      <c r="AQ59" s="126">
        <f>VLOOKUP(AE59,db_fifarank,2,FALSE)</f>
        <v>1550.94</v>
      </c>
      <c r="AR59" s="125">
        <f>AP59/AP60</f>
        <v>0.85714283461505503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8</v>
      </c>
      <c r="AO60" s="123">
        <f>MAX(AO56:AO59)+1</f>
        <v>9.75</v>
      </c>
      <c r="AP60" s="123">
        <f>MAX(AP56:AP59)+1</f>
        <v>87500011.106707886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3</v>
      </c>
      <c r="AL62" s="123">
        <f>AI62-AJ62</f>
        <v>4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90000009.875937417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7 - 3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30000004.250782128</v>
      </c>
      <c r="AQ63" s="126">
        <f>VLOOKUP(AE63,db_fifarank,2,FALSE)</f>
        <v>1564.26</v>
      </c>
      <c r="AR63" s="125">
        <f>AP63/AP66</f>
        <v>0.33333334028299533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4 - 2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60000007.500796728</v>
      </c>
      <c r="AQ64" s="126">
        <f>VLOOKUP(AE64,db_fifarank,2,FALSE)</f>
        <v>1593.45</v>
      </c>
      <c r="AR64" s="125">
        <f>AP64/AP66</f>
        <v>0.66666666944635278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1.3966189978939911E-9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90000010.875937417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90000009.746913657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19805923.444567192</v>
      </c>
      <c r="AQ69" s="126">
        <f>VLOOKUP(AE69,db_fifarank,2,FALSE)</f>
        <v>1478.35</v>
      </c>
      <c r="AR69" s="125">
        <f>AP69/AP72</f>
        <v>0.22006578977265723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4</v>
      </c>
      <c r="AL70" s="123">
        <f>AI70-AJ70</f>
        <v>-2</v>
      </c>
      <c r="AM70" s="123">
        <f>AL70-AL72</f>
        <v>2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19805925.809640057</v>
      </c>
      <c r="AQ70" s="126">
        <f>VLOOKUP(AE70,db_fifarank,2,FALSE)</f>
        <v>1465.34</v>
      </c>
      <c r="AR70" s="125">
        <f>AP70/AP72</f>
        <v>0.22006581605124148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60000007.238941781</v>
      </c>
      <c r="AQ71" s="126">
        <f>VLOOKUP(AE71,db_fifarank,2,FALSE)</f>
        <v>1693.09</v>
      </c>
      <c r="AR71" s="125">
        <f>AP71/AP72</f>
        <v>0.66666666749258519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90000010.746913657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87500009.723135203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6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50000007.334191866</v>
      </c>
      <c r="AQ75" s="126">
        <f>VLOOKUP(AE75,db_fifarank,2,FALSE)</f>
        <v>1717.07</v>
      </c>
      <c r="AR75" s="125">
        <f>AP75/AP78</f>
        <v>0.57142858521926732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6</v>
      </c>
      <c r="AN76" s="123">
        <f>AF76*3+AG76</f>
        <v>6</v>
      </c>
      <c r="AO76" s="123">
        <f>AN76/AN78*10+BA76</f>
        <v>7.5</v>
      </c>
      <c r="AP76" s="123">
        <f>AO76*10000000+BI76*100+AM76/AM78*10+AI76/AI78*1++IF(AQ76=0,ROW(),AQ76)/2000000</f>
        <v>75000007.334006503</v>
      </c>
      <c r="AQ76" s="126">
        <f>VLOOKUP(AE76,db_fifarank,2,FALSE)</f>
        <v>1346.31</v>
      </c>
      <c r="AR76" s="125">
        <f>AP76/AP78</f>
        <v>0.85714283591711982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4 - 3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8.8036560639680661E-12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-5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87500010.723135203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6373.3340840233332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Croatia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1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4500.0007782399998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6746.6674158416672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6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1</v>
      </c>
      <c r="AJ83" s="123">
        <f t="shared" si="42"/>
        <v>2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6520.0007517499998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6726.6674640566671</v>
      </c>
      <c r="AQ84" s="126">
        <f t="shared" si="37"/>
        <v>1594.78</v>
      </c>
      <c r="AR84" s="125" t="str">
        <f t="shared" si="50"/>
        <v>ACDE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4560.0007573849998</v>
      </c>
      <c r="AQ85" s="126">
        <f t="shared" si="37"/>
        <v>1514.77</v>
      </c>
      <c r="AR85" s="125" t="str">
        <f t="shared" si="50"/>
        <v>ACDE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Ⓓ Paraguay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1 - 2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127" t="str" cm="1">
        <f t="array" ref="T86">IF(OR(S86="",S86="draw"),INDEX(T,88,lang),S86)</f>
        <v>Ghana</v>
      </c>
      <c r="AD86" s="123">
        <f t="shared" si="38"/>
        <v>8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6373.3339741183327</v>
      </c>
      <c r="AQ86" s="126">
        <f t="shared" si="37"/>
        <v>1281.57</v>
      </c>
      <c r="AR86" s="125" t="str">
        <f t="shared" si="50"/>
        <v>ACDEG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4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ACDEG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New Zealand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8746.667511161666</v>
      </c>
      <c r="AQ88" s="126">
        <f t="shared" si="37"/>
        <v>1688.99</v>
      </c>
      <c r="AR88" s="125" t="str">
        <f t="shared" si="50"/>
        <v>ACDEGI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6540.0007821299996</v>
      </c>
      <c r="AQ89" s="126">
        <f t="shared" si="37"/>
        <v>1564.26</v>
      </c>
      <c r="AR89" s="125" t="str">
        <f t="shared" si="50"/>
        <v>ACDEGIJ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Canada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0 - 1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Algeria</v>
      </c>
      <c r="T90" s="127" t="str" cm="1">
        <f t="array" ref="T90">IF(OR(S90="",S90="draw"),INDEX(T,92,lang),S90)</f>
        <v>Algeria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1</v>
      </c>
      <c r="AP90" s="123">
        <f>AN90/AN92*10000+AM90/AM92*1000+AI90/AI92*100+IF(AQ90=0,ROW(),AQ90)/2000000</f>
        <v>2373.3340660033336</v>
      </c>
      <c r="AQ90" s="126">
        <f t="shared" si="37"/>
        <v>1465.34</v>
      </c>
      <c r="AR90" s="125" t="str">
        <f t="shared" si="50"/>
        <v>ACDEGIJ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3</v>
      </c>
      <c r="AK91" s="123" t="s">
        <v>3192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8913.3341918683345</v>
      </c>
      <c r="AQ91" s="126">
        <f t="shared" si="37"/>
        <v>1717.07</v>
      </c>
      <c r="AR91" s="125" t="str">
        <f t="shared" si="50"/>
        <v>ACDEGIJL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5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258</v>
      </c>
      <c r="C3" s="121" t="str">
        <f>'2026 World Cup'!AR91</f>
        <v>ACDEGIJL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Karin Dokken</cp:lastModifiedBy>
  <cp:revision/>
  <dcterms:created xsi:type="dcterms:W3CDTF">2017-12-27T19:32:51Z</dcterms:created>
  <dcterms:modified xsi:type="dcterms:W3CDTF">2026-06-11T12:48:04Z</dcterms:modified>
  <cp:category>Sports</cp:category>
  <cp:contentStatus/>
</cp:coreProperties>
</file>
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annhelgo_uio_no/Documents/"/>
    </mc:Choice>
  </mc:AlternateContent>
  <xr:revisionPtr revIDLastSave="0" documentId="8_{526F0684-CB92-4379-AA84-6903E2295431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S50" i="3"/>
  <c r="S76" i="3"/>
  <c r="S47" i="3"/>
  <c r="S67" i="3"/>
  <c r="T48" i="3"/>
  <c r="T43" i="3"/>
  <c r="S72" i="3"/>
  <c r="T44" i="3"/>
  <c r="S70" i="3"/>
  <c r="S42" i="3"/>
  <c r="S64" i="3"/>
  <c r="T41" i="3"/>
  <c r="S40" i="3"/>
  <c r="S62" i="3"/>
  <c r="T61" i="3"/>
  <c r="T16" i="3"/>
  <c r="T39" i="3"/>
  <c r="S38" i="3"/>
  <c r="S65" i="3"/>
  <c r="T66" i="3"/>
  <c r="S55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61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BZ17" i="3" l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AM85" i="3" l="1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4" i="3" l="1"/>
  <c r="AP89" i="3"/>
  <c r="AP86" i="3"/>
  <c r="AP91" i="3"/>
  <c r="AP81" i="3"/>
  <c r="AP88" i="3"/>
  <c r="AP90" i="3"/>
  <c r="AP80" i="3"/>
  <c r="AP85" i="3"/>
  <c r="AP83" i="3"/>
  <c r="AP82" i="3"/>
  <c r="AD87" i="3" l="1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<sst xmlns="http://schemas.openxmlformats.org/spreadsheetml/2006/main" count="9786" uniqueCount="3698">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</sst>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5.95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35" zoomScaleNormal="100" workbookViewId="0">
      <selection activeCell="CP38" sqref="CP38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5.9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87500008.800840512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3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4</v>
      </c>
      <c r="AL9" s="123">
        <f>AI9-AJ9</f>
        <v>-1</v>
      </c>
      <c r="AM9" s="123">
        <f>AL9-AL12</f>
        <v>1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25000002.600714866</v>
      </c>
      <c r="AQ9" s="126">
        <f>VLOOKUP(AE9,db_fifarank,2,FALSE)</f>
        <v>1429.73</v>
      </c>
      <c r="AR9" s="125">
        <f>AP9/AP12</f>
        <v>0.28571428343399707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2 - 1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4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12500000.400794331</v>
      </c>
      <c r="AQ10" s="126">
        <f>VLOOKUP(AE10,db_fifarank,2,FALSE)</f>
        <v>1588.66</v>
      </c>
      <c r="AR10" s="125">
        <f>AP10/AP12</f>
        <v>0.14285713143627851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1</v>
      </c>
      <c r="AL11" s="123">
        <f>AI11-AJ11</f>
        <v>1</v>
      </c>
      <c r="AM11" s="123">
        <f>AL11-AL12</f>
        <v>3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62500006.400750689</v>
      </c>
      <c r="AQ11" s="126">
        <f>VLOOKUP(AE11,db_fifarank,2,FALSE)</f>
        <v>1501.38</v>
      </c>
      <c r="AR11" s="125">
        <f>AP11/AP12</f>
        <v>0.71428570743029018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87500009.800840512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8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60000008.106838852</v>
      </c>
      <c r="AQ14" s="126">
        <f>VLOOKUP(AE14,db_fifarank,2,FALSE)</f>
        <v>1556.48</v>
      </c>
      <c r="AR14" s="125">
        <f>AP14/AP18</f>
        <v>0.66666667581622963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6</v>
      </c>
      <c r="AL15" s="123">
        <f>AI15-AJ15</f>
        <v>-5</v>
      </c>
      <c r="AM15" s="123">
        <f>AL15-AL18</f>
        <v>0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19805923.468330462</v>
      </c>
      <c r="AQ15" s="126">
        <f>VLOOKUP(AE15,db_fifarank,2,FALSE)</f>
        <v>1385.84</v>
      </c>
      <c r="AR15" s="125">
        <f>AP15/AP18</f>
        <v>0.22006578960107709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2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19805925.453213502</v>
      </c>
      <c r="AQ16" s="126">
        <f>VLOOKUP(AE16,db_fifarank,2,FALSE)</f>
        <v>1454.96</v>
      </c>
      <c r="AR16" s="125">
        <f>AP16/AP18</f>
        <v>0.2200658116553304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0</v>
      </c>
      <c r="AL17" s="123">
        <f>AI17-AJ17</f>
        <v>5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90000009.925067127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1 - 6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-5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90000010.925067127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3</v>
      </c>
      <c r="BO19" s="27"/>
      <c r="BP19" s="113">
        <f>IF(BP18="","",BM19*1000+BN19*10+BO19)</f>
        <v>1030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90000010.024690107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60000008.215163648</v>
      </c>
      <c r="AQ21" s="126">
        <f>VLOOKUP(AE21,db_fifarank,2,FALSE)</f>
        <v>1755.87</v>
      </c>
      <c r="AR21" s="125">
        <f>AP21/AP24</f>
        <v>0.66666667628189047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7.1761657876110669E-12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30000003.619796794</v>
      </c>
      <c r="AQ23" s="126">
        <f>VLOOKUP(AE23,db_fifarank,2,FALSE)</f>
        <v>1498.35</v>
      </c>
      <c r="AR23" s="125">
        <f>AP23/AP24</f>
        <v>0.33333333272111221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2010</v>
      </c>
    </row>
    <row r="24" spans="1:9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7</v>
      </c>
      <c r="AL24" s="123">
        <f>MIN(AL20:AL23)</f>
        <v>-6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90000011.024690107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0</v>
      </c>
      <c r="CJ24" s="27"/>
      <c r="CK24" s="113">
        <f>IF(CK23="","",CH24*1000+CI24*10+CJ24)</f>
        <v>2000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5</v>
      </c>
      <c r="AN26" s="123">
        <f>AF26*3+AG26</f>
        <v>4</v>
      </c>
      <c r="AO26" s="123">
        <f>AN26/AN30*10+BA26</f>
        <v>4</v>
      </c>
      <c r="AP26" s="123">
        <f>AO26*10000000+BI26*100+AM26/AM30*10+AI26/AI30*1++IF(AQ26=0,ROW(),AQ26)/2000000</f>
        <v>40000005.572265141</v>
      </c>
      <c r="AQ26" s="126">
        <f>VLOOKUP(AE26,db_fifarank,2,FALSE)</f>
        <v>1673.13</v>
      </c>
      <c r="AR26" s="125">
        <f>AP26/AP30</f>
        <v>0.44444445273903205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2</v>
      </c>
      <c r="AN27" s="123">
        <f>AF27*3+AG27</f>
        <v>2</v>
      </c>
      <c r="AO27" s="123">
        <f>AN27/AN30*10+BA27</f>
        <v>2</v>
      </c>
      <c r="AP27" s="123">
        <f>AO27*10000000+BI27*100+AM27/AM30*10+AI27/AI30*1++IF(AQ27=0,ROW(),AQ27)/2000000</f>
        <v>20000002.286466036</v>
      </c>
      <c r="AQ27" s="126">
        <f>VLOOKUP(AE27,db_fifarank,2,FALSE)</f>
        <v>1503.5</v>
      </c>
      <c r="AR27" s="125">
        <f>AP27/AP30</f>
        <v>0.22222222081766632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10000000.429361764</v>
      </c>
      <c r="AQ28" s="126">
        <f>VLOOKUP(AE28,db_fifarank,2,FALSE)</f>
        <v>1580.67</v>
      </c>
      <c r="AR28" s="125">
        <f>AP28/AP30</f>
        <v>0.1111111024769313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1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90000009.857942373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3 - 7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90000010.250865191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1010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7.1924991008684691E-12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>
        <v>0</v>
      </c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49805928.676737361</v>
      </c>
      <c r="AQ34" s="126">
        <f>VLOOKUP(AE34,db_fifarank,2,FALSE)</f>
        <v>1532.98</v>
      </c>
      <c r="AR34" s="125">
        <f>AP34/AP36</f>
        <v>0.55339913833909171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9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49805929.301768258</v>
      </c>
      <c r="AQ35" s="126">
        <f>VLOOKUP(AE35,db_fifarank,2,FALSE)</f>
        <v>1594.78</v>
      </c>
      <c r="AR35" s="125">
        <f>AP35/AP36</f>
        <v>0.55339914528387868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Austria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90000011.250865191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3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>
        <v>3</v>
      </c>
      <c r="BV37" s="27"/>
      <c r="BW37" s="112">
        <f>IF(BW36="","",BT37*1000+BU37*10+BV37)</f>
        <v>2030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0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87500009.084212258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3 - 0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4</v>
      </c>
      <c r="AL39" s="123">
        <f>AI39-AJ39</f>
        <v>-2</v>
      </c>
      <c r="AM39" s="123">
        <f>AL39-AL42</f>
        <v>0</v>
      </c>
      <c r="AN39" s="123">
        <f>AF39*3+AG39</f>
        <v>2</v>
      </c>
      <c r="AO39" s="123">
        <f>AN39/AN42*10+BA39</f>
        <v>3.4805825242718447</v>
      </c>
      <c r="AP39" s="123">
        <f>AO39*10000000+BI39*100+AM39/AM42*10+AI39/AI42*1++IF(AQ39=0,ROW(),AQ39)/2000000</f>
        <v>34805923.801801085</v>
      </c>
      <c r="AQ39" s="126">
        <f>VLOOKUP(AE39,db_fifarank,2,FALSE)</f>
        <v>1660.43</v>
      </c>
      <c r="AR39" s="125">
        <f>AP39/AP42</f>
        <v>0.39778194046266929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0</v>
      </c>
      <c r="M40" s="23">
        <f>VLOOKUP(2,AD38:AN41,4,FALSE)</f>
        <v>3</v>
      </c>
      <c r="N40" s="23">
        <f>VLOOKUP(2,AD38:AN41,5,FALSE)</f>
        <v>0</v>
      </c>
      <c r="O40" s="23" t="str">
        <f>VLOOKUP(2,AD38:AN41,6,FALSE) &amp; " - " &amp; VLOOKUP(2,AD38:AN41,7,FALSE)</f>
        <v>3 - 3</v>
      </c>
      <c r="P40" s="34">
        <f>L40*3+M40</f>
        <v>3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1</v>
      </c>
      <c r="AN40" s="123">
        <f>AF40*3+AG40</f>
        <v>2</v>
      </c>
      <c r="AO40" s="123">
        <f>AN40/AN42*10+BA40</f>
        <v>3.4805825242718447</v>
      </c>
      <c r="AP40" s="123">
        <f>AO40*10000000+BI40*100+AM40/AM42*10+AI40/AI42*1++IF(AQ40=0,ROW(),AQ40)/2000000</f>
        <v>34805925.718394913</v>
      </c>
      <c r="AQ40" s="126">
        <f>VLOOKUP(AE40,db_fifarank,2,FALSE)</f>
        <v>1514.77</v>
      </c>
      <c r="AR40" s="125">
        <f>AP40/AP42</f>
        <v>0.39778196236659624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3</v>
      </c>
      <c r="AH41" s="123">
        <f>COUNTIF($S$7:$T$78,"=" &amp; AE41 &amp; "_lose")</f>
        <v>0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3</v>
      </c>
      <c r="AL41" s="123">
        <f>AI41-AJ41</f>
        <v>0</v>
      </c>
      <c r="AM41" s="123">
        <f>AL41-AL42</f>
        <v>2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37500004.084074862</v>
      </c>
      <c r="AQ41" s="126">
        <f>VLOOKUP(AE41,db_fifarank,2,FALSE)</f>
        <v>1483.05</v>
      </c>
      <c r="AR41" s="125">
        <f>AP41/AP42</f>
        <v>0.42857142585451014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2 - 4</v>
      </c>
      <c r="P42" s="37">
        <f>L42*3+M42</f>
        <v>2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2</v>
      </c>
      <c r="AI42" s="123">
        <f>MAX(AI38:AI41)+1</f>
        <v>4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87500010.084212258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0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90000010.120525479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Tunisia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5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60000004.291379914</v>
      </c>
      <c r="AQ45" s="126">
        <f>VLOOKUP(AE45,db_fifarank,2,FALSE)</f>
        <v>1563.24</v>
      </c>
      <c r="AR45" s="125">
        <f>AP45/AP48</f>
        <v>0.66666663197440723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36"/>
      <c r="CN45" s="137"/>
      <c r="CO45" s="137"/>
      <c r="CP45" s="137"/>
      <c r="CQ45" s="138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30000002.530722182</v>
      </c>
      <c r="AQ46" s="126">
        <f>VLOOKUP(AE46,db_fifarank,2,FALSE)</f>
        <v>1615.3</v>
      </c>
      <c r="AR46" s="125">
        <f>AP46/AP48</f>
        <v>0.33333332026533891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7.1198324535969082E-12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9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90000011.120525479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Senegal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0</v>
      </c>
      <c r="AL50" s="123">
        <f>AI50-AJ50</f>
        <v>6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90000010.143795341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0</v>
      </c>
      <c r="BN50" s="63">
        <v>1</v>
      </c>
      <c r="BO50" s="25"/>
      <c r="BP50" s="112">
        <f>IF(OR(BM50="",BM51="",AND(BN50="",BN51&lt;&gt;""),AND(BN51="",BN50&lt;&gt;""),AND(BO50="",BO51&lt;&gt;""),AND(BO51="",BO50&lt;&gt;"")),"",BM50*1000+BN50*10+BO50)</f>
        <v>10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7.5896101713659727E-12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>
        <v>0</v>
      </c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4</v>
      </c>
      <c r="AL52" s="123">
        <f>AI52-AJ52</f>
        <v>-2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30000003.857853573</v>
      </c>
      <c r="AQ52" s="126">
        <f>VLOOKUP(AE52,db_fifarank,2,FALSE)</f>
        <v>1421.43</v>
      </c>
      <c r="AR52" s="125">
        <f>AP52/AP54</f>
        <v>0.33333333492505673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2 - 4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1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60000007.715122253</v>
      </c>
      <c r="AQ53" s="126">
        <f>VLOOKUP(AE53,db_fifarank,2,FALSE)</f>
        <v>1673.07</v>
      </c>
      <c r="AR53" s="125">
        <f>AP53/AP54</f>
        <v>0.66666666984361467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7</v>
      </c>
      <c r="AL54" s="123">
        <f>MIN(AL50:AL53)</f>
        <v>-7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90000011.143795341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0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90000010.024748176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>
        <v>1</v>
      </c>
      <c r="CJ56" s="27"/>
      <c r="CK56" s="112">
        <f>IF(CK55="","",CH56*1000+CI56*10+CJ56)</f>
        <v>1010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6 - 0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6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60000005.572273068</v>
      </c>
      <c r="AQ57" s="126">
        <f>VLOOKUP(AE57,db_fifarank,2,FALSE)</f>
        <v>1688.99</v>
      </c>
      <c r="AR57" s="125">
        <f>AP57/AP60</f>
        <v>0.66666664691601296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0.14358071285714286</v>
      </c>
      <c r="AQ58" s="126">
        <f>VLOOKUP(AE58,db_fifarank,2,FALSE)</f>
        <v>1447.14</v>
      </c>
      <c r="AR58" s="125">
        <f>AP58/AP60</f>
        <v>1.5953410585434381E-9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3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30000002.9293469</v>
      </c>
      <c r="AQ59" s="126">
        <f>VLOOKUP(AE59,db_fifarank,2,FALSE)</f>
        <v>1550.94</v>
      </c>
      <c r="AR59" s="125">
        <f>AP59/AP60</f>
        <v>0.33333332504923258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90000011.024748176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90000010.02474694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5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60000004.45316308</v>
      </c>
      <c r="AQ63" s="126">
        <f>VLOOKUP(AE63,db_fifarank,2,FALSE)</f>
        <v>1564.26</v>
      </c>
      <c r="AR63" s="125">
        <f>AP63/AP66</f>
        <v>0.66666663448146823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0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4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30000003.619844344</v>
      </c>
      <c r="AQ64" s="126">
        <f>VLOOKUP(AE64,db_fifarank,2,FALSE)</f>
        <v>1593.45</v>
      </c>
      <c r="AR64" s="125">
        <f>AP64/AP66</f>
        <v>0.33333333272143006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>
        <v>1</v>
      </c>
      <c r="CC64" s="25"/>
      <c r="CD64" s="116">
        <f>IF(OR(CA64="",CA65="",AND(CB64="",CB65&lt;&gt;""),AND(CB65="",CB64&lt;&gt;""),AND(CC64="",CC65&lt;&gt;""),AND(CC65="",CC64&lt;&gt;"")),"",CA64*1000+CB64*10+CC64)</f>
        <v>10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7.7302768308406022E-12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>
        <v>0</v>
      </c>
      <c r="CC65" s="27"/>
      <c r="CD65" s="112">
        <f>IF(CD64="","",CA65*1000+CB65*10+CC65)</f>
        <v>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7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90000011.02474694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0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19805924.320940819</v>
      </c>
      <c r="AQ69" s="126">
        <f>VLOOKUP(AE69,db_fifarank,2,FALSE)</f>
        <v>1478.35</v>
      </c>
      <c r="AR69" s="125">
        <f>AP69/AP72</f>
        <v>0.22006579863051962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19805923.551703546</v>
      </c>
      <c r="AQ70" s="126">
        <f>VLOOKUP(AE70,db_fifarank,2,FALSE)</f>
        <v>1465.34</v>
      </c>
      <c r="AR70" s="125">
        <f>AP70/AP72</f>
        <v>0.22006579008343985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60000006.010461926</v>
      </c>
      <c r="AQ71" s="126">
        <f>VLOOKUP(AE71,db_fifarank,2,FALSE)</f>
        <v>1693.09</v>
      </c>
      <c r="AR71" s="125">
        <f>AP71/AP72</f>
        <v>0.66666665117808888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90000009.925155401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7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49805930.332132436</v>
      </c>
      <c r="AQ75" s="126">
        <f>VLOOKUP(AE75,db_fifarank,2,FALSE)</f>
        <v>1717.07</v>
      </c>
      <c r="AR75" s="125">
        <f>AP75/AP78</f>
        <v>0.55339915873511814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2</v>
      </c>
      <c r="AL76" s="123">
        <f>AI76-AJ76</f>
        <v>1</v>
      </c>
      <c r="AM76" s="123">
        <f>AL76-AL78</f>
        <v>7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49805930.165280387</v>
      </c>
      <c r="AQ76" s="126">
        <f>VLOOKUP(AE76,db_fifarank,2,FALSE)</f>
        <v>1346.31</v>
      </c>
      <c r="AR76" s="125">
        <f>AP76/AP78</f>
        <v>0.55339915688120667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8.5591100721154709E-12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90000010.925155401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4575.0007148650002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2216.6673941466665</v>
      </c>
      <c r="AQ81" s="126">
        <f t="shared" si="37"/>
        <v>1454.96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6383.3340825083333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Austria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10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4383.3340850833329</v>
      </c>
      <c r="AQ83" s="126">
        <f t="shared" si="37"/>
        <v>1503.5</v>
      </c>
      <c r="AR83" s="125" t="str">
        <f t="shared" si="50"/>
        <v>C</v>
      </c>
      <c r="AS83" s="129" t="str">
        <f t="shared" si="46"/>
        <v/>
      </c>
      <c r="AT83" s="130" t="str">
        <f>"Ⓓ "&amp;AE83</f>
        <v>Ⓓ Paraguay</v>
      </c>
    </row>
    <row r="84" spans="1:46" ht="15" customHeight="1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8741.6674331566664</v>
      </c>
      <c r="AQ84" s="126">
        <f t="shared" si="37"/>
        <v>1532.98</v>
      </c>
      <c r="AR84" s="125" t="str">
        <f t="shared" si="50"/>
        <v>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4575.0007573849998</v>
      </c>
      <c r="AQ85" s="126">
        <f t="shared" si="37"/>
        <v>1514.77</v>
      </c>
      <c r="AR85" s="125" t="str">
        <f t="shared" si="50"/>
        <v>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6383.3341409833329</v>
      </c>
      <c r="AQ86" s="126">
        <f t="shared" si="37"/>
        <v>1615.3</v>
      </c>
      <c r="AR86" s="125" t="str">
        <f t="shared" si="50"/>
        <v>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4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6383.3340440483335</v>
      </c>
      <c r="AQ87" s="126">
        <f t="shared" si="37"/>
        <v>1421.43</v>
      </c>
      <c r="AR87" s="125" t="str">
        <f t="shared" si="50"/>
        <v>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6408.334108803333</v>
      </c>
      <c r="AQ88" s="126">
        <f t="shared" si="37"/>
        <v>1550.94</v>
      </c>
      <c r="AR88" s="125" t="str">
        <f t="shared" si="50"/>
        <v>CEFGHI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South Africa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6550.0007967250003</v>
      </c>
      <c r="AQ89" s="126">
        <f t="shared" si="37"/>
        <v>1593.45</v>
      </c>
      <c r="AR89" s="125" t="str">
        <f t="shared" si="50"/>
        <v>CEFGHIJ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2050.000739175</v>
      </c>
      <c r="AQ90" s="126">
        <f t="shared" si="37"/>
        <v>1478.35</v>
      </c>
      <c r="AR90" s="125" t="str">
        <f t="shared" si="50"/>
        <v>CEFGHIJ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2</v>
      </c>
      <c r="AK91" s="123" t="s">
        <v>3192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8908.3340064883341</v>
      </c>
      <c r="AQ91" s="126">
        <f t="shared" si="37"/>
        <v>1346.31</v>
      </c>
      <c r="AR91" s="125" t="str">
        <f t="shared" si="50"/>
        <v>CEFGHIJL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4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3193</v>
      </c>
    </row>
    <row r="3" spans="2:11">
      <c r="B3" s="109">
        <f>MATCH(C3,C6:C500,0)</f>
        <v>16</v>
      </c>
      <c r="C3" s="121" t="str">
        <f>'2026 World Cup'!AR91</f>
        <v>CEFGHIJL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2026-06-11T15:00:45Z</dcterms:modified>
  <cp:category>Sports</cp:category>
  <cp:contentStatus/>
</cp:coreProperties>
</file>
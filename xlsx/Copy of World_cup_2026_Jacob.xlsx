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o-my.sharepoint.com/personal/jacobny_uio_no/Documents/Documents/"/>
    </mc:Choice>
  </mc:AlternateContent>
  <xr:revisionPtr revIDLastSave="0" documentId="8_{CADF58EB-E695-471B-B73D-A76071A9B0AF}" xr6:coauthVersionLast="47" xr6:coauthVersionMax="47" xr10:uidLastSave="{00000000-0000-0000-0000-000000000000}"/>
  <bookViews>
    <workbookView xWindow="-110" yWindow="-110" windowWidth="19420" windowHeight="11500" firstSheet="2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BP11" i="3" s="1"/>
  <c r="CE68" i="3"/>
  <c r="AA25" i="3"/>
  <c r="AA50" i="3"/>
  <c r="AA75" i="3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CR38" i="3" l="1"/>
  <c r="AA17" i="3"/>
  <c r="AA18" i="3"/>
  <c r="AA19" i="3"/>
  <c r="AA20" i="3"/>
  <c r="AA21" i="3"/>
  <c r="AA22" i="3"/>
  <c r="AA23" i="3"/>
  <c r="AA24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6" i="3"/>
  <c r="AA77" i="3"/>
  <c r="AA78" i="3"/>
  <c r="AA8" i="3"/>
  <c r="AA9" i="3"/>
  <c r="AA10" i="3"/>
  <c r="AA11" i="3"/>
  <c r="AA12" i="3"/>
  <c r="AA13" i="3"/>
  <c r="AA14" i="3"/>
  <c r="AA15" i="3"/>
  <c r="AA16" i="3"/>
  <c r="AA7" i="3"/>
  <c r="O3" i="3"/>
  <c r="G65" i="2"/>
  <c r="G16" i="2"/>
  <c r="CD31" i="3" s="1"/>
  <c r="G15" i="2"/>
  <c r="BW19" i="3" l="1"/>
  <c r="BW59" i="3"/>
  <c r="BP53" i="3"/>
  <c r="BP29" i="3"/>
  <c r="BP17" i="3"/>
  <c r="BP45" i="3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R59" i="3" a="1"/>
  <c r="BR59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K53" i="3" a="1"/>
  <c r="BK53" i="3" s="1"/>
  <c r="BP49" i="3"/>
  <c r="BK49" i="3" s="1" a="1"/>
  <c r="BK49" i="3" s="1"/>
  <c r="BK45" i="3" a="1"/>
  <c r="BK45" i="3" s="1"/>
  <c r="BK41" i="3" a="1"/>
  <c r="BK41" i="3" s="1"/>
  <c r="BP37" i="3"/>
  <c r="BK37" i="3" s="1" a="1"/>
  <c r="BK37" i="3" s="1"/>
  <c r="BP33" i="3"/>
  <c r="BK33" i="3" s="1" a="1"/>
  <c r="BK33" i="3" s="1"/>
  <c r="BK29" i="3" a="1"/>
  <c r="BK29" i="3" s="1"/>
  <c r="BP25" i="3"/>
  <c r="BK25" i="3" s="1" a="1"/>
  <c r="BK25" i="3" s="1"/>
  <c r="BP21" i="3"/>
  <c r="BK21" i="3" s="1" a="1"/>
  <c r="BK21" i="3" s="1"/>
  <c r="BK17" i="3" a="1"/>
  <c r="BK17" i="3" s="1"/>
  <c r="BP13" i="3"/>
  <c r="BK13" i="3" s="1" a="1"/>
  <c r="BK13" i="3" s="1"/>
  <c r="BP9" i="3"/>
  <c r="BK9" i="3" s="1" a="1"/>
  <c r="BK9" i="3" s="1"/>
  <c r="I15" i="2"/>
  <c r="AA7" i="2" l="1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E7" i="3"/>
  <c r="E60" i="3"/>
  <c r="H31" i="3"/>
  <c r="H7" i="3"/>
  <c r="H57" i="3"/>
  <c r="E33" i="3"/>
  <c r="E9" i="3"/>
  <c r="H60" i="3"/>
  <c r="H34" i="3"/>
  <c r="E8" i="3"/>
  <c r="H58" i="3"/>
  <c r="H33" i="3"/>
  <c r="E14" i="3"/>
  <c r="E57" i="3"/>
  <c r="E32" i="3"/>
  <c r="H14" i="3"/>
  <c r="H55" i="3"/>
  <c r="E13" i="3"/>
  <c r="E56" i="3"/>
  <c r="H13" i="3"/>
  <c r="H56" i="3"/>
  <c r="E11" i="3"/>
  <c r="E55" i="3"/>
  <c r="H11" i="3"/>
  <c r="H65" i="3"/>
  <c r="E37" i="3"/>
  <c r="E10" i="3"/>
  <c r="E66" i="3"/>
  <c r="H38" i="3"/>
  <c r="H10" i="3"/>
  <c r="H66" i="3"/>
  <c r="H37" i="3"/>
  <c r="E65" i="3"/>
  <c r="E38" i="3"/>
  <c r="H62" i="3"/>
  <c r="E39" i="3"/>
  <c r="E16" i="3"/>
  <c r="E61" i="3"/>
  <c r="H40" i="3"/>
  <c r="H16" i="3"/>
  <c r="H61" i="3"/>
  <c r="H39" i="3"/>
  <c r="E15" i="3"/>
  <c r="E62" i="3"/>
  <c r="E40" i="3"/>
  <c r="H15" i="3"/>
  <c r="H64" i="3"/>
  <c r="E41" i="3"/>
  <c r="E17" i="3"/>
  <c r="E63" i="3"/>
  <c r="H42" i="3"/>
  <c r="H17" i="3"/>
  <c r="H63" i="3"/>
  <c r="H41" i="3"/>
  <c r="E18" i="3"/>
  <c r="E64" i="3"/>
  <c r="E42" i="3"/>
  <c r="H18" i="3"/>
  <c r="H70" i="3"/>
  <c r="E45" i="3"/>
  <c r="H69" i="3"/>
  <c r="H45" i="3"/>
  <c r="E21" i="3"/>
  <c r="E70" i="3"/>
  <c r="E46" i="3"/>
  <c r="H21" i="3"/>
  <c r="H72" i="3"/>
  <c r="E44" i="3"/>
  <c r="E20" i="3"/>
  <c r="H71" i="3"/>
  <c r="H44" i="3"/>
  <c r="E19" i="3"/>
  <c r="E72" i="3"/>
  <c r="E43" i="3"/>
  <c r="H19" i="3"/>
  <c r="H67" i="3"/>
  <c r="E48" i="3"/>
  <c r="E23" i="3"/>
  <c r="E68" i="3"/>
  <c r="H47" i="3"/>
  <c r="H23" i="3"/>
  <c r="E67" i="3"/>
  <c r="E47" i="3"/>
  <c r="H24" i="3"/>
  <c r="H76" i="3"/>
  <c r="E49" i="3"/>
  <c r="E25" i="3"/>
  <c r="E75" i="3"/>
  <c r="H50" i="3"/>
  <c r="H25" i="3"/>
  <c r="H75" i="3"/>
  <c r="H49" i="3"/>
  <c r="E26" i="3"/>
  <c r="E76" i="3"/>
  <c r="E50" i="3"/>
  <c r="H26" i="3"/>
  <c r="E78" i="3"/>
  <c r="H54" i="3"/>
  <c r="H29" i="3"/>
  <c r="H78" i="3"/>
  <c r="H53" i="3"/>
  <c r="E30" i="3"/>
  <c r="E77" i="3"/>
  <c r="E54" i="3"/>
  <c r="H30" i="3"/>
  <c r="H73" i="3"/>
  <c r="E51" i="3"/>
  <c r="E28" i="3"/>
  <c r="E74" i="3"/>
  <c r="H52" i="3"/>
  <c r="H28" i="3"/>
  <c r="H74" i="3"/>
  <c r="H51" i="3"/>
  <c r="E27" i="3"/>
  <c r="E73" i="3"/>
  <c r="E52" i="3"/>
  <c r="H27" i="3"/>
  <c r="E71" i="3"/>
  <c r="H43" i="3"/>
  <c r="H20" i="3"/>
  <c r="E59" i="3"/>
  <c r="E31" i="3"/>
  <c r="E58" i="3"/>
  <c r="H32" i="3"/>
  <c r="E69" i="3"/>
  <c r="H46" i="3"/>
  <c r="H68" i="3"/>
  <c r="H48" i="3"/>
  <c r="E24" i="3"/>
  <c r="E12" i="3"/>
  <c r="H8" i="3"/>
  <c r="H22" i="3"/>
  <c r="H12" i="3"/>
  <c r="E22" i="3"/>
  <c r="H9" i="3"/>
  <c r="D7" i="3"/>
  <c r="S12" i="3" l="1"/>
  <c r="S27" i="3"/>
  <c r="T27" i="3" s="1"/>
  <c r="S74" i="3"/>
  <c r="T74" i="3" s="1"/>
  <c r="S28" i="3"/>
  <c r="T28" i="3" s="1"/>
  <c r="S51" i="3"/>
  <c r="T51" i="3" s="1"/>
  <c r="S30" i="3"/>
  <c r="T30" i="3" s="1"/>
  <c r="S78" i="3"/>
  <c r="S26" i="3"/>
  <c r="T26" i="3" s="1"/>
  <c r="S75" i="3"/>
  <c r="S25" i="3"/>
  <c r="T25" i="3" s="1"/>
  <c r="S49" i="3"/>
  <c r="S68" i="3"/>
  <c r="T68" i="3" s="1"/>
  <c r="S23" i="3"/>
  <c r="T23" i="3" s="1"/>
  <c r="S48" i="3"/>
  <c r="T48" i="3" s="1"/>
  <c r="S43" i="3"/>
  <c r="T43" i="3" s="1"/>
  <c r="S19" i="3"/>
  <c r="T19" i="3" s="1"/>
  <c r="S20" i="3"/>
  <c r="T20" i="3" s="1"/>
  <c r="S44" i="3"/>
  <c r="T44" i="3" s="1"/>
  <c r="S46" i="3"/>
  <c r="S21" i="3"/>
  <c r="T21" i="3" s="1"/>
  <c r="S45" i="3"/>
  <c r="S18" i="3"/>
  <c r="T18" i="3" s="1"/>
  <c r="S63" i="3"/>
  <c r="S17" i="3"/>
  <c r="T17" i="3" s="1"/>
  <c r="S41" i="3"/>
  <c r="S15" i="3"/>
  <c r="T15" i="3" s="1"/>
  <c r="S61" i="3"/>
  <c r="T61" i="3" s="1"/>
  <c r="S16" i="3"/>
  <c r="T16" i="3" s="1"/>
  <c r="S39" i="3"/>
  <c r="T39" i="3" s="1"/>
  <c r="S66" i="3"/>
  <c r="S10" i="3"/>
  <c r="T10" i="3" s="1"/>
  <c r="S37" i="3"/>
  <c r="T37" i="3" s="1"/>
  <c r="S11" i="3"/>
  <c r="T11" i="3" s="1"/>
  <c r="S56" i="3"/>
  <c r="S13" i="3"/>
  <c r="T13" i="3" s="1"/>
  <c r="S32" i="3"/>
  <c r="T32" i="3" s="1"/>
  <c r="S14" i="3"/>
  <c r="T14" i="3" s="1"/>
  <c r="S8" i="3"/>
  <c r="T8" i="3" s="1"/>
  <c r="S9" i="3"/>
  <c r="T9" i="3" s="1"/>
  <c r="S33" i="3"/>
  <c r="T33" i="3" s="1"/>
  <c r="S60" i="3"/>
  <c r="T60" i="3" s="1"/>
  <c r="S34" i="3"/>
  <c r="S29" i="3"/>
  <c r="T29" i="3" s="1"/>
  <c r="S53" i="3"/>
  <c r="S35" i="3"/>
  <c r="T35" i="3" s="1"/>
  <c r="S7" i="3"/>
  <c r="T7" i="3" s="1"/>
  <c r="S22" i="3"/>
  <c r="T12" i="3"/>
  <c r="S24" i="3"/>
  <c r="S69" i="3"/>
  <c r="S58" i="3"/>
  <c r="S31" i="3"/>
  <c r="S59" i="3"/>
  <c r="S71" i="3"/>
  <c r="S52" i="3"/>
  <c r="S73" i="3"/>
  <c r="S54" i="3"/>
  <c r="S77" i="3"/>
  <c r="T78" i="3"/>
  <c r="S50" i="3"/>
  <c r="S76" i="3"/>
  <c r="T75" i="3"/>
  <c r="T49" i="3"/>
  <c r="S47" i="3"/>
  <c r="S67" i="3"/>
  <c r="S72" i="3"/>
  <c r="T46" i="3"/>
  <c r="S70" i="3"/>
  <c r="T45" i="3"/>
  <c r="S42" i="3"/>
  <c r="S64" i="3"/>
  <c r="T63" i="3"/>
  <c r="T41" i="3"/>
  <c r="S40" i="3"/>
  <c r="S62" i="3"/>
  <c r="S38" i="3"/>
  <c r="S65" i="3"/>
  <c r="T66" i="3"/>
  <c r="S55" i="3"/>
  <c r="T56" i="3"/>
  <c r="S57" i="3"/>
  <c r="T34" i="3"/>
  <c r="T53" i="3"/>
  <c r="S36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H56" i="3"/>
  <c r="BG78" i="3" l="1"/>
  <c r="BH74" i="3" s="1"/>
  <c r="BG66" i="3"/>
  <c r="BH62" i="3" s="1"/>
  <c r="BG48" i="3"/>
  <c r="BH44" i="3" s="1"/>
  <c r="BG60" i="3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7" i="3"/>
  <c r="BH58" i="3"/>
  <c r="BH59" i="3"/>
  <c r="BH23" i="3" l="1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60" i="3"/>
  <c r="BI56" i="3" s="1"/>
  <c r="AP56" i="3" s="1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0" i="3" l="1"/>
  <c r="AP20" i="3" s="1"/>
  <c r="BI26" i="3"/>
  <c r="AP26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12" i="3" l="1"/>
  <c r="AR8" i="3" s="1"/>
  <c r="AP72" i="3"/>
  <c r="AR68" i="3" s="1"/>
  <c r="AP36" i="3"/>
  <c r="AR32" i="3" s="1"/>
  <c r="AP30" i="3"/>
  <c r="AR26" i="3" s="1"/>
  <c r="AP78" i="3"/>
  <c r="AR74" i="3" s="1"/>
  <c r="AP24" i="3"/>
  <c r="AR20" i="3" s="1"/>
  <c r="AR58" i="3"/>
  <c r="AR59" i="3"/>
  <c r="AR56" i="3"/>
  <c r="AP42" i="3"/>
  <c r="AR38" i="3" s="1"/>
  <c r="AP66" i="3"/>
  <c r="AR62" i="3" s="1"/>
  <c r="AP48" i="3"/>
  <c r="AR44" i="3" s="1"/>
  <c r="AP18" i="3"/>
  <c r="AR14" i="3" s="1"/>
  <c r="AP54" i="3"/>
  <c r="AR50" i="3" s="1"/>
  <c r="AD58" i="3" l="1"/>
  <c r="AD57" i="3"/>
  <c r="AR10" i="3"/>
  <c r="AR11" i="3"/>
  <c r="AR9" i="3"/>
  <c r="AR76" i="3"/>
  <c r="AR77" i="3"/>
  <c r="AR27" i="3"/>
  <c r="AR70" i="3"/>
  <c r="AR69" i="3"/>
  <c r="AR71" i="3"/>
  <c r="AR28" i="3"/>
  <c r="AR29" i="3"/>
  <c r="AR75" i="3"/>
  <c r="AR41" i="3"/>
  <c r="AR22" i="3"/>
  <c r="AR33" i="3"/>
  <c r="AR35" i="3"/>
  <c r="AR34" i="3"/>
  <c r="AR65" i="3"/>
  <c r="AR40" i="3"/>
  <c r="AR21" i="3"/>
  <c r="AR23" i="3"/>
  <c r="AR51" i="3"/>
  <c r="AR52" i="3"/>
  <c r="AR53" i="3"/>
  <c r="AR46" i="3"/>
  <c r="AR15" i="3"/>
  <c r="AR45" i="3"/>
  <c r="AR63" i="3"/>
  <c r="AR47" i="3"/>
  <c r="AR64" i="3"/>
  <c r="AR39" i="3"/>
  <c r="AD56" i="3"/>
  <c r="AR16" i="3"/>
  <c r="AR17" i="3"/>
  <c r="AD59" i="3"/>
  <c r="N58" i="3" l="1"/>
  <c r="AD11" i="3"/>
  <c r="AD9" i="3"/>
  <c r="AD8" i="3"/>
  <c r="AD10" i="3"/>
  <c r="L58" i="3"/>
  <c r="AD75" i="3"/>
  <c r="AD74" i="3"/>
  <c r="AD14" i="3"/>
  <c r="AD15" i="3"/>
  <c r="AD68" i="3"/>
  <c r="AD70" i="3"/>
  <c r="AD69" i="3"/>
  <c r="AD76" i="3"/>
  <c r="AD20" i="3"/>
  <c r="AD77" i="3"/>
  <c r="AD71" i="3"/>
  <c r="AD28" i="3"/>
  <c r="AD34" i="3"/>
  <c r="AD32" i="3"/>
  <c r="AD29" i="3"/>
  <c r="AD33" i="3"/>
  <c r="AD26" i="3"/>
  <c r="AD27" i="3"/>
  <c r="M58" i="3"/>
  <c r="AD35" i="3"/>
  <c r="O60" i="3"/>
  <c r="M59" i="3"/>
  <c r="AD63" i="3"/>
  <c r="AD53" i="3"/>
  <c r="AD44" i="3"/>
  <c r="AD22" i="3"/>
  <c r="L59" i="3"/>
  <c r="AD41" i="3"/>
  <c r="AD62" i="3"/>
  <c r="AD21" i="3"/>
  <c r="AD47" i="3"/>
  <c r="AD39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BS45" i="3" s="1"/>
  <c r="BZ48" i="3" s="1"/>
  <c r="O59" i="3"/>
  <c r="AD45" i="3"/>
  <c r="AD40" i="3"/>
  <c r="AD52" i="3"/>
  <c r="AD38" i="3"/>
  <c r="AD50" i="3"/>
  <c r="N59" i="3"/>
  <c r="AD17" i="3"/>
  <c r="O69" i="3" l="1"/>
  <c r="N39" i="3"/>
  <c r="J75" i="3"/>
  <c r="AS74" i="3" s="1"/>
  <c r="BL54" i="3" s="1"/>
  <c r="O63" i="3"/>
  <c r="N51" i="3"/>
  <c r="O76" i="3"/>
  <c r="O12" i="3"/>
  <c r="N75" i="3"/>
  <c r="L33" i="3"/>
  <c r="O18" i="3"/>
  <c r="J18" i="3"/>
  <c r="O75" i="3"/>
  <c r="L75" i="3"/>
  <c r="M78" i="3"/>
  <c r="J76" i="3"/>
  <c r="AS75" i="3" s="1"/>
  <c r="BL27" i="3" s="1"/>
  <c r="N9" i="3"/>
  <c r="N10" i="3"/>
  <c r="O9" i="3"/>
  <c r="N12" i="3"/>
  <c r="J12" i="3"/>
  <c r="M21" i="3"/>
  <c r="M12" i="3"/>
  <c r="M9" i="3"/>
  <c r="L9" i="3"/>
  <c r="J9" i="3"/>
  <c r="AS8" i="3" s="1"/>
  <c r="BL50" i="3" s="1"/>
  <c r="L12" i="3"/>
  <c r="N71" i="3"/>
  <c r="O11" i="3"/>
  <c r="J10" i="3"/>
  <c r="AS9" i="3" s="1"/>
  <c r="BL18" i="3" s="1"/>
  <c r="N72" i="3"/>
  <c r="N11" i="3"/>
  <c r="O16" i="3"/>
  <c r="M11" i="3"/>
  <c r="L11" i="3"/>
  <c r="O10" i="3"/>
  <c r="L71" i="3"/>
  <c r="L10" i="3"/>
  <c r="M75" i="3"/>
  <c r="L69" i="3"/>
  <c r="J11" i="3"/>
  <c r="AE80" i="3" s="1"/>
  <c r="AQ80" i="3" s="1"/>
  <c r="N30" i="3"/>
  <c r="L76" i="3"/>
  <c r="M10" i="3"/>
  <c r="M63" i="3"/>
  <c r="J77" i="3"/>
  <c r="AE91" i="3" s="1"/>
  <c r="AQ91" i="3" s="1"/>
  <c r="P58" i="3"/>
  <c r="M76" i="3"/>
  <c r="M18" i="3"/>
  <c r="M77" i="3"/>
  <c r="J78" i="3"/>
  <c r="O77" i="3"/>
  <c r="N76" i="3"/>
  <c r="O78" i="3"/>
  <c r="N18" i="3"/>
  <c r="L78" i="3"/>
  <c r="N77" i="3"/>
  <c r="N78" i="3"/>
  <c r="L17" i="3"/>
  <c r="P59" i="3"/>
  <c r="K58" i="3"/>
  <c r="L18" i="3"/>
  <c r="N21" i="3"/>
  <c r="N16" i="3"/>
  <c r="L77" i="3"/>
  <c r="M30" i="3"/>
  <c r="M71" i="3"/>
  <c r="J28" i="3"/>
  <c r="AS27" i="3" s="1"/>
  <c r="BL62" i="3" s="1"/>
  <c r="N69" i="3"/>
  <c r="J21" i="3"/>
  <c r="AS20" i="3" s="1"/>
  <c r="BL42" i="3" s="1"/>
  <c r="BS44" i="3" s="1"/>
  <c r="M69" i="3"/>
  <c r="O71" i="3"/>
  <c r="N29" i="3"/>
  <c r="J16" i="3"/>
  <c r="AS15" i="3" s="1"/>
  <c r="BL19" i="3" s="1"/>
  <c r="J69" i="3"/>
  <c r="AS68" i="3" s="1"/>
  <c r="BL70" i="3" s="1"/>
  <c r="L36" i="3"/>
  <c r="M16" i="3"/>
  <c r="J71" i="3"/>
  <c r="AE90" i="3" s="1"/>
  <c r="AQ90" i="3" s="1"/>
  <c r="N70" i="3"/>
  <c r="O33" i="3"/>
  <c r="O70" i="3"/>
  <c r="O72" i="3"/>
  <c r="L16" i="3"/>
  <c r="J70" i="3"/>
  <c r="AS69" i="3" s="1"/>
  <c r="BL26" i="3" s="1"/>
  <c r="J72" i="3"/>
  <c r="M33" i="3"/>
  <c r="L42" i="3"/>
  <c r="J34" i="3"/>
  <c r="AS33" i="3" s="1"/>
  <c r="BL46" i="3" s="1"/>
  <c r="N33" i="3"/>
  <c r="M70" i="3"/>
  <c r="N34" i="3"/>
  <c r="J33" i="3"/>
  <c r="AS32" i="3" s="1"/>
  <c r="BL10" i="3" s="1"/>
  <c r="N36" i="3"/>
  <c r="J29" i="3"/>
  <c r="AE83" i="3" s="1"/>
  <c r="AQ83" i="3" s="1"/>
  <c r="L70" i="3"/>
  <c r="M36" i="3"/>
  <c r="J41" i="3"/>
  <c r="AE85" i="3" s="1"/>
  <c r="AQ85" i="3" s="1"/>
  <c r="O34" i="3"/>
  <c r="M72" i="3"/>
  <c r="L72" i="3"/>
  <c r="L35" i="3"/>
  <c r="M27" i="3"/>
  <c r="O21" i="3"/>
  <c r="O65" i="3"/>
  <c r="M34" i="3"/>
  <c r="O30" i="3"/>
  <c r="M29" i="3"/>
  <c r="M22" i="3"/>
  <c r="N63" i="3"/>
  <c r="M28" i="3"/>
  <c r="J27" i="3"/>
  <c r="AS26" i="3" s="1"/>
  <c r="BL34" i="3" s="1"/>
  <c r="L21" i="3"/>
  <c r="O54" i="3"/>
  <c r="L22" i="3"/>
  <c r="K59" i="3"/>
  <c r="J30" i="3"/>
  <c r="L34" i="3"/>
  <c r="L28" i="3"/>
  <c r="J22" i="3"/>
  <c r="AS21" i="3" s="1"/>
  <c r="BL23" i="3" s="1"/>
  <c r="N40" i="3"/>
  <c r="O35" i="3"/>
  <c r="J35" i="3"/>
  <c r="AE84" i="3" s="1"/>
  <c r="AQ84" i="3" s="1"/>
  <c r="L27" i="3"/>
  <c r="N22" i="3"/>
  <c r="L30" i="3"/>
  <c r="L29" i="3"/>
  <c r="O27" i="3"/>
  <c r="L52" i="3"/>
  <c r="AT88" i="3"/>
  <c r="N35" i="3"/>
  <c r="M35" i="3"/>
  <c r="J36" i="3"/>
  <c r="O28" i="3"/>
  <c r="N27" i="3"/>
  <c r="AJ88" i="3"/>
  <c r="N66" i="3"/>
  <c r="L24" i="3"/>
  <c r="O39" i="3"/>
  <c r="J39" i="3"/>
  <c r="AS38" i="3" s="1"/>
  <c r="BL22" i="3" s="1"/>
  <c r="O36" i="3"/>
  <c r="N28" i="3"/>
  <c r="O29" i="3"/>
  <c r="N46" i="3"/>
  <c r="AI88" i="3"/>
  <c r="AG88" i="3"/>
  <c r="M47" i="3"/>
  <c r="N17" i="3"/>
  <c r="L47" i="3"/>
  <c r="N65" i="3"/>
  <c r="L63" i="3"/>
  <c r="L45" i="3"/>
  <c r="J45" i="3"/>
  <c r="AS44" i="3" s="1"/>
  <c r="BL38" i="3" s="1"/>
  <c r="O17" i="3"/>
  <c r="AH88" i="3"/>
  <c r="N47" i="3"/>
  <c r="M17" i="3"/>
  <c r="N48" i="3"/>
  <c r="L65" i="3"/>
  <c r="N54" i="3"/>
  <c r="O47" i="3"/>
  <c r="J48" i="3"/>
  <c r="O22" i="3"/>
  <c r="J17" i="3"/>
  <c r="AE81" i="3" s="1"/>
  <c r="AQ81" i="3" s="1"/>
  <c r="L15" i="3"/>
  <c r="J64" i="3"/>
  <c r="AS63" i="3" s="1"/>
  <c r="BL31" i="3" s="1"/>
  <c r="M24" i="3"/>
  <c r="O45" i="3"/>
  <c r="J63" i="3"/>
  <c r="AS62" i="3" s="1"/>
  <c r="BL58" i="3" s="1"/>
  <c r="BS60" i="3" s="1"/>
  <c r="BZ64" i="3" s="1"/>
  <c r="O64" i="3"/>
  <c r="J52" i="3"/>
  <c r="AS51" i="3" s="1"/>
  <c r="BL59" i="3" s="1"/>
  <c r="N45" i="3"/>
  <c r="J65" i="3"/>
  <c r="AE89" i="3" s="1"/>
  <c r="AQ89" i="3" s="1"/>
  <c r="N64" i="3"/>
  <c r="M45" i="3"/>
  <c r="O24" i="3"/>
  <c r="AN88" i="3"/>
  <c r="N53" i="3"/>
  <c r="K57" i="3"/>
  <c r="M41" i="3"/>
  <c r="M65" i="3"/>
  <c r="J47" i="3"/>
  <c r="AE86" i="3" s="1"/>
  <c r="AQ86" i="3" s="1"/>
  <c r="O66" i="3"/>
  <c r="AL88" i="3"/>
  <c r="O46" i="3"/>
  <c r="O41" i="3"/>
  <c r="J66" i="3"/>
  <c r="J53" i="3"/>
  <c r="AE87" i="3" s="1"/>
  <c r="AQ87" i="3" s="1"/>
  <c r="L51" i="3"/>
  <c r="L46" i="3"/>
  <c r="M42" i="3"/>
  <c r="M40" i="3"/>
  <c r="J40" i="3"/>
  <c r="AS39" i="3" s="1"/>
  <c r="BL43" i="3" s="1"/>
  <c r="M23" i="3"/>
  <c r="J42" i="3"/>
  <c r="O52" i="3"/>
  <c r="M39" i="3"/>
  <c r="O23" i="3"/>
  <c r="L53" i="3"/>
  <c r="L54" i="3"/>
  <c r="M51" i="3"/>
  <c r="M66" i="3"/>
  <c r="M54" i="3"/>
  <c r="L66" i="3"/>
  <c r="L64" i="3"/>
  <c r="N52" i="3"/>
  <c r="J51" i="3"/>
  <c r="AS50" i="3" s="1"/>
  <c r="BL30" i="3" s="1"/>
  <c r="L48" i="3"/>
  <c r="N41" i="3"/>
  <c r="O40" i="3"/>
  <c r="J23" i="3"/>
  <c r="AE82" i="3" s="1"/>
  <c r="AQ82" i="3" s="1"/>
  <c r="M64" i="3"/>
  <c r="L39" i="3"/>
  <c r="O51" i="3"/>
  <c r="M52" i="3"/>
  <c r="M48" i="3"/>
  <c r="O48" i="3"/>
  <c r="J46" i="3"/>
  <c r="AS45" i="3" s="1"/>
  <c r="BL63" i="3" s="1"/>
  <c r="O42" i="3"/>
  <c r="L41" i="3"/>
  <c r="N23" i="3"/>
  <c r="N24" i="3"/>
  <c r="J24" i="3"/>
  <c r="L23" i="3"/>
  <c r="O53" i="3"/>
  <c r="M53" i="3"/>
  <c r="M46" i="3"/>
  <c r="J54" i="3"/>
  <c r="L40" i="3"/>
  <c r="AF88" i="3"/>
  <c r="P57" i="3"/>
  <c r="N15" i="3"/>
  <c r="N42" i="3"/>
  <c r="P60" i="3"/>
  <c r="K60" i="3"/>
  <c r="M15" i="3"/>
  <c r="O15" i="3"/>
  <c r="J15" i="3"/>
  <c r="AS14" i="3" s="1"/>
  <c r="BL66" i="3" s="1"/>
  <c r="AF91" i="3"/>
  <c r="BS61" i="3" l="1"/>
  <c r="S91" i="3"/>
  <c r="T91" i="3" s="1" a="1"/>
  <c r="T91" i="3" s="1"/>
  <c r="BS37" i="3"/>
  <c r="S86" i="3"/>
  <c r="T86" i="3" s="1" a="1"/>
  <c r="T86" i="3" s="1"/>
  <c r="BS28" i="3"/>
  <c r="S87" i="3"/>
  <c r="T87" i="3" s="1" a="1"/>
  <c r="T87" i="3" s="1"/>
  <c r="BS29" i="3"/>
  <c r="S89" i="3"/>
  <c r="T89" i="3" s="1" a="1"/>
  <c r="T89" i="3" s="1"/>
  <c r="BS21" i="3"/>
  <c r="S88" i="3"/>
  <c r="T88" i="3" s="1" a="1"/>
  <c r="T88" i="3" s="1"/>
  <c r="BS20" i="3"/>
  <c r="P41" i="3"/>
  <c r="P28" i="3"/>
  <c r="AH91" i="3"/>
  <c r="AF90" i="3"/>
  <c r="AN91" i="3"/>
  <c r="AJ91" i="3"/>
  <c r="AI91" i="3"/>
  <c r="AH84" i="3"/>
  <c r="AG91" i="3"/>
  <c r="P75" i="3"/>
  <c r="P33" i="3"/>
  <c r="AT91" i="3"/>
  <c r="AL91" i="3"/>
  <c r="K21" i="3"/>
  <c r="AI81" i="3"/>
  <c r="P70" i="3"/>
  <c r="K78" i="3"/>
  <c r="P9" i="3"/>
  <c r="K75" i="3"/>
  <c r="AN84" i="3"/>
  <c r="P76" i="3"/>
  <c r="P11" i="3"/>
  <c r="P12" i="3"/>
  <c r="AL80" i="3"/>
  <c r="AN81" i="3"/>
  <c r="AL81" i="3"/>
  <c r="AF84" i="3"/>
  <c r="P10" i="3"/>
  <c r="K12" i="3"/>
  <c r="AH81" i="3"/>
  <c r="P21" i="3"/>
  <c r="K11" i="3"/>
  <c r="AF81" i="3"/>
  <c r="AL83" i="3"/>
  <c r="AT81" i="3"/>
  <c r="P30" i="3"/>
  <c r="AJ86" i="3"/>
  <c r="P69" i="3"/>
  <c r="P78" i="3"/>
  <c r="AJ84" i="3"/>
  <c r="K30" i="3"/>
  <c r="P16" i="3"/>
  <c r="P77" i="3"/>
  <c r="K77" i="3"/>
  <c r="K9" i="3"/>
  <c r="P34" i="3"/>
  <c r="K69" i="3"/>
  <c r="K76" i="3"/>
  <c r="P71" i="3"/>
  <c r="AI80" i="3"/>
  <c r="AH80" i="3"/>
  <c r="AF80" i="3"/>
  <c r="K10" i="3"/>
  <c r="AJ80" i="3"/>
  <c r="AG80" i="3"/>
  <c r="AT80" i="3"/>
  <c r="AN80" i="3"/>
  <c r="AH86" i="3"/>
  <c r="AI86" i="3"/>
  <c r="AF86" i="3"/>
  <c r="K16" i="3"/>
  <c r="AG85" i="3"/>
  <c r="K71" i="3"/>
  <c r="AN86" i="3"/>
  <c r="P63" i="3"/>
  <c r="P18" i="3"/>
  <c r="P35" i="3"/>
  <c r="AG86" i="3"/>
  <c r="K29" i="3"/>
  <c r="P27" i="3"/>
  <c r="AT86" i="3"/>
  <c r="AL87" i="3"/>
  <c r="AL86" i="3"/>
  <c r="AJ83" i="3"/>
  <c r="AT90" i="3"/>
  <c r="K18" i="3"/>
  <c r="AG83" i="3"/>
  <c r="AJ89" i="3"/>
  <c r="AL90" i="3"/>
  <c r="P29" i="3"/>
  <c r="AJ90" i="3"/>
  <c r="AI90" i="3"/>
  <c r="AI83" i="3"/>
  <c r="AN90" i="3"/>
  <c r="AT83" i="3"/>
  <c r="K28" i="3"/>
  <c r="AH90" i="3"/>
  <c r="K36" i="3"/>
  <c r="AN83" i="3"/>
  <c r="AG90" i="3"/>
  <c r="P40" i="3"/>
  <c r="K34" i="3"/>
  <c r="K64" i="3"/>
  <c r="P65" i="3"/>
  <c r="K17" i="3"/>
  <c r="P47" i="3"/>
  <c r="K22" i="3"/>
  <c r="K72" i="3"/>
  <c r="P36" i="3"/>
  <c r="K35" i="3"/>
  <c r="AN85" i="3"/>
  <c r="P72" i="3"/>
  <c r="P24" i="3"/>
  <c r="K33" i="3"/>
  <c r="P17" i="3"/>
  <c r="AL85" i="3"/>
  <c r="AN89" i="3"/>
  <c r="K39" i="3"/>
  <c r="AF85" i="3"/>
  <c r="AT85" i="3"/>
  <c r="AJ85" i="3"/>
  <c r="AI85" i="3"/>
  <c r="AH85" i="3"/>
  <c r="P22" i="3"/>
  <c r="K70" i="3"/>
  <c r="AF83" i="3"/>
  <c r="AT84" i="3"/>
  <c r="P39" i="3"/>
  <c r="AL89" i="3"/>
  <c r="K15" i="3"/>
  <c r="K47" i="3"/>
  <c r="K27" i="3"/>
  <c r="AL84" i="3"/>
  <c r="AI89" i="3"/>
  <c r="AH89" i="3"/>
  <c r="K51" i="3"/>
  <c r="AI84" i="3"/>
  <c r="AG89" i="3"/>
  <c r="P48" i="3"/>
  <c r="AF89" i="3"/>
  <c r="AH83" i="3"/>
  <c r="AG84" i="3"/>
  <c r="AT89" i="3"/>
  <c r="P15" i="3"/>
  <c r="AT87" i="3"/>
  <c r="AI87" i="3"/>
  <c r="AJ81" i="3"/>
  <c r="AG87" i="3"/>
  <c r="P66" i="3"/>
  <c r="AF87" i="3"/>
  <c r="AG81" i="3"/>
  <c r="AN87" i="3"/>
  <c r="K52" i="3"/>
  <c r="K53" i="3"/>
  <c r="K42" i="3"/>
  <c r="K45" i="3"/>
  <c r="K24" i="3"/>
  <c r="K65" i="3"/>
  <c r="AJ87" i="3"/>
  <c r="K40" i="3"/>
  <c r="AH87" i="3"/>
  <c r="P46" i="3"/>
  <c r="K54" i="3"/>
  <c r="K41" i="3"/>
  <c r="P52" i="3"/>
  <c r="P53" i="3"/>
  <c r="K23" i="3"/>
  <c r="P42" i="3"/>
  <c r="K66" i="3"/>
  <c r="AJ82" i="3"/>
  <c r="P23" i="3"/>
  <c r="K48" i="3"/>
  <c r="P54" i="3"/>
  <c r="K46" i="3"/>
  <c r="AT82" i="3"/>
  <c r="AN82" i="3"/>
  <c r="AI82" i="3"/>
  <c r="AH82" i="3"/>
  <c r="K63" i="3"/>
  <c r="AG82" i="3"/>
  <c r="P45" i="3"/>
  <c r="P64" i="3"/>
  <c r="AF82" i="3"/>
  <c r="P51" i="3"/>
  <c r="AL82" i="3"/>
  <c r="S98" i="3" l="1"/>
  <c r="T98" i="3" s="1" a="1"/>
  <c r="T98" i="3" s="1"/>
  <c r="BZ33" i="3"/>
  <c r="U103" i="3" s="1"/>
  <c r="AC103" i="3" s="1" a="1"/>
  <c r="AC103" i="3" s="1"/>
  <c r="S97" i="3"/>
  <c r="T97" i="3" s="1" a="1"/>
  <c r="T97" i="3" s="1"/>
  <c r="BZ32" i="3"/>
  <c r="BZ17" i="3"/>
  <c r="U102" i="3" s="1"/>
  <c r="AC102" i="3" s="1" a="1"/>
  <c r="AC102" i="3" s="1"/>
  <c r="S96" i="3"/>
  <c r="T96" i="3" s="1" a="1"/>
  <c r="T96" i="3" s="1"/>
  <c r="AF92" i="3"/>
  <c r="AG92" i="3"/>
  <c r="AI92" i="3"/>
  <c r="AN92" i="3"/>
  <c r="AH92" i="3"/>
  <c r="AL92" i="3"/>
  <c r="AM88" i="3" s="1"/>
  <c r="AS92" i="3"/>
  <c r="AJ92" i="3"/>
  <c r="S103" i="3" l="1"/>
  <c r="T103" i="3" s="1" a="1"/>
  <c r="T103" i="3" s="1"/>
  <c r="CG24" i="3"/>
  <c r="S111" i="3" s="1"/>
  <c r="T111" i="3" s="1"/>
  <c r="AM85" i="3"/>
  <c r="AM83" i="3"/>
  <c r="AM87" i="3"/>
  <c r="AM81" i="3"/>
  <c r="AM86" i="3"/>
  <c r="AM80" i="3"/>
  <c r="AM90" i="3"/>
  <c r="AM82" i="3"/>
  <c r="AM84" i="3"/>
  <c r="AM91" i="3"/>
  <c r="AM89" i="3"/>
  <c r="S85" i="3"/>
  <c r="T85" i="3" s="1" a="1"/>
  <c r="T85" i="3" s="1"/>
  <c r="BS13" i="3"/>
  <c r="S84" i="3"/>
  <c r="T84" i="3" s="1" a="1"/>
  <c r="T84" i="3" s="1"/>
  <c r="BS12" i="3"/>
  <c r="AM92" i="3" l="1"/>
  <c r="AP87" i="3" s="1"/>
  <c r="BZ16" i="3"/>
  <c r="S95" i="3"/>
  <c r="T95" i="3" s="1" a="1"/>
  <c r="T95" i="3" s="1"/>
  <c r="S102" i="3" l="1"/>
  <c r="T102" i="3" s="1" a="1"/>
  <c r="T102" i="3" s="1"/>
  <c r="CG23" i="3"/>
  <c r="AP84" i="3"/>
  <c r="AP89" i="3"/>
  <c r="AP86" i="3"/>
  <c r="AP91" i="3"/>
  <c r="AP81" i="3"/>
  <c r="AP88" i="3"/>
  <c r="AP90" i="3"/>
  <c r="AP80" i="3"/>
  <c r="AP85" i="3"/>
  <c r="AP83" i="3"/>
  <c r="AP82" i="3"/>
  <c r="CN37" i="3" l="1"/>
  <c r="CK68" i="3" s="1"/>
  <c r="CN48" i="3"/>
  <c r="AD87" i="3"/>
  <c r="AS87" i="3" s="1"/>
  <c r="AD90" i="3"/>
  <c r="AS90" i="3" s="1"/>
  <c r="AD88" i="3"/>
  <c r="AS88" i="3" s="1"/>
  <c r="AD85" i="3"/>
  <c r="AS85" i="3" s="1"/>
  <c r="AD82" i="3"/>
  <c r="AS82" i="3" s="1"/>
  <c r="AD80" i="3"/>
  <c r="AR80" i="3" s="1"/>
  <c r="AD89" i="3"/>
  <c r="AS89" i="3" s="1"/>
  <c r="AD84" i="3"/>
  <c r="AS84" i="3" s="1"/>
  <c r="AD91" i="3"/>
  <c r="AS91" i="3" s="1"/>
  <c r="AD83" i="3"/>
  <c r="AS83" i="3" s="1"/>
  <c r="AD81" i="3"/>
  <c r="AS81" i="3" s="1"/>
  <c r="AD86" i="3"/>
  <c r="AS86" i="3" s="1"/>
  <c r="O81" i="3" l="1"/>
  <c r="AR81" i="3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J89" i="3"/>
  <c r="J81" i="3"/>
  <c r="O89" i="3"/>
  <c r="N81" i="3"/>
  <c r="M89" i="3"/>
  <c r="M91" i="3"/>
  <c r="M81" i="3"/>
  <c r="AS80" i="3"/>
  <c r="J91" i="3"/>
  <c r="O91" i="3"/>
  <c r="L81" i="3"/>
  <c r="N89" i="3"/>
  <c r="L89" i="3"/>
  <c r="J82" i="3"/>
  <c r="N88" i="3"/>
  <c r="L91" i="3"/>
  <c r="J90" i="3"/>
  <c r="J84" i="3"/>
  <c r="J85" i="3"/>
  <c r="J83" i="3"/>
  <c r="N91" i="3"/>
  <c r="L83" i="3"/>
  <c r="O92" i="3"/>
  <c r="O83" i="3"/>
  <c r="O85" i="3"/>
  <c r="M92" i="3"/>
  <c r="M84" i="3"/>
  <c r="L92" i="3"/>
  <c r="L82" i="3"/>
  <c r="N85" i="3"/>
  <c r="N90" i="3"/>
  <c r="L87" i="3"/>
  <c r="L90" i="3"/>
  <c r="J87" i="3"/>
  <c r="L88" i="3"/>
  <c r="M88" i="3"/>
  <c r="J88" i="3"/>
  <c r="O87" i="3"/>
  <c r="N86" i="3"/>
  <c r="N83" i="3"/>
  <c r="O84" i="3"/>
  <c r="M86" i="3"/>
  <c r="L86" i="3"/>
  <c r="O86" i="3"/>
  <c r="J86" i="3"/>
  <c r="M85" i="3"/>
  <c r="J92" i="3"/>
  <c r="N92" i="3"/>
  <c r="L84" i="3"/>
  <c r="O82" i="3"/>
  <c r="L85" i="3"/>
  <c r="M82" i="3"/>
  <c r="M90" i="3"/>
  <c r="M83" i="3"/>
  <c r="O88" i="3"/>
  <c r="N82" i="3"/>
  <c r="M87" i="3"/>
  <c r="N87" i="3"/>
  <c r="O90" i="3"/>
  <c r="N84" i="3"/>
  <c r="S90" i="3" l="1"/>
  <c r="T90" i="3" s="1" a="1"/>
  <c r="T90" i="3" s="1"/>
  <c r="BS36" i="3"/>
  <c r="K89" i="3"/>
  <c r="P91" i="3"/>
  <c r="P89" i="3"/>
  <c r="P81" i="3"/>
  <c r="P90" i="3"/>
  <c r="K81" i="3"/>
  <c r="K87" i="3"/>
  <c r="J3" i="4"/>
  <c r="BL71" i="3" s="1"/>
  <c r="G3" i="4"/>
  <c r="BL11" i="3" s="1"/>
  <c r="H3" i="4"/>
  <c r="BL39" i="3" s="1"/>
  <c r="B3" i="4"/>
  <c r="I3" i="4"/>
  <c r="BL15" i="3" s="1"/>
  <c r="K3" i="4"/>
  <c r="BL55" i="3" s="1"/>
  <c r="BS53" i="3" s="1"/>
  <c r="E3" i="4"/>
  <c r="BL67" i="3" s="1"/>
  <c r="D3" i="4"/>
  <c r="BL51" i="3" s="1"/>
  <c r="K83" i="3"/>
  <c r="K91" i="3"/>
  <c r="K82" i="3"/>
  <c r="K92" i="3"/>
  <c r="K86" i="3"/>
  <c r="K84" i="3"/>
  <c r="P83" i="3"/>
  <c r="P87" i="3"/>
  <c r="P84" i="3"/>
  <c r="P86" i="3"/>
  <c r="P92" i="3"/>
  <c r="P85" i="3"/>
  <c r="P88" i="3"/>
  <c r="P82" i="3"/>
  <c r="K85" i="3"/>
  <c r="K88" i="3"/>
  <c r="K90" i="3"/>
  <c r="BS52" i="3"/>
  <c r="BZ49" i="3" s="1"/>
  <c r="CG55" i="3" s="1"/>
  <c r="CN38" i="3" s="1"/>
  <c r="BS69" i="3"/>
  <c r="BZ65" i="3" s="1"/>
  <c r="CG56" i="3" s="1"/>
  <c r="CN49" i="3" s="1"/>
  <c r="BS68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<sst xmlns="http://schemas.openxmlformats.org/spreadsheetml/2006/main" count="9786" uniqueCount="3698">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</sst>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</cellXfs>
  <cellStyles count="3">
    <cellStyle name="Hyperlink" xfId="1" builtinId="8"/>
    <cellStyle name="Normal" xfId="0" builtinId="0"/>
    <cellStyle name="Note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ColWidth="14" defaultRowHeight="14.5" x14ac:dyDescent="0.35"/>
  <cols>
    <col min="1" max="1" width="24.1796875" bestFit="1" customWidth="1"/>
    <col min="2" max="42" width="14" customWidth="1"/>
  </cols>
  <sheetData>
    <row r="1" spans="1:4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35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35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35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35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35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35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35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35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35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35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35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35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35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35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35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35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35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35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35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35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35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35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35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35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35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35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35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35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35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35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35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35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35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35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35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35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35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35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35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35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35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35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35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35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35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35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35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35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35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35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35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35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35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35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35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35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35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35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35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35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35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35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35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35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35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35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35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35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35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35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35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35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35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35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35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35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35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35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35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35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35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35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35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35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35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35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35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35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35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35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35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35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35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35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35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35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35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35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35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35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35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35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35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35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35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35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35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35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35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35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35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35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35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35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35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35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35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35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35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35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35">
      <c r="A145" s="1"/>
    </row>
    <row r="146" spans="1:42" x14ac:dyDescent="0.35">
      <c r="A146" s="1"/>
    </row>
    <row r="147" spans="1:42" x14ac:dyDescent="0.35">
      <c r="A147" s="1"/>
    </row>
    <row r="148" spans="1:42" x14ac:dyDescent="0.35">
      <c r="A148" s="1"/>
    </row>
    <row r="149" spans="1:42" x14ac:dyDescent="0.35">
      <c r="A149" s="1"/>
    </row>
    <row r="150" spans="1:42" x14ac:dyDescent="0.35">
      <c r="A150" s="1"/>
    </row>
    <row r="151" spans="1:42" x14ac:dyDescent="0.35">
      <c r="A151" s="1"/>
    </row>
    <row r="152" spans="1:42" x14ac:dyDescent="0.35">
      <c r="A152" s="1"/>
    </row>
    <row r="153" spans="1:42" x14ac:dyDescent="0.35">
      <c r="A153" s="1"/>
    </row>
    <row r="154" spans="1:42" x14ac:dyDescent="0.35">
      <c r="A154" s="1"/>
    </row>
    <row r="155" spans="1:42" x14ac:dyDescent="0.35">
      <c r="A155" s="1"/>
    </row>
    <row r="156" spans="1:42" x14ac:dyDescent="0.35">
      <c r="A156" s="1"/>
    </row>
    <row r="157" spans="1:42" x14ac:dyDescent="0.35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C14" sqref="C14"/>
    </sheetView>
  </sheetViews>
  <sheetFormatPr defaultColWidth="9.1796875" defaultRowHeight="14.5" x14ac:dyDescent="0.35"/>
  <cols>
    <col min="1" max="1" width="1.1796875" style="10" customWidth="1"/>
    <col min="2" max="2" width="18.81640625" style="10" bestFit="1" customWidth="1"/>
    <col min="3" max="3" width="20.26953125" style="10" customWidth="1"/>
    <col min="4" max="4" width="9.1796875" style="10"/>
    <col min="5" max="5" width="1.1796875" style="10" customWidth="1"/>
    <col min="6" max="6" width="9.1796875" style="10"/>
    <col min="7" max="7" width="27.54296875" style="10" bestFit="1" customWidth="1"/>
    <col min="8" max="8" width="2.7265625" style="10" customWidth="1"/>
    <col min="9" max="9" width="1.1796875" style="10" customWidth="1"/>
    <col min="10" max="16384" width="9.1796875" style="10"/>
  </cols>
  <sheetData>
    <row r="1" spans="2:27" ht="7.5" customHeight="1" x14ac:dyDescent="0.35"/>
    <row r="2" spans="2:27" ht="16" thickBot="1" x14ac:dyDescent="0.4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35">
      <c r="B3" s="42"/>
      <c r="C3" s="43"/>
      <c r="D3" s="44"/>
      <c r="F3" s="42"/>
      <c r="G3" s="43"/>
      <c r="H3" s="44"/>
    </row>
    <row r="4" spans="2:27" x14ac:dyDescent="0.35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35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35">
      <c r="B6" s="54" t="s">
        <v>3120</v>
      </c>
      <c r="C6" s="60" t="s">
        <v>3121</v>
      </c>
      <c r="D6" s="44"/>
      <c r="F6" s="46" t="s">
        <v>3122</v>
      </c>
      <c r="G6" s="48" t="s">
        <v>3123</v>
      </c>
      <c r="H6" s="44"/>
    </row>
    <row r="7" spans="2:27" x14ac:dyDescent="0.35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35">
      <c r="B8" s="54" t="s">
        <v>3126</v>
      </c>
      <c r="C8" s="60" t="s">
        <v>3127</v>
      </c>
      <c r="D8" s="44"/>
      <c r="F8" s="46" t="s">
        <v>3128</v>
      </c>
      <c r="G8" s="48" t="s">
        <v>3129</v>
      </c>
      <c r="H8" s="44"/>
    </row>
    <row r="9" spans="2:27" x14ac:dyDescent="0.35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35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35">
      <c r="B11" s="54"/>
      <c r="C11" s="43"/>
      <c r="D11" s="44"/>
      <c r="F11" s="51"/>
      <c r="G11" s="52"/>
      <c r="H11" s="53"/>
    </row>
    <row r="12" spans="2:27" ht="15" customHeight="1" x14ac:dyDescent="0.35">
      <c r="B12" s="54" t="s">
        <v>3134</v>
      </c>
      <c r="C12" s="60" t="s">
        <v>2426</v>
      </c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35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35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35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>Algeria</v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35">
      <c r="F16" s="118" t="s">
        <v>3137</v>
      </c>
      <c r="G16" s="118">
        <f>TIME(VLOOKUP(C8,F18:G42,2,FALSE),VLOOKUP(C10,F44:G47,2,FALSE),0)+IF(C6="Yes",TIME(1,0,0),0)</f>
        <v>0.45833333333333331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35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5" x14ac:dyDescent="0.35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35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35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35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35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35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35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35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35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35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35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35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35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35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35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35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35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35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35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35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35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35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35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35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35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35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35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35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35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35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35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35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35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35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35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35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35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35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35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35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35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35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35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35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35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35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35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35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35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35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35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35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35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35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35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A6" zoomScaleNormal="100" workbookViewId="0">
      <selection activeCell="CP38" sqref="CP38"/>
    </sheetView>
  </sheetViews>
  <sheetFormatPr defaultColWidth="9.1796875" defaultRowHeight="14.5" x14ac:dyDescent="0.35"/>
  <cols>
    <col min="1" max="1" width="4.81640625" style="3" customWidth="1"/>
    <col min="2" max="2" width="6.1796875" style="3" customWidth="1"/>
    <col min="3" max="3" width="11.7265625" style="3" bestFit="1" customWidth="1"/>
    <col min="4" max="4" width="9" style="4" customWidth="1"/>
    <col min="5" max="5" width="22.54296875" style="5" customWidth="1"/>
    <col min="6" max="7" width="4.26953125" style="6" customWidth="1"/>
    <col min="8" max="8" width="22.54296875" style="7" customWidth="1"/>
    <col min="9" max="9" width="3.453125" style="2" customWidth="1"/>
    <col min="10" max="10" width="19.453125" style="8" customWidth="1"/>
    <col min="11" max="14" width="5.453125" style="9" customWidth="1"/>
    <col min="15" max="15" width="7.7265625" style="9" customWidth="1"/>
    <col min="16" max="16" width="6.7265625" style="9" customWidth="1"/>
    <col min="17" max="17" width="3.453125" style="68" customWidth="1"/>
    <col min="18" max="18" width="15.453125" style="123" hidden="1" customWidth="1"/>
    <col min="19" max="20" width="16" style="127" hidden="1" customWidth="1"/>
    <col min="21" max="28" width="4" style="123" hidden="1" customWidth="1"/>
    <col min="29" max="29" width="4.26953125" style="124" hidden="1" customWidth="1"/>
    <col min="30" max="30" width="5.453125" style="123" hidden="1" customWidth="1"/>
    <col min="31" max="31" width="13.453125" style="124" hidden="1" customWidth="1"/>
    <col min="32" max="36" width="5.453125" style="123" hidden="1" customWidth="1"/>
    <col min="37" max="39" width="6" style="123" hidden="1" customWidth="1"/>
    <col min="40" max="40" width="5.453125" style="123" hidden="1" customWidth="1"/>
    <col min="41" max="42" width="6" style="123" hidden="1" customWidth="1"/>
    <col min="43" max="43" width="7.1796875" style="125" hidden="1" customWidth="1"/>
    <col min="44" max="44" width="10" style="125" hidden="1" customWidth="1"/>
    <col min="45" max="45" width="15.26953125" style="125" hidden="1" customWidth="1"/>
    <col min="46" max="50" width="4.7265625" style="126" hidden="1" customWidth="1"/>
    <col min="51" max="51" width="9.1796875" style="125" hidden="1" customWidth="1"/>
    <col min="52" max="61" width="9.1796875" style="126" hidden="1" customWidth="1"/>
    <col min="62" max="62" width="9.1796875" style="112" hidden="1" customWidth="1"/>
    <col min="63" max="63" width="3.26953125" style="2" customWidth="1"/>
    <col min="64" max="64" width="19.7265625" style="2" customWidth="1"/>
    <col min="65" max="67" width="3" style="2" customWidth="1"/>
    <col min="68" max="69" width="2" style="111" customWidth="1"/>
    <col min="70" max="70" width="3.26953125" style="2" customWidth="1"/>
    <col min="71" max="71" width="19.7265625" style="2" customWidth="1"/>
    <col min="72" max="74" width="3" style="2" customWidth="1"/>
    <col min="75" max="76" width="2" style="111" customWidth="1"/>
    <col min="77" max="77" width="4" style="2" customWidth="1"/>
    <col min="78" max="78" width="19.7265625" style="2" customWidth="1"/>
    <col min="79" max="81" width="3" style="2" customWidth="1"/>
    <col min="82" max="83" width="2" style="111" customWidth="1"/>
    <col min="84" max="84" width="3.81640625" style="2" customWidth="1"/>
    <col min="85" max="85" width="19.7265625" style="2" customWidth="1"/>
    <col min="86" max="88" width="3" style="2" customWidth="1"/>
    <col min="89" max="90" width="2" style="111" customWidth="1"/>
    <col min="91" max="91" width="3.7265625" style="2" customWidth="1"/>
    <col min="92" max="92" width="19.7265625" style="2" customWidth="1"/>
    <col min="93" max="95" width="3" style="2" customWidth="1"/>
    <col min="96" max="96" width="2" style="111" customWidth="1"/>
    <col min="97" max="16384" width="9.1796875" style="2"/>
  </cols>
  <sheetData>
    <row r="1" spans="1:95" ht="46" x14ac:dyDescent="0.35">
      <c r="A1" s="150" t="str" cm="1">
        <f t="array" ref="A1">INDEX(T,2,lang)</f>
        <v>2026 World Cup Final Tournament Schedule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35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3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51" t="str">
        <f>"Language: " &amp; Settings!C4</f>
        <v>Language: English</v>
      </c>
      <c r="P3" s="151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35"/>
    <row r="5" spans="1:95" x14ac:dyDescent="0.35">
      <c r="A5" s="152" t="str" cm="1">
        <f t="array" ref="A5">INDEX(T,3,lang)</f>
        <v>Group Stage</v>
      </c>
      <c r="B5" s="153"/>
      <c r="C5" s="153"/>
      <c r="D5" s="153"/>
      <c r="E5" s="153"/>
      <c r="F5" s="153"/>
      <c r="G5" s="153"/>
      <c r="H5" s="154"/>
      <c r="J5" s="158" t="s">
        <v>3166</v>
      </c>
      <c r="K5" s="159"/>
      <c r="L5" s="159"/>
      <c r="M5" s="159"/>
      <c r="N5" s="159"/>
      <c r="O5" s="159"/>
      <c r="P5" s="160"/>
    </row>
    <row r="6" spans="1:95" ht="15" customHeight="1" x14ac:dyDescent="0.35">
      <c r="A6" s="155"/>
      <c r="B6" s="156"/>
      <c r="C6" s="156"/>
      <c r="D6" s="156"/>
      <c r="E6" s="156"/>
      <c r="F6" s="156"/>
      <c r="G6" s="156"/>
      <c r="H6" s="157"/>
      <c r="J6" s="161"/>
      <c r="K6" s="162"/>
      <c r="L6" s="162"/>
      <c r="M6" s="162"/>
      <c r="N6" s="162"/>
      <c r="O6" s="162"/>
      <c r="P6" s="163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44" t="s">
        <v>3179</v>
      </c>
      <c r="BL6" s="145"/>
      <c r="BM6" s="145"/>
      <c r="BN6" s="145"/>
      <c r="BO6" s="146"/>
      <c r="BR6" s="144" t="str" cm="1">
        <f t="array" ref="BR6">INDEX(T,4,lang)</f>
        <v>Round of 16</v>
      </c>
      <c r="BS6" s="145"/>
      <c r="BT6" s="145"/>
      <c r="BU6" s="145"/>
      <c r="BV6" s="146"/>
      <c r="BY6" s="144" t="str" cm="1">
        <f t="array" ref="BY6">INDEX(T,5,lang)</f>
        <v>Quarterfinals</v>
      </c>
      <c r="BZ6" s="145"/>
      <c r="CA6" s="145"/>
      <c r="CB6" s="145"/>
      <c r="CC6" s="146"/>
      <c r="CF6" s="144" t="str" cm="1">
        <f t="array" ref="CF6">INDEX(T,6,lang)</f>
        <v>Semi-Finals</v>
      </c>
      <c r="CG6" s="145"/>
      <c r="CH6" s="145"/>
      <c r="CI6" s="145"/>
      <c r="CJ6" s="146"/>
    </row>
    <row r="7" spans="1:95" ht="15" customHeight="1" x14ac:dyDescent="0.35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0.79166666666666663</v>
      </c>
      <c r="E7" s="77" t="str">
        <f>AE8</f>
        <v>Mexico</v>
      </c>
      <c r="F7" s="14">
        <v>3</v>
      </c>
      <c r="G7" s="15">
        <v>1</v>
      </c>
      <c r="H7" s="79" t="str">
        <f>AE9</f>
        <v>South Africa</v>
      </c>
      <c r="R7" s="123">
        <f>DATE(2026,6,11)+TIME(8,0,0)+gmt_delta</f>
        <v>46184.791666666672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47"/>
      <c r="BL7" s="148"/>
      <c r="BM7" s="148"/>
      <c r="BN7" s="148"/>
      <c r="BO7" s="149"/>
      <c r="BR7" s="147"/>
      <c r="BS7" s="148"/>
      <c r="BT7" s="148"/>
      <c r="BU7" s="148"/>
      <c r="BV7" s="149"/>
      <c r="BY7" s="147"/>
      <c r="BZ7" s="148"/>
      <c r="CA7" s="148"/>
      <c r="CB7" s="148"/>
      <c r="CC7" s="149"/>
      <c r="CF7" s="147"/>
      <c r="CG7" s="148"/>
      <c r="CH7" s="148"/>
      <c r="CI7" s="148"/>
      <c r="CJ7" s="149"/>
    </row>
    <row r="8" spans="1:95" x14ac:dyDescent="0.35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8.3333333333333329E-2</v>
      </c>
      <c r="E8" s="78" t="str">
        <f>AE10</f>
        <v>Korea Republic</v>
      </c>
      <c r="F8" s="19">
        <v>2</v>
      </c>
      <c r="G8" s="20">
        <v>1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46185.083333333336</v>
      </c>
      <c r="S8" s="127" t="str">
        <f t="shared" si="1"/>
        <v>Korea Republic_win</v>
      </c>
      <c r="T8" s="127" t="str">
        <f t="shared" si="2"/>
        <v>Czech Republic_lose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1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3</v>
      </c>
      <c r="AG8" s="123">
        <f>COUNTIF($S$7:$T$78,"=" &amp; AE8 &amp; "_draw")</f>
        <v>0</v>
      </c>
      <c r="AH8" s="123">
        <f>COUNTIF($S$7:$T$78,"=" &amp; AE8 &amp; "_lose")</f>
        <v>0</v>
      </c>
      <c r="AI8" s="123">
        <f>SUMIF($E$7:$E$78,$AE8,$F$7:$F$78) + SUMIF($H$7:$H$78,$AE8,$G$7:$G$78)</f>
        <v>9</v>
      </c>
      <c r="AJ8" s="123">
        <f>SUMIF($E$7:$E$78,$AE8,$G$7:$G$78) + SUMIF($H$7:$H$78,$AE8,$F$7:$F$78)</f>
        <v>4</v>
      </c>
      <c r="AL8" s="123">
        <f>AI8-AJ8</f>
        <v>5</v>
      </c>
      <c r="AM8" s="123">
        <f>AL8-AL12</f>
        <v>13</v>
      </c>
      <c r="AN8" s="123">
        <f>AF8*3+AG8</f>
        <v>9</v>
      </c>
      <c r="AO8" s="123">
        <f>AN8/AN12*10+BA8</f>
        <v>9</v>
      </c>
      <c r="AP8" s="123">
        <f>AO8*10000000+BI8*100+AM8/AM12*10+AI8/AI12*1++IF(AQ8=0,ROW(),AQ8)/2000000</f>
        <v>90000010.186554804</v>
      </c>
      <c r="AQ8" s="126">
        <f>VLOOKUP(AE8,db_fifarank,2,FALSE)</f>
        <v>1681.03</v>
      </c>
      <c r="AR8" s="125">
        <f>AP8/AP12</f>
        <v>0.9999999888888903</v>
      </c>
      <c r="AS8" s="125" t="str">
        <f>IF(SUM(AF8:AH11)=12,J9,"1A")</f>
        <v>Mexico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35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0.79166666666666663</v>
      </c>
      <c r="E9" s="78" t="str">
        <f>AE14</f>
        <v>Canada</v>
      </c>
      <c r="F9" s="19">
        <v>1</v>
      </c>
      <c r="G9" s="20">
        <v>3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3</v>
      </c>
      <c r="M9" s="31">
        <f>VLOOKUP(1,AD8:AN11,4,FALSE)</f>
        <v>0</v>
      </c>
      <c r="N9" s="31">
        <f>VLOOKUP(1,AD8:AN11,5,FALSE)</f>
        <v>0</v>
      </c>
      <c r="O9" s="31" t="str">
        <f>VLOOKUP(1,AD8:AN11,6,FALSE) &amp; " - " &amp; VLOOKUP(1,AD8:AN11,7,FALSE)</f>
        <v>9 - 4</v>
      </c>
      <c r="P9" s="32">
        <f>L9*3+M9</f>
        <v>9</v>
      </c>
      <c r="R9" s="123">
        <f>DATE(2026,6,12)+TIME(8,0,0)+gmt_delta</f>
        <v>46185.791666666672</v>
      </c>
      <c r="S9" s="127" t="str">
        <f t="shared" si="1"/>
        <v>Canada_lose</v>
      </c>
      <c r="T9" s="127" t="str">
        <f t="shared" si="2"/>
        <v>Bosnia and Herzegovina_win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-1</v>
      </c>
      <c r="AD9" s="123">
        <f>COUNTIF(AR8:AR11,CONCATENATE("&gt;=",AR9))</f>
        <v>4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0</v>
      </c>
      <c r="AH9" s="123">
        <f>COUNTIF($S$7:$T$78,"=" &amp; AE9 &amp; "_lose")</f>
        <v>3</v>
      </c>
      <c r="AI9" s="123">
        <f>SUMIF($E$7:$E$78,$AE9,$F$7:$F$78) + SUMIF($H$7:$H$78,$AE9,$G$7:$G$78)</f>
        <v>1</v>
      </c>
      <c r="AJ9" s="123">
        <f>SUMIF($E$7:$E$78,$AE9,$G$7:$G$78) + SUMIF($H$7:$H$78,$AE9,$F$7:$F$78)</f>
        <v>9</v>
      </c>
      <c r="AL9" s="123">
        <f>AI9-AJ9</f>
        <v>-8</v>
      </c>
      <c r="AM9" s="123">
        <f>AL9-AL12</f>
        <v>0</v>
      </c>
      <c r="AN9" s="123">
        <f>AF9*3+AG9</f>
        <v>0</v>
      </c>
      <c r="AO9" s="123">
        <f>AN9/AN12*10+BA9</f>
        <v>0</v>
      </c>
      <c r="AP9" s="123">
        <f>AO9*10000000+BI9*100+AM9/AM12*10+AI9/AI12*1++IF(AQ9=0,ROW(),AQ9)/2000000</f>
        <v>0.100714865</v>
      </c>
      <c r="AQ9" s="126">
        <f>VLOOKUP(AE9,db_fifarank,2,FALSE)</f>
        <v>1429.73</v>
      </c>
      <c r="AR9" s="125">
        <f>AP9/AP12</f>
        <v>1.1190539164626894E-9</v>
      </c>
      <c r="AS9" s="125" t="str">
        <f>IF(SUM(AF8:AH11)=12,J10,"2A")</f>
        <v>Korea Republic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20:30</v>
      </c>
      <c r="BL9" s="21"/>
      <c r="BM9" s="21"/>
      <c r="BN9" s="21"/>
      <c r="BO9" s="110"/>
      <c r="BP9" s="112">
        <f>DATE(2026,6,29)+TIME(9,30,0)+gmt_delta</f>
        <v>46202.854166666672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35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4.1666666666666664E-2</v>
      </c>
      <c r="E10" s="78" t="str">
        <f>AE26</f>
        <v>United States</v>
      </c>
      <c r="F10" s="19">
        <v>0</v>
      </c>
      <c r="G10" s="20">
        <v>0</v>
      </c>
      <c r="H10" s="80" t="str">
        <f>AE27</f>
        <v>Paraguay</v>
      </c>
      <c r="J10" s="33" t="str">
        <f>VLOOKUP(2,AD8:AN11,2,FALSE)</f>
        <v>Korea Republic</v>
      </c>
      <c r="K10" s="23">
        <f>L10+M10+N10</f>
        <v>3</v>
      </c>
      <c r="L10" s="23">
        <f>VLOOKUP(2,AD8:AN11,3,FALSE)</f>
        <v>2</v>
      </c>
      <c r="M10" s="23">
        <f>VLOOKUP(2,AD8:AN11,4,FALSE)</f>
        <v>0</v>
      </c>
      <c r="N10" s="23">
        <f>VLOOKUP(2,AD8:AN11,5,FALSE)</f>
        <v>1</v>
      </c>
      <c r="O10" s="23" t="str">
        <f>VLOOKUP(2,AD8:AN11,6,FALSE) &amp; " - " &amp; VLOOKUP(2,AD8:AN11,7,FALSE)</f>
        <v>6 - 4</v>
      </c>
      <c r="P10" s="34">
        <f>L10*3+M10</f>
        <v>6</v>
      </c>
      <c r="R10" s="123">
        <f>DATE(2026,6,12)+TIME(14,0,0)+gmt_delta</f>
        <v>46186.041666666672</v>
      </c>
      <c r="S10" s="127" t="str">
        <f t="shared" si="1"/>
        <v>United States_draw</v>
      </c>
      <c r="T10" s="127" t="str">
        <f t="shared" si="2"/>
        <v>Paraguay_draw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0</v>
      </c>
      <c r="AD10" s="123">
        <f>COUNTIF(AR8:AR11,CONCATENATE("&gt;=",AR10))</f>
        <v>2</v>
      </c>
      <c r="AE10" s="124" t="str">
        <f>VLOOKUP("Korea Republic",T,lang,FALSE)</f>
        <v>Korea Republic</v>
      </c>
      <c r="AF10" s="123">
        <f>COUNTIF($S$7:$T$78,"=" &amp; AE10 &amp; "_win")</f>
        <v>2</v>
      </c>
      <c r="AG10" s="123">
        <f>COUNTIF($S$7:$T$78,"=" &amp; AE10 &amp; "_draw")</f>
        <v>0</v>
      </c>
      <c r="AH10" s="123">
        <f>COUNTIF($S$7:$T$78,"=" &amp; AE10 &amp; "_lose")</f>
        <v>1</v>
      </c>
      <c r="AI10" s="123">
        <f>SUMIF($E$7:$E$78,$AE10,$F$7:$F$78) + SUMIF($H$7:$H$78,$AE10,$G$7:$G$78)</f>
        <v>6</v>
      </c>
      <c r="AJ10" s="123">
        <f>SUMIF($E$7:$E$78,$AE10,$G$7:$G$78) + SUMIF($H$7:$H$78,$AE10,$F$7:$F$78)</f>
        <v>4</v>
      </c>
      <c r="AL10" s="123">
        <f>AI10-AJ10</f>
        <v>2</v>
      </c>
      <c r="AM10" s="123">
        <f>AL10-AL12</f>
        <v>10</v>
      </c>
      <c r="AN10" s="123">
        <f>AF10*3+AG10</f>
        <v>6</v>
      </c>
      <c r="AO10" s="123">
        <f>AN10/AN12*10+BA10</f>
        <v>6</v>
      </c>
      <c r="AP10" s="123">
        <f>AO10*10000000+BI10*100+AM10/AM12*10+AI10/AI12*1++IF(AQ10=0,ROW(),AQ10)/2000000</f>
        <v>60000007.743651472</v>
      </c>
      <c r="AQ10" s="126">
        <f>VLOOKUP(AE10,db_fifarank,2,FALSE)</f>
        <v>1588.66</v>
      </c>
      <c r="AR10" s="125">
        <f>AP10/AP12</f>
        <v>0.66666666984386924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41">
        <v>74</v>
      </c>
      <c r="BL10" s="24" t="str">
        <f>AS32</f>
        <v>Germany</v>
      </c>
      <c r="BM10" s="61">
        <v>3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3000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35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4.1666666666666664E-2</v>
      </c>
      <c r="E11" s="78" t="str">
        <f>AE22</f>
        <v>Haiti</v>
      </c>
      <c r="F11" s="19">
        <v>0</v>
      </c>
      <c r="G11" s="20">
        <v>2</v>
      </c>
      <c r="H11" s="80" t="str">
        <f>AE23</f>
        <v>Scotland</v>
      </c>
      <c r="J11" s="33" t="str">
        <f>VLOOKUP(3,AD8:AN11,2,FALSE)</f>
        <v>Czech Republic</v>
      </c>
      <c r="K11" s="23">
        <f>L11+M11+N11</f>
        <v>3</v>
      </c>
      <c r="L11" s="23">
        <f>VLOOKUP(3,AD8:AN11,3,FALSE)</f>
        <v>1</v>
      </c>
      <c r="M11" s="23">
        <f>VLOOKUP(3,AD8:AN11,4,FALSE)</f>
        <v>0</v>
      </c>
      <c r="N11" s="23">
        <f>VLOOKUP(3,AD8:AN11,5,FALSE)</f>
        <v>2</v>
      </c>
      <c r="O11" s="23" t="str">
        <f>VLOOKUP(3,AD8:AN11,6,FALSE) &amp; " - " &amp; VLOOKUP(3,AD8:AN11,7,FALSE)</f>
        <v>6 - 5</v>
      </c>
      <c r="P11" s="34">
        <f>L11*3+M11</f>
        <v>3</v>
      </c>
      <c r="R11" s="123">
        <f>DATE(2026,6,13)+TIME(14,0,0)+gmt_delta</f>
        <v>46187.041666666672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3</v>
      </c>
      <c r="AE11" s="124" t="str">
        <f>VLOOKUP("Czech Republic",T,lang,FALSE)</f>
        <v>Czech Republic</v>
      </c>
      <c r="AF11" s="123">
        <f>COUNTIF($S$7:$T$78,"=" &amp; AE11 &amp; "_win")</f>
        <v>1</v>
      </c>
      <c r="AG11" s="123">
        <f>COUNTIF($S$7:$T$78,"=" &amp; AE11 &amp; "_draw")</f>
        <v>0</v>
      </c>
      <c r="AH11" s="123">
        <f>COUNTIF($S$7:$T$78,"=" &amp; AE11 &amp; "_lose")</f>
        <v>2</v>
      </c>
      <c r="AI11" s="123">
        <f>SUMIF($E$7:$E$78,$AE11,$F$7:$F$78) + SUMIF($H$7:$H$78,$AE11,$G$7:$G$78)</f>
        <v>6</v>
      </c>
      <c r="AJ11" s="123">
        <f>SUMIF($E$7:$E$78,$AE11,$G$7:$G$78) + SUMIF($H$7:$H$78,$AE11,$F$7:$F$78)</f>
        <v>5</v>
      </c>
      <c r="AL11" s="123">
        <f>AI11-AJ11</f>
        <v>1</v>
      </c>
      <c r="AM11" s="123">
        <f>AL11-AL12</f>
        <v>9</v>
      </c>
      <c r="AN11" s="123">
        <f>AF11*3+AG11</f>
        <v>3</v>
      </c>
      <c r="AO11" s="123">
        <f>AN11/AN12*10+BA11</f>
        <v>3</v>
      </c>
      <c r="AP11" s="123">
        <f>AO11*10000000+BI11*100+AM11/AM12*10+AI11/AI12*1++IF(AQ11=0,ROW(),AQ11)/2000000</f>
        <v>30000007.029322121</v>
      </c>
      <c r="AQ11" s="126">
        <f>VLOOKUP(AE11,db_fifarank,2,FALSE)</f>
        <v>1501.38</v>
      </c>
      <c r="AR11" s="125">
        <f>AP11/AP12</f>
        <v>0.33333337000522345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0</v>
      </c>
      <c r="BA11" s="126">
        <f>AZ11/AZ12</f>
        <v>0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42"/>
      <c r="BL11" s="26" t="str">
        <f>IF(group_round_completed,VLOOKUP('3rd places'!G3,AK80:AS91,9,FALSE),"3rd Group A/B/C/D/F")</f>
        <v>Australia</v>
      </c>
      <c r="BM11" s="62">
        <v>0</v>
      </c>
      <c r="BN11" s="64"/>
      <c r="BO11" s="27"/>
      <c r="BP11" s="113">
        <f>IF(BP10="","",BM11*1000+BN11*10+BO11)</f>
        <v>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21:00</v>
      </c>
      <c r="BS11" s="21"/>
      <c r="BT11" s="21"/>
      <c r="BU11" s="21"/>
      <c r="BV11" s="28"/>
      <c r="BW11" s="112">
        <f>DATE(2026,7,4)+TIME(10,0,0)+gmt_delta</f>
        <v>46207.875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35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0.16666666666666666</v>
      </c>
      <c r="E12" s="78" t="str">
        <f>AE28</f>
        <v>Australia</v>
      </c>
      <c r="F12" s="19">
        <v>1</v>
      </c>
      <c r="G12" s="20">
        <v>1</v>
      </c>
      <c r="H12" s="80" t="str">
        <f>AE29</f>
        <v>Turkey</v>
      </c>
      <c r="J12" s="35" t="str">
        <f>VLOOKUP(4,AD8:AN11,2,FALSE)</f>
        <v>South Africa</v>
      </c>
      <c r="K12" s="36">
        <f>L12+M12+N12</f>
        <v>3</v>
      </c>
      <c r="L12" s="36">
        <f>VLOOKUP(4,AD8:AN11,3,FALSE)</f>
        <v>0</v>
      </c>
      <c r="M12" s="36">
        <f>VLOOKUP(4,AD8:AN11,4,FALSE)</f>
        <v>0</v>
      </c>
      <c r="N12" s="36">
        <f>VLOOKUP(4,AD8:AN11,5,FALSE)</f>
        <v>3</v>
      </c>
      <c r="O12" s="36" t="str">
        <f>VLOOKUP(4,AD8:AN11,6,FALSE) &amp; " - " &amp; VLOOKUP(4,AD8:AN11,7,FALSE)</f>
        <v>1 - 9</v>
      </c>
      <c r="P12" s="37">
        <f>L12*3+M12</f>
        <v>0</v>
      </c>
      <c r="R12" s="123">
        <f>DATE(2026,6,13)+TIME(17,0,0)+gmt_delta</f>
        <v>46187.166666666672</v>
      </c>
      <c r="S12" s="127" t="str">
        <f t="shared" si="1"/>
        <v>Australia_draw</v>
      </c>
      <c r="T12" s="127" t="str">
        <f t="shared" si="2"/>
        <v>Turkey_draw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0</v>
      </c>
      <c r="AF12" s="123">
        <f t="shared" ref="AF12:AH12" si="12">MAX(AF8:AF11)-MIN(AF8:AF11)+1</f>
        <v>4</v>
      </c>
      <c r="AG12" s="123">
        <f t="shared" si="12"/>
        <v>1</v>
      </c>
      <c r="AH12" s="123">
        <f t="shared" si="12"/>
        <v>4</v>
      </c>
      <c r="AI12" s="123">
        <f>MAX(AI8:AI11)+1</f>
        <v>10</v>
      </c>
      <c r="AL12" s="123">
        <f>MIN(AL8:AL11)</f>
        <v>-8</v>
      </c>
      <c r="AM12" s="123">
        <f>MAX(AM8:AM11)+1</f>
        <v>14</v>
      </c>
      <c r="AN12" s="123">
        <f>MAX(AN8:AN11)+1</f>
        <v>10</v>
      </c>
      <c r="AO12" s="123">
        <f>MAX(AO8:AO11)+1</f>
        <v>10</v>
      </c>
      <c r="AP12" s="123">
        <f>MAX(AP8:AP11)+1</f>
        <v>90000011.186554804</v>
      </c>
      <c r="AT12" s="126">
        <f>MAX(AT8:AT11)-MIN(AT8:AT11)+1</f>
        <v>1</v>
      </c>
      <c r="AU12" s="126">
        <f>MAX(AU8:AU11)-MIN(AU8:AU11)+1</f>
        <v>1</v>
      </c>
      <c r="AV12" s="126">
        <f>MAX(AV8:AV11)-MIN(AV8:AV11)+1</f>
        <v>1</v>
      </c>
      <c r="AW12" s="126">
        <f>MAX(AW8:AW11)-MIN(AW8:AW11)+1</f>
        <v>1</v>
      </c>
      <c r="AY12" s="126">
        <f>MAX(AY8:AY11)-MIN(AY8:AY11)+1</f>
        <v>1</v>
      </c>
      <c r="AZ12" s="126">
        <f>MAX(AZ8:AZ11)+1</f>
        <v>1</v>
      </c>
      <c r="BB12" s="126">
        <f>MAX(BB8:BB11)-MIN(BB8:BB11)+1</f>
        <v>1</v>
      </c>
      <c r="BC12" s="126">
        <f>MAX(BC8:BC11)-MIN(BC8:BC11)+1</f>
        <v>1</v>
      </c>
      <c r="BD12" s="126">
        <f>MAX(BD8:BD11)-MIN(BD8:BD11)+1</f>
        <v>1</v>
      </c>
      <c r="BE12" s="126">
        <f>MAX(BE8:BE11)-MIN(BE8:BE11)+1</f>
        <v>1</v>
      </c>
      <c r="BG12" s="126">
        <f>MAX(BG8:BG11)-MIN(BG8:BG11)+1</f>
        <v>1</v>
      </c>
      <c r="BH12" s="126">
        <f>MAX(BH8:BH11)+1</f>
        <v>1</v>
      </c>
      <c r="BK12" s="21"/>
      <c r="BL12" s="21"/>
      <c r="BM12" s="21"/>
      <c r="BN12" s="21"/>
      <c r="BO12" s="21"/>
      <c r="BP12" s="114"/>
      <c r="BQ12" s="112"/>
      <c r="BR12" s="141">
        <v>89</v>
      </c>
      <c r="BS12" s="24" t="str">
        <f>IF(BP10&gt;BP11,BL10,IF(BP10&lt;BP11,BL11,""))</f>
        <v>Germany</v>
      </c>
      <c r="BT12" s="61">
        <v>1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1000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35">
      <c r="A13" s="16">
        <v>7</v>
      </c>
      <c r="B13" s="17" t="str" cm="1">
        <f t="array" ref="B13">INDEX(T,18+INT(MOD(R13-1,7)),lang)</f>
        <v>Sat</v>
      </c>
      <c r="C13" s="18" t="str" cm="1">
        <f t="array" ref="C13">INDEX(T,24+MONTH(R13),lang) &amp; " " &amp; DAY(R13) &amp; ", " &amp; YEAR(R13)</f>
        <v>Jun 13, 2026</v>
      </c>
      <c r="D13" s="120">
        <f t="shared" si="7"/>
        <v>0.91666666666666663</v>
      </c>
      <c r="E13" s="78" t="str">
        <f>AE20</f>
        <v>Brazil</v>
      </c>
      <c r="F13" s="19">
        <v>2</v>
      </c>
      <c r="G13" s="20">
        <v>1</v>
      </c>
      <c r="H13" s="80" t="str">
        <f>AE21</f>
        <v>Morocco</v>
      </c>
      <c r="R13" s="123">
        <f>DATE(2026,6,13)+TIME(11,0,0)+gmt_delta</f>
        <v>46186.916666666672</v>
      </c>
      <c r="S13" s="127" t="str">
        <f t="shared" si="1"/>
        <v>Brazil_win</v>
      </c>
      <c r="T13" s="127" t="str">
        <f t="shared" si="2"/>
        <v>Morocco_lose</v>
      </c>
      <c r="U13" s="123">
        <f t="shared" si="8"/>
        <v>0</v>
      </c>
      <c r="V13" s="123">
        <f t="shared" si="3"/>
        <v>0</v>
      </c>
      <c r="W13" s="123">
        <f t="shared" si="4"/>
        <v>0</v>
      </c>
      <c r="X13" s="123">
        <f t="shared" si="9"/>
        <v>0</v>
      </c>
      <c r="Y13" s="123">
        <f t="shared" si="10"/>
        <v>0</v>
      </c>
      <c r="Z13" s="123">
        <f t="shared" si="11"/>
        <v>0</v>
      </c>
      <c r="AA13" s="123">
        <f t="shared" si="5"/>
        <v>0</v>
      </c>
      <c r="AB13" s="123">
        <f t="shared" si="6"/>
        <v>1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21:00</v>
      </c>
      <c r="BL13" s="21"/>
      <c r="BM13" s="21"/>
      <c r="BN13" s="21"/>
      <c r="BO13" s="28"/>
      <c r="BP13" s="114">
        <f>DATE(2026,6,30)+TIME(10,0,0)+gmt_delta</f>
        <v>46203.875</v>
      </c>
      <c r="BQ13" s="115"/>
      <c r="BR13" s="142"/>
      <c r="BS13" s="26" t="str">
        <f>IF(BP14&gt;BP15,BL14,IF(BP14&lt;BP15,BL15,""))</f>
        <v>Norway</v>
      </c>
      <c r="BT13" s="62">
        <v>3</v>
      </c>
      <c r="BU13" s="64"/>
      <c r="BV13" s="27"/>
      <c r="BW13" s="113">
        <f>IF(BW12="","",BT13*1000+BU13*10+BV13)</f>
        <v>3000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35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0.79166666666666663</v>
      </c>
      <c r="E14" s="78" t="str">
        <f>AE16</f>
        <v>Qatar</v>
      </c>
      <c r="F14" s="19">
        <v>0</v>
      </c>
      <c r="G14" s="20">
        <v>3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46186.791666666672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3</v>
      </c>
      <c r="AE14" s="124" t="str">
        <f>VLOOKUP("Canada",T,lang,FALSE)</f>
        <v>Canada</v>
      </c>
      <c r="AF14" s="123">
        <f>COUNTIF($S$7:$T$78,"=" &amp; AE14 &amp; "_win")</f>
        <v>0</v>
      </c>
      <c r="AG14" s="123">
        <f>COUNTIF($S$7:$T$78,"=" &amp; AE14 &amp; "_draw")</f>
        <v>1</v>
      </c>
      <c r="AH14" s="123">
        <f>COUNTIF($S$7:$T$78,"=" &amp; AE14 &amp; "_lose")</f>
        <v>2</v>
      </c>
      <c r="AI14" s="123">
        <f>SUMIF($E$7:$E$78,$AE14,$F$7:$F$78) + SUMIF($H$7:$H$78,$AE14,$G$7:$G$78)</f>
        <v>4</v>
      </c>
      <c r="AJ14" s="123">
        <f>SUMIF($E$7:$E$78,$AE14,$G$7:$G$78) + SUMIF($H$7:$H$78,$AE14,$F$7:$F$78)</f>
        <v>8</v>
      </c>
      <c r="AL14" s="123">
        <f>AI14-AJ14</f>
        <v>-4</v>
      </c>
      <c r="AM14" s="123">
        <f>AL14-AL18</f>
        <v>1</v>
      </c>
      <c r="AN14" s="123">
        <f>AF14*3+AG14</f>
        <v>1</v>
      </c>
      <c r="AO14" s="123">
        <f>AN14/AN18*10+BA14</f>
        <v>1.9806451612903224</v>
      </c>
      <c r="AP14" s="123">
        <f>AO14*10000000+BI14*100+AM14/AM18*10+AI14/AI18*1++IF(AQ14=0,ROW(),AQ14)/2000000</f>
        <v>19806550.847428359</v>
      </c>
      <c r="AQ14" s="126">
        <f>VLOOKUP(AE14,db_fifarank,2,FALSE)</f>
        <v>1556.48</v>
      </c>
      <c r="AR14" s="125">
        <f>AP14/AP18</f>
        <v>0.22007275997408618</v>
      </c>
      <c r="AS14" s="125" t="str">
        <f>IF(SUM(AF14:AH17)=12,J15,"1B")</f>
        <v>Switzerland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1</v>
      </c>
      <c r="AV14" s="126" cm="1">
        <f t="array" ref="AV14">SUMPRODUCT(($E$7:$E$78=AE14)*($U$7:$U$78)*($F$7:$F$78))+SUMPRODUCT(($H$7:$H$78=AE14)*($U$7:$U$78)*($G$7:$G$78))</f>
        <v>2</v>
      </c>
      <c r="AW14" s="126" cm="1">
        <f t="array" ref="AW14">SUMPRODUCT(($E$7:$E$78=AE14)*($U$7:$U$78)*($G$7:$G$78))+SUMPRODUCT(($H$7:$H$78=AE14)*($U$7:$U$78)*($F$7:$F$78))</f>
        <v>2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50.666666666666664</v>
      </c>
      <c r="BA14" s="126">
        <f>AZ14/AZ18</f>
        <v>0.98064516129032253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1</v>
      </c>
      <c r="BD14" s="126" cm="1">
        <f t="array" ref="BD14">SUMPRODUCT(($E$7:$E$78=AE14)*($X$7:$X$78)*($F$7:$F$78))+SUMPRODUCT(($H$7:$H$78=AE14)*($X$7:$X$78)*($G$7:$G$78))</f>
        <v>2</v>
      </c>
      <c r="BE14" s="126" cm="1">
        <f t="array" ref="BE14">SUMPRODUCT(($E$7:$E$78=AE14)*($X$7:$X$78)*($G$7:$G$78))+SUMPRODUCT(($H$7:$H$78=AE14)*($X$7:$X$78)*($F$7:$F$78))</f>
        <v>2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50.666666666666664</v>
      </c>
      <c r="BI14" s="126">
        <f>BH14/BH18</f>
        <v>0.98064516129032253</v>
      </c>
      <c r="BK14" s="141">
        <v>77</v>
      </c>
      <c r="BL14" s="24" t="str">
        <f>AS56</f>
        <v>Norway</v>
      </c>
      <c r="BM14" s="61">
        <v>4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4000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35">
      <c r="A15" s="16">
        <v>9</v>
      </c>
      <c r="B15" s="17" t="str" cm="1">
        <f t="array" ref="B15">INDEX(T,18+INT(MOD(R15-1,7)),lang)</f>
        <v>Sun</v>
      </c>
      <c r="C15" s="18" t="str" cm="1">
        <f t="array" ref="C15">INDEX(T,24+MONTH(R15),lang) &amp; " " &amp; DAY(R15) &amp; ", " &amp; YEAR(R15)</f>
        <v>Jun 14, 2026</v>
      </c>
      <c r="D15" s="120">
        <f t="shared" si="7"/>
        <v>0.95833333333333337</v>
      </c>
      <c r="E15" s="78" t="str">
        <f>AE34</f>
        <v>Ivory Coast</v>
      </c>
      <c r="F15" s="19">
        <v>0</v>
      </c>
      <c r="G15" s="20">
        <v>2</v>
      </c>
      <c r="H15" s="80" t="str">
        <f>AE35</f>
        <v>Ecuador</v>
      </c>
      <c r="J15" s="30" t="str">
        <f>VLOOKUP(1,AD14:AN17,2,FALSE)</f>
        <v>Switzerland</v>
      </c>
      <c r="K15" s="31">
        <f>L15+M15+N15</f>
        <v>3</v>
      </c>
      <c r="L15" s="31">
        <f>VLOOKUP(1,AD14:AN17,3,FALSE)</f>
        <v>3</v>
      </c>
      <c r="M15" s="31">
        <f>VLOOKUP(1,AD14:AN17,4,FALSE)</f>
        <v>0</v>
      </c>
      <c r="N15" s="31">
        <f>VLOOKUP(1,AD14:AN17,5,FALSE)</f>
        <v>0</v>
      </c>
      <c r="O15" s="31" t="str">
        <f>VLOOKUP(1,AD14:AN17,6,FALSE) &amp; " - " &amp; VLOOKUP(1,AD14:AN17,7,FALSE)</f>
        <v>9 - 2</v>
      </c>
      <c r="P15" s="32">
        <f>L15*3+M15</f>
        <v>9</v>
      </c>
      <c r="R15" s="123">
        <f>DATE(2026,6,14)+TIME(12,0,0)+gmt_delta</f>
        <v>46187.958333333336</v>
      </c>
      <c r="S15" s="127" t="str">
        <f t="shared" si="1"/>
        <v>Ivory Coast_lose</v>
      </c>
      <c r="T15" s="127" t="str">
        <f t="shared" si="2"/>
        <v>Ecuador_win</v>
      </c>
      <c r="U15" s="123">
        <f t="shared" si="8"/>
        <v>0</v>
      </c>
      <c r="V15" s="123">
        <f t="shared" si="3"/>
        <v>0</v>
      </c>
      <c r="W15" s="123">
        <f t="shared" si="4"/>
        <v>0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-1</v>
      </c>
      <c r="AD15" s="123">
        <f>COUNTIF(AR14:AR17,CONCATENATE("&gt;=",AR15))</f>
        <v>2</v>
      </c>
      <c r="AE15" s="124" t="str">
        <f>VLOOKUP("Bosnia and Herzegovina",T,lang,FALSE)</f>
        <v>Bosnia and Herzegovina</v>
      </c>
      <c r="AF15" s="123">
        <f>COUNTIF($S$7:$T$78,"=" &amp; AE15 &amp; "_win")</f>
        <v>2</v>
      </c>
      <c r="AG15" s="123">
        <f>COUNTIF($S$7:$T$78,"=" &amp; AE15 &amp; "_draw")</f>
        <v>0</v>
      </c>
      <c r="AH15" s="123">
        <f>COUNTIF($S$7:$T$78,"=" &amp; AE15 &amp; "_lose")</f>
        <v>1</v>
      </c>
      <c r="AI15" s="123">
        <f>SUMIF($E$7:$E$78,$AE15,$F$7:$F$78) + SUMIF($H$7:$H$78,$AE15,$G$7:$G$78)</f>
        <v>7</v>
      </c>
      <c r="AJ15" s="123">
        <f>SUMIF($E$7:$E$78,$AE15,$G$7:$G$78) + SUMIF($H$7:$H$78,$AE15,$F$7:$F$78)</f>
        <v>5</v>
      </c>
      <c r="AL15" s="123">
        <f>AI15-AJ15</f>
        <v>2</v>
      </c>
      <c r="AM15" s="123">
        <f>AL15-AL18</f>
        <v>7</v>
      </c>
      <c r="AN15" s="123">
        <f>AF15*3+AG15</f>
        <v>6</v>
      </c>
      <c r="AO15" s="123">
        <f>AN15/AN18*10+BA15</f>
        <v>6</v>
      </c>
      <c r="AP15" s="123">
        <f>AO15*10000000+BI15*100+AM15/AM18*10+AI15/AI18*1++IF(AQ15=0,ROW(),AQ15)/2000000</f>
        <v>60000006.085308306</v>
      </c>
      <c r="AQ15" s="126">
        <f>VLOOKUP(AE15,db_fifarank,2,FALSE)</f>
        <v>1385.84</v>
      </c>
      <c r="AR15" s="125">
        <f>AP15/AP18</f>
        <v>0.66666665182495377</v>
      </c>
      <c r="AS15" s="125" t="str">
        <f>IF(SUM(AF14:AH17)=12,J16,"2B")</f>
        <v>Bosnia and Herzegovina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0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0</v>
      </c>
      <c r="BA15" s="126">
        <f>AZ15/AZ18</f>
        <v>0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0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42"/>
      <c r="BL15" s="26" t="str">
        <f>IF(group_round_completed,VLOOKUP('3rd places'!I3,AK80:AS91,9,FALSE),"3rd Group C/D/F/G/H")</f>
        <v>Tunisia</v>
      </c>
      <c r="BM15" s="62">
        <v>1</v>
      </c>
      <c r="BN15" s="64"/>
      <c r="BO15" s="27"/>
      <c r="BP15" s="112">
        <f>IF(BP14="","",BM15*1000+BN15*10+BO15)</f>
        <v>1000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20:00</v>
      </c>
      <c r="BZ15" s="21"/>
      <c r="CA15" s="21"/>
      <c r="CB15" s="21"/>
      <c r="CC15" s="28"/>
      <c r="CD15" s="112">
        <f>DATE(2026,7,9)+TIME(9,0,0)+gmt_delta</f>
        <v>46212.833333333336</v>
      </c>
      <c r="CE15" s="112"/>
      <c r="CF15" s="21"/>
      <c r="CG15" s="21"/>
      <c r="CH15" s="21"/>
      <c r="CI15" s="21"/>
    </row>
    <row r="16" spans="1:95" x14ac:dyDescent="0.35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0.70833333333333337</v>
      </c>
      <c r="E16" s="78" t="str">
        <f>AE32</f>
        <v>Germany</v>
      </c>
      <c r="F16" s="19">
        <v>5</v>
      </c>
      <c r="G16" s="20">
        <v>1</v>
      </c>
      <c r="H16" s="80" t="str">
        <f>AE33</f>
        <v>Curaçao</v>
      </c>
      <c r="J16" s="33" t="str">
        <f>VLOOKUP(2,AD14:AN17,2,FALSE)</f>
        <v>Bosnia and Herzegovina</v>
      </c>
      <c r="K16" s="23">
        <f>L16+M16+N16</f>
        <v>3</v>
      </c>
      <c r="L16" s="23">
        <f>VLOOKUP(2,AD14:AN17,3,FALSE)</f>
        <v>2</v>
      </c>
      <c r="M16" s="23">
        <f>VLOOKUP(2,AD14:AN17,4,FALSE)</f>
        <v>0</v>
      </c>
      <c r="N16" s="23">
        <f>VLOOKUP(2,AD14:AN17,5,FALSE)</f>
        <v>1</v>
      </c>
      <c r="O16" s="23" t="str">
        <f>VLOOKUP(2,AD14:AN17,6,FALSE) &amp; " - " &amp; VLOOKUP(2,AD14:AN17,7,FALSE)</f>
        <v>7 - 5</v>
      </c>
      <c r="P16" s="34">
        <f>L16*3+M16</f>
        <v>6</v>
      </c>
      <c r="R16" s="123">
        <f>DATE(2026,6,14)+TIME(6,0,0)+gmt_delta</f>
        <v>46187.708333333336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4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1</v>
      </c>
      <c r="AH16" s="123">
        <f>COUNTIF($S$7:$T$78,"=" &amp; AE16 &amp; "_lose")</f>
        <v>2</v>
      </c>
      <c r="AI16" s="123">
        <f>SUMIF($E$7:$E$78,$AE16,$F$7:$F$78) + SUMIF($H$7:$H$78,$AE16,$G$7:$G$78)</f>
        <v>3</v>
      </c>
      <c r="AJ16" s="123">
        <f>SUMIF($E$7:$E$78,$AE16,$G$7:$G$78) + SUMIF($H$7:$H$78,$AE16,$F$7:$F$78)</f>
        <v>8</v>
      </c>
      <c r="AL16" s="123">
        <f>AI16-AJ16</f>
        <v>-5</v>
      </c>
      <c r="AM16" s="123">
        <f>AL16-AL18</f>
        <v>0</v>
      </c>
      <c r="AN16" s="123">
        <f>AF16*3+AG16</f>
        <v>1</v>
      </c>
      <c r="AO16" s="123">
        <f>AN16/AN18*10+BA16</f>
        <v>1.9806451612903224</v>
      </c>
      <c r="AP16" s="123">
        <f>AO16*10000000+BI16*100+AM16/AM18*10+AI16/AI18*1++IF(AQ16=0,ROW(),AQ16)/2000000</f>
        <v>19806549.978146832</v>
      </c>
      <c r="AQ16" s="126">
        <f>VLOOKUP(AE16,db_fifarank,2,FALSE)</f>
        <v>1454.96</v>
      </c>
      <c r="AR16" s="125">
        <f>AP16/AP18</f>
        <v>0.22007275031540377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1</v>
      </c>
      <c r="AV16" s="126" cm="1">
        <f t="array" ref="AV16">SUMPRODUCT(($E$7:$E$78=AE16)*($U$7:$U$78)*($F$7:$F$78))+SUMPRODUCT(($H$7:$H$78=AE16)*($U$7:$U$78)*($G$7:$G$78))</f>
        <v>2</v>
      </c>
      <c r="AW16" s="126" cm="1">
        <f t="array" ref="AW16">SUMPRODUCT(($E$7:$E$78=AE16)*($U$7:$U$78)*($G$7:$G$78))+SUMPRODUCT(($H$7:$H$78=AE16)*($U$7:$U$78)*($F$7:$F$78))</f>
        <v>2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50.666666666666664</v>
      </c>
      <c r="BA16" s="126">
        <f>AZ16/AZ18</f>
        <v>0.98064516129032253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1</v>
      </c>
      <c r="BD16" s="126" cm="1">
        <f t="array" ref="BD16">SUMPRODUCT(($E$7:$E$78=AE16)*($X$7:$X$78)*($F$7:$F$78))+SUMPRODUCT(($H$7:$H$78=AE16)*($X$7:$X$78)*($G$7:$G$78))</f>
        <v>2</v>
      </c>
      <c r="BE16" s="126" cm="1">
        <f t="array" ref="BE16">SUMPRODUCT(($E$7:$E$78=AE16)*($X$7:$X$78)*($G$7:$G$78))+SUMPRODUCT(($H$7:$H$78=AE16)*($X$7:$X$78)*($F$7:$F$78))</f>
        <v>2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50.666666666666664</v>
      </c>
      <c r="BI16" s="126">
        <f>BH16/BH18</f>
        <v>0.98064516129032253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41">
        <v>97</v>
      </c>
      <c r="BZ16" s="24" t="str">
        <f>IF(BW12&gt;BW13,BS12,IF(BW12&lt;BW13,BS13,""))</f>
        <v>Norway</v>
      </c>
      <c r="CA16" s="61">
        <v>3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3000</v>
      </c>
      <c r="CE16" s="112"/>
      <c r="CF16" s="21"/>
      <c r="CG16" s="21"/>
      <c r="CH16" s="21"/>
      <c r="CI16" s="21"/>
    </row>
    <row r="17" spans="1:95" x14ac:dyDescent="0.35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0.83333333333333337</v>
      </c>
      <c r="E17" s="78" t="str">
        <f>AE38</f>
        <v>Netherlands</v>
      </c>
      <c r="F17" s="19">
        <v>2</v>
      </c>
      <c r="G17" s="20">
        <v>1</v>
      </c>
      <c r="H17" s="80" t="str">
        <f>AE39</f>
        <v>Japan</v>
      </c>
      <c r="J17" s="33" t="str">
        <f>VLOOKUP(3,AD14:AN17,2,FALSE)</f>
        <v>Canada</v>
      </c>
      <c r="K17" s="23">
        <f>L17+M17+N17</f>
        <v>3</v>
      </c>
      <c r="L17" s="23">
        <f>VLOOKUP(3,AD14:AN17,3,FALSE)</f>
        <v>0</v>
      </c>
      <c r="M17" s="23">
        <f>VLOOKUP(3,AD14:AN17,4,FALSE)</f>
        <v>1</v>
      </c>
      <c r="N17" s="23">
        <f>VLOOKUP(3,AD14:AN17,5,FALSE)</f>
        <v>2</v>
      </c>
      <c r="O17" s="23" t="str">
        <f>VLOOKUP(3,AD14:AN17,6,FALSE) &amp; " - " &amp; VLOOKUP(3,AD14:AN17,7,FALSE)</f>
        <v>4 - 8</v>
      </c>
      <c r="P17" s="34">
        <f>L17*3+M17</f>
        <v>1</v>
      </c>
      <c r="R17" s="123">
        <f>DATE(2026,6,14)+TIME(9,0,0)+gmt_delta</f>
        <v>46187.833333333336</v>
      </c>
      <c r="S17" s="127" t="str">
        <f t="shared" si="1"/>
        <v>Netherlands_win</v>
      </c>
      <c r="T17" s="127" t="str">
        <f t="shared" si="2"/>
        <v>Japan_lose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1</v>
      </c>
      <c r="AD17" s="123">
        <f>COUNTIF(AR14:AR17,CONCATENATE("&gt;=",AR17))</f>
        <v>1</v>
      </c>
      <c r="AE17" s="124" t="str">
        <f>VLOOKUP("Switzerland",T,lang,FALSE)</f>
        <v>Switzerland</v>
      </c>
      <c r="AF17" s="123">
        <f>COUNTIF($S$7:$T$78,"=" &amp; AE17 &amp; "_win")</f>
        <v>3</v>
      </c>
      <c r="AG17" s="123">
        <f>COUNTIF($S$7:$T$78,"=" &amp; AE17 &amp; "_draw")</f>
        <v>0</v>
      </c>
      <c r="AH17" s="123">
        <f>COUNTIF($S$7:$T$78,"=" &amp; AE17 &amp; "_lose")</f>
        <v>0</v>
      </c>
      <c r="AI17" s="123">
        <f>SUMIF($E$7:$E$78,$AE17,$F$7:$F$78) + SUMIF($H$7:$H$78,$AE17,$G$7:$G$78)</f>
        <v>9</v>
      </c>
      <c r="AJ17" s="123">
        <f>SUMIF($E$7:$E$78,$AE17,$G$7:$G$78) + SUMIF($H$7:$H$78,$AE17,$F$7:$F$78)</f>
        <v>2</v>
      </c>
      <c r="AL17" s="123">
        <f>AI17-AJ17</f>
        <v>7</v>
      </c>
      <c r="AM17" s="123">
        <f>AL17-AL18</f>
        <v>12</v>
      </c>
      <c r="AN17" s="123">
        <f>AF17*3+AG17</f>
        <v>9</v>
      </c>
      <c r="AO17" s="123">
        <f>AN17/AN18*10+BA17</f>
        <v>9</v>
      </c>
      <c r="AP17" s="123">
        <f>AO17*10000000+BI17*100+AM17/AM18*10+AI17/AI18*1++IF(AQ17=0,ROW(),AQ17)/2000000</f>
        <v>90000010.131593943</v>
      </c>
      <c r="AQ17" s="126">
        <f>VLOOKUP(AE17,db_fifarank,2,FALSE)</f>
        <v>1649.4</v>
      </c>
      <c r="AR17" s="125">
        <f>AP17/AP18</f>
        <v>0.9999999888888903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0</v>
      </c>
      <c r="BA17" s="126">
        <f>AZ17/AZ18</f>
        <v>0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19:00</v>
      </c>
      <c r="BL17" s="21"/>
      <c r="BM17" s="21"/>
      <c r="BN17" s="21"/>
      <c r="BO17" s="28"/>
      <c r="BP17" s="112">
        <f>DATE(2026,6,28)+TIME(8,0,0)+gmt_delta</f>
        <v>46201.791666666672</v>
      </c>
      <c r="BQ17" s="112"/>
      <c r="BR17" s="21"/>
      <c r="BS17" s="21"/>
      <c r="BT17" s="21"/>
      <c r="BU17" s="21"/>
      <c r="BV17" s="21"/>
      <c r="BW17" s="114"/>
      <c r="BX17" s="115"/>
      <c r="BY17" s="142"/>
      <c r="BZ17" s="26" t="str">
        <f>IF(BW20&gt;BW21,BS20,IF(BW20&lt;BW21,BS21,""))</f>
        <v>Netherlands</v>
      </c>
      <c r="CA17" s="62">
        <v>1</v>
      </c>
      <c r="CB17" s="64"/>
      <c r="CC17" s="27"/>
      <c r="CD17" s="113">
        <f>IF(CD16="","",CA17*1000+CB17*10+CC17)</f>
        <v>1000</v>
      </c>
      <c r="CE17" s="117"/>
      <c r="CF17" s="21"/>
      <c r="CG17" s="21"/>
      <c r="CH17" s="21"/>
      <c r="CI17" s="21"/>
    </row>
    <row r="18" spans="1:95" x14ac:dyDescent="0.35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8.3333333333333329E-2</v>
      </c>
      <c r="E18" s="78" t="str">
        <f>AE40</f>
        <v>Sweden</v>
      </c>
      <c r="F18" s="19">
        <v>0</v>
      </c>
      <c r="G18" s="20">
        <v>8</v>
      </c>
      <c r="H18" s="80" t="str">
        <f>AE41</f>
        <v>Tunisia</v>
      </c>
      <c r="J18" s="35" t="str">
        <f>VLOOKUP(4,AD14:AN17,2,FALSE)</f>
        <v>Qatar</v>
      </c>
      <c r="K18" s="36">
        <f>L18+M18+N18</f>
        <v>3</v>
      </c>
      <c r="L18" s="36">
        <f>VLOOKUP(4,AD14:AN17,3,FALSE)</f>
        <v>0</v>
      </c>
      <c r="M18" s="36">
        <f>VLOOKUP(4,AD14:AN17,4,FALSE)</f>
        <v>1</v>
      </c>
      <c r="N18" s="36">
        <f>VLOOKUP(4,AD14:AN17,5,FALSE)</f>
        <v>2</v>
      </c>
      <c r="O18" s="36" t="str">
        <f>VLOOKUP(4,AD14:AN17,6,FALSE) &amp; " - " &amp; VLOOKUP(4,AD14:AN17,7,FALSE)</f>
        <v>3 - 8</v>
      </c>
      <c r="P18" s="37">
        <f>L18*3+M18</f>
        <v>1</v>
      </c>
      <c r="R18" s="123">
        <f>DATE(2026,6,14)+TIME(15,0,0)+gmt_delta</f>
        <v>46188.083333333336</v>
      </c>
      <c r="S18" s="127" t="str">
        <f t="shared" si="1"/>
        <v>Sweden_lose</v>
      </c>
      <c r="T18" s="127" t="str">
        <f t="shared" si="2"/>
        <v>Tunisia_win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-1</v>
      </c>
      <c r="AF18" s="123">
        <f t="shared" ref="AF18:AH18" si="13">MAX(AF14:AF17)-MIN(AF14:AF17)+1</f>
        <v>4</v>
      </c>
      <c r="AG18" s="123">
        <f t="shared" si="13"/>
        <v>2</v>
      </c>
      <c r="AH18" s="123">
        <f t="shared" si="13"/>
        <v>3</v>
      </c>
      <c r="AI18" s="123">
        <f>MAX(AI14:AI17)+1</f>
        <v>10</v>
      </c>
      <c r="AL18" s="123">
        <f>MIN(AL14:AL17)</f>
        <v>-5</v>
      </c>
      <c r="AM18" s="123">
        <f>MAX(AM14:AM17)+1</f>
        <v>13</v>
      </c>
      <c r="AN18" s="123">
        <f>MAX(AN14:AN17)+1</f>
        <v>10</v>
      </c>
      <c r="AO18" s="123">
        <f>MAX(AO14:AO17)+1</f>
        <v>10</v>
      </c>
      <c r="AP18" s="123">
        <f>MAX(AP14:AP17)+1</f>
        <v>90000011.131593943</v>
      </c>
      <c r="AT18" s="126">
        <f>MAX(AT14:AT17)-MIN(AT14:AT17)+1</f>
        <v>1</v>
      </c>
      <c r="AU18" s="126">
        <f>MAX(AU14:AU17)-MIN(AU14:AU17)+1</f>
        <v>2</v>
      </c>
      <c r="AV18" s="126">
        <f>MAX(AV14:AV17)-MIN(AV14:AV17)+1</f>
        <v>3</v>
      </c>
      <c r="AW18" s="126">
        <f>MAX(AW14:AW17)-MIN(AW14:AW17)+1</f>
        <v>3</v>
      </c>
      <c r="AY18" s="126">
        <f>MAX(AY14:AY17)-MIN(AY14:AY17)+1</f>
        <v>1</v>
      </c>
      <c r="AZ18" s="126">
        <f>MAX(AZ14:AZ17)+1</f>
        <v>51.666666666666664</v>
      </c>
      <c r="BB18" s="126">
        <f>MAX(BB14:BB17)-MIN(BB14:BB17)+1</f>
        <v>1</v>
      </c>
      <c r="BC18" s="126">
        <f>MAX(BC14:BC17)-MIN(BC14:BC17)+1</f>
        <v>2</v>
      </c>
      <c r="BD18" s="126">
        <f>MAX(BD14:BD17)-MIN(BD14:BD17)+1</f>
        <v>3</v>
      </c>
      <c r="BE18" s="126">
        <f>MAX(BE14:BE17)-MIN(BE14:BE17)+1</f>
        <v>3</v>
      </c>
      <c r="BG18" s="126">
        <f>MAX(BG14:BG17)-MIN(BG14:BG17)+1</f>
        <v>1</v>
      </c>
      <c r="BH18" s="126">
        <f>MAX(BH14:BH17)+1</f>
        <v>51.666666666666664</v>
      </c>
      <c r="BK18" s="141">
        <v>73</v>
      </c>
      <c r="BL18" s="24" t="str">
        <f>AS9</f>
        <v>Korea Republic</v>
      </c>
      <c r="BM18" s="61">
        <v>2</v>
      </c>
      <c r="BN18" s="63"/>
      <c r="BO18" s="25"/>
      <c r="BP18" s="112">
        <f>IF(OR(BM18="",BM19="",AND(BN18="",BN19&lt;&gt;""),AND(BN19="",BN18&lt;&gt;""),AND(BO18="",BO19&lt;&gt;""),AND(BO19="",BO18&lt;&gt;"")),"",BM18*1000+BN18*10+BO18)</f>
        <v>2000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35">
      <c r="A19" s="16">
        <v>13</v>
      </c>
      <c r="B19" s="17" t="str" cm="1">
        <f t="array" ref="B19">INDEX(T,18+INT(MOD(R19-1,7)),lang)</f>
        <v>Mon</v>
      </c>
      <c r="C19" s="18" t="str" cm="1">
        <f t="array" ref="C19">INDEX(T,24+MONTH(R19),lang) &amp; " " &amp; DAY(R19) &amp; ", " &amp; YEAR(R19)</f>
        <v>Jun 15, 2026</v>
      </c>
      <c r="D19" s="120">
        <f t="shared" si="7"/>
        <v>0.91666666666666663</v>
      </c>
      <c r="E19" s="78" t="str">
        <f>AE52</f>
        <v>Saudi Arabia</v>
      </c>
      <c r="F19" s="19">
        <v>0</v>
      </c>
      <c r="G19" s="20">
        <v>3</v>
      </c>
      <c r="H19" s="80" t="str">
        <f>AE53</f>
        <v>Uruguay</v>
      </c>
      <c r="R19" s="123">
        <f>DATE(2026,6,15)+TIME(11,0,0)+gmt_delta</f>
        <v>46188.916666666672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42"/>
      <c r="BL19" s="26" t="str">
        <f>AS15</f>
        <v>Bosnia and Herzegovina</v>
      </c>
      <c r="BM19" s="62">
        <v>1</v>
      </c>
      <c r="BN19" s="64"/>
      <c r="BO19" s="27"/>
      <c r="BP19" s="113">
        <f>IF(BP18="","",BM19*1000+BN19*10+BO19)</f>
        <v>1000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17:00</v>
      </c>
      <c r="BS19" s="21"/>
      <c r="BT19" s="21"/>
      <c r="BU19" s="21"/>
      <c r="BV19" s="28"/>
      <c r="BW19" s="114">
        <f>DATE(2026,7,4)+TIME(6,0,0)+gmt_delta</f>
        <v>46207.708333333336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35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0.66666666666666663</v>
      </c>
      <c r="E20" s="78" t="str">
        <f>AE50</f>
        <v>Spain</v>
      </c>
      <c r="F20" s="19">
        <v>5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46188.666666666672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3</v>
      </c>
      <c r="AG20" s="123">
        <f>COUNTIF($S$7:$T$78,"=" &amp; AE20 &amp; "_draw")</f>
        <v>0</v>
      </c>
      <c r="AH20" s="123">
        <f>COUNTIF($S$7:$T$78,"=" &amp; AE20 &amp; "_lose")</f>
        <v>0</v>
      </c>
      <c r="AI20" s="123">
        <f>SUMIF($E$7:$E$78,$AE20,$F$7:$F$78) + SUMIF($H$7:$H$78,$AE20,$G$7:$G$78)</f>
        <v>9</v>
      </c>
      <c r="AJ20" s="123">
        <f>SUMIF($E$7:$E$78,$AE20,$G$7:$G$78) + SUMIF($H$7:$H$78,$AE20,$F$7:$F$78)</f>
        <v>2</v>
      </c>
      <c r="AL20" s="123">
        <f>AI20-AJ20</f>
        <v>7</v>
      </c>
      <c r="AM20" s="123">
        <f>AL20-AL24</f>
        <v>15</v>
      </c>
      <c r="AN20" s="123">
        <f>AF20*3+AG20</f>
        <v>9</v>
      </c>
      <c r="AO20" s="123">
        <f>AN20/AN24*10+BA20</f>
        <v>9</v>
      </c>
      <c r="AP20" s="123">
        <f>AO20*10000000+BI20*100+AM20/AM24*10+AI20/AI24*1++IF(AQ20=0,ROW(),AQ20)/2000000</f>
        <v>90000010.27588059</v>
      </c>
      <c r="AQ20" s="126">
        <f>VLOOKUP(AE20,db_fifarank,2,FALSE)</f>
        <v>1761.16</v>
      </c>
      <c r="AR20" s="125">
        <f>AP20/AP24</f>
        <v>0.9999999888888903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0</v>
      </c>
      <c r="AV20" s="126" cm="1">
        <f t="array" ref="AV20">SUMPRODUCT(($E$7:$E$78=AE20)*($U$7:$U$78)*($F$7:$F$78))+SUMPRODUCT(($H$7:$H$78=AE20)*($U$7:$U$78)*($G$7:$G$78))</f>
        <v>0</v>
      </c>
      <c r="AW20" s="126" cm="1">
        <f t="array" ref="AW20">SUMPRODUCT(($E$7:$E$78=AE20)*($U$7:$U$78)*($G$7:$G$78))+SUMPRODUCT(($H$7:$H$78=AE20)*($U$7:$U$78)*($F$7:$F$78))</f>
        <v>0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0</v>
      </c>
      <c r="BA20" s="126">
        <f>AZ20/AZ24</f>
        <v>0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0</v>
      </c>
      <c r="BD20" s="126" cm="1">
        <f t="array" ref="BD20">SUMPRODUCT(($E$7:$E$78=AE20)*($X$7:$X$78)*($F$7:$F$78))+SUMPRODUCT(($H$7:$H$78=AE20)*($X$7:$X$78)*($G$7:$G$78))</f>
        <v>0</v>
      </c>
      <c r="BE20" s="126" cm="1">
        <f t="array" ref="BE20">SUMPRODUCT(($E$7:$E$78=AE20)*($X$7:$X$78)*($G$7:$G$78))+SUMPRODUCT(($H$7:$H$78=AE20)*($X$7:$X$78)*($F$7:$F$78))</f>
        <v>0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0</v>
      </c>
      <c r="BI20" s="126">
        <f>BH20/BH24</f>
        <v>0</v>
      </c>
      <c r="BK20" s="21"/>
      <c r="BL20" s="21"/>
      <c r="BM20" s="21"/>
      <c r="BN20" s="21"/>
      <c r="BO20" s="21"/>
      <c r="BP20" s="114"/>
      <c r="BQ20" s="112"/>
      <c r="BR20" s="141">
        <v>90</v>
      </c>
      <c r="BS20" s="24" t="str">
        <f>IF(BP18&gt;BP19,BL18,IF(BP18&lt;BP19,BL19,""))</f>
        <v>Korea Republic</v>
      </c>
      <c r="BT20" s="61">
        <v>0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35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4.1666666666666664E-2</v>
      </c>
      <c r="E21" s="78" t="str">
        <f>AE46</f>
        <v>Iran</v>
      </c>
      <c r="F21" s="19">
        <v>1</v>
      </c>
      <c r="G21" s="20">
        <v>1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3</v>
      </c>
      <c r="M21" s="31">
        <f>VLOOKUP(1,AD20:AN23,4,FALSE)</f>
        <v>0</v>
      </c>
      <c r="N21" s="31">
        <f>VLOOKUP(1,AD20:AN23,5,FALSE)</f>
        <v>0</v>
      </c>
      <c r="O21" s="31" t="str">
        <f>VLOOKUP(1,AD20:AN23,6,FALSE) &amp; " - " &amp; VLOOKUP(1,AD20:AN23,7,FALSE)</f>
        <v>9 - 2</v>
      </c>
      <c r="P21" s="32">
        <f>L21*3+M21</f>
        <v>9</v>
      </c>
      <c r="R21" s="123">
        <f>DATE(2026,6,15)+TIME(14,0,0)+gmt_delta</f>
        <v>46189.041666666672</v>
      </c>
      <c r="S21" s="127" t="str">
        <f t="shared" si="1"/>
        <v>Iran_draw</v>
      </c>
      <c r="T21" s="127" t="str">
        <f t="shared" si="2"/>
        <v>New Zealand_draw</v>
      </c>
      <c r="U21" s="123">
        <f t="shared" si="8"/>
        <v>0</v>
      </c>
      <c r="V21" s="123">
        <f t="shared" si="3"/>
        <v>0</v>
      </c>
      <c r="W21" s="123">
        <f t="shared" si="4"/>
        <v>0</v>
      </c>
      <c r="X21" s="123">
        <f t="shared" si="9"/>
        <v>0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0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2</v>
      </c>
      <c r="AG21" s="123">
        <f>COUNTIF($S$7:$T$78,"=" &amp; AE21 &amp; "_draw")</f>
        <v>0</v>
      </c>
      <c r="AH21" s="123">
        <f>COUNTIF($S$7:$T$78,"=" &amp; AE21 &amp; "_lose")</f>
        <v>1</v>
      </c>
      <c r="AI21" s="123">
        <f>SUMIF($E$7:$E$78,$AE21,$F$7:$F$78) + SUMIF($H$7:$H$78,$AE21,$G$7:$G$78)</f>
        <v>7</v>
      </c>
      <c r="AJ21" s="123">
        <f>SUMIF($E$7:$E$78,$AE21,$G$7:$G$78) + SUMIF($H$7:$H$78,$AE21,$F$7:$F$78)</f>
        <v>5</v>
      </c>
      <c r="AL21" s="123">
        <f>AI21-AJ21</f>
        <v>2</v>
      </c>
      <c r="AM21" s="123">
        <f>AL21-AL24</f>
        <v>10</v>
      </c>
      <c r="AN21" s="123">
        <f>AF21*3+AG21</f>
        <v>6</v>
      </c>
      <c r="AO21" s="123">
        <f>AN21/AN24*10+BA21</f>
        <v>6</v>
      </c>
      <c r="AP21" s="123">
        <f>AO21*10000000+BI21*100+AM21/AM24*10+AI21/AI24*1++IF(AQ21=0,ROW(),AQ21)/2000000</f>
        <v>60000006.950877935</v>
      </c>
      <c r="AQ21" s="126">
        <f>VLOOKUP(AE21,db_fifarank,2,FALSE)</f>
        <v>1755.87</v>
      </c>
      <c r="AR21" s="125">
        <f>AP21/AP24</f>
        <v>0.66666666037360311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0</v>
      </c>
      <c r="AV21" s="126" cm="1">
        <f t="array" ref="AV21">SUMPRODUCT(($E$7:$E$78=AE21)*($U$7:$U$78)*($F$7:$F$78))+SUMPRODUCT(($H$7:$H$78=AE21)*($U$7:$U$78)*($G$7:$G$78))</f>
        <v>0</v>
      </c>
      <c r="AW21" s="126" cm="1">
        <f t="array" ref="AW21">SUMPRODUCT(($E$7:$E$78=AE21)*($U$7:$U$78)*($G$7:$G$78))+SUMPRODUCT(($H$7:$H$78=AE21)*($U$7:$U$78)*($F$7:$F$78))</f>
        <v>0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0</v>
      </c>
      <c r="BA21" s="126">
        <f>AZ21/AZ24</f>
        <v>0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0</v>
      </c>
      <c r="BD21" s="126" cm="1">
        <f t="array" ref="BD21">SUMPRODUCT(($E$7:$E$78=AE21)*($X$7:$X$78)*($F$7:$F$78))+SUMPRODUCT(($H$7:$H$78=AE21)*($X$7:$X$78)*($G$7:$G$78))</f>
        <v>0</v>
      </c>
      <c r="BE21" s="126" cm="1">
        <f t="array" ref="BE21">SUMPRODUCT(($E$7:$E$78=AE21)*($X$7:$X$78)*($G$7:$G$78))+SUMPRODUCT(($H$7:$H$78=AE21)*($X$7:$X$78)*($F$7:$F$78))</f>
        <v>0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0</v>
      </c>
      <c r="BI21" s="126">
        <f>BH21/BH24</f>
        <v>0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01:00</v>
      </c>
      <c r="BL21" s="21"/>
      <c r="BM21" s="21"/>
      <c r="BN21" s="21"/>
      <c r="BO21" s="28"/>
      <c r="BP21" s="114">
        <f>DATE(2026,6,29)+TIME(14,0,0)+gmt_delta</f>
        <v>46203.041666666672</v>
      </c>
      <c r="BQ21" s="115"/>
      <c r="BR21" s="142"/>
      <c r="BS21" s="26" t="str">
        <f>IF(BP22&gt;BP23,BL22,IF(BP22&lt;BP23,BL23,""))</f>
        <v>Netherlands</v>
      </c>
      <c r="BT21" s="62">
        <v>3</v>
      </c>
      <c r="BU21" s="64"/>
      <c r="BV21" s="27"/>
      <c r="BW21" s="112">
        <f>IF(BW20="","",BT21*1000+BU21*10+BV21)</f>
        <v>3000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35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0.79166666666666663</v>
      </c>
      <c r="E22" s="78" t="str">
        <f>AE44</f>
        <v>Belgium</v>
      </c>
      <c r="F22" s="19">
        <v>3</v>
      </c>
      <c r="G22" s="20">
        <v>1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2</v>
      </c>
      <c r="M22" s="23">
        <f>VLOOKUP(2,AD20:AN23,4,FALSE)</f>
        <v>0</v>
      </c>
      <c r="N22" s="23">
        <f>VLOOKUP(2,AD20:AN23,5,FALSE)</f>
        <v>1</v>
      </c>
      <c r="O22" s="23" t="str">
        <f>VLOOKUP(2,AD20:AN23,6,FALSE) &amp; " - " &amp; VLOOKUP(2,AD20:AN23,7,FALSE)</f>
        <v>7 - 5</v>
      </c>
      <c r="P22" s="34">
        <f>L22*3+M22</f>
        <v>6</v>
      </c>
      <c r="R22" s="123">
        <f>DATE(2026,6,15)+TIME(8,0,0)+gmt_delta</f>
        <v>46188.791666666672</v>
      </c>
      <c r="S22" s="127" t="str">
        <f t="shared" si="1"/>
        <v>Belgium_win</v>
      </c>
      <c r="T22" s="127" t="str">
        <f t="shared" si="2"/>
        <v>Egypt_lose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1</v>
      </c>
      <c r="AJ22" s="123">
        <f>SUMIF($E$7:$E$78,$AE22,$G$7:$G$78) + SUMIF($H$7:$H$78,$AE22,$F$7:$F$78)</f>
        <v>9</v>
      </c>
      <c r="AL22" s="123">
        <f>AI22-AJ22</f>
        <v>-8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0.10064585500000001</v>
      </c>
      <c r="AQ22" s="126">
        <f>VLOOKUP(AE22,db_fifarank,2,FALSE)</f>
        <v>1291.71</v>
      </c>
      <c r="AR22" s="125">
        <f>AP22/AP24</f>
        <v>1.1182871376703086E-9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41">
        <v>75</v>
      </c>
      <c r="BL22" s="24" t="str">
        <f>AS38</f>
        <v>Netherlands</v>
      </c>
      <c r="BM22" s="61">
        <v>2</v>
      </c>
      <c r="BN22" s="63"/>
      <c r="BO22" s="25"/>
      <c r="BP22" s="116">
        <f>IF(OR(BM22="",BM23="",AND(BN22="",BN23&lt;&gt;""),AND(BN23="",BN22&lt;&gt;""),AND(BO22="",BO23&lt;&gt;""),AND(BO23="",BO22&lt;&gt;"")),"",BM22*1000+BN22*10+BO22)</f>
        <v>2000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19:00</v>
      </c>
      <c r="CG22" s="21"/>
      <c r="CH22" s="21"/>
      <c r="CI22" s="21"/>
      <c r="CJ22" s="28"/>
      <c r="CK22" s="111">
        <f>DATE(2026,7,14)+TIME(8,0,0)+gmt_delta</f>
        <v>46217.791666666672</v>
      </c>
    </row>
    <row r="23" spans="1:95" x14ac:dyDescent="0.35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0.79166666666666663</v>
      </c>
      <c r="E23" s="78" t="str">
        <f>AE56</f>
        <v>France</v>
      </c>
      <c r="F23" s="19">
        <v>3</v>
      </c>
      <c r="G23" s="20">
        <v>0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0</v>
      </c>
      <c r="N23" s="23">
        <f>VLOOKUP(3,AD20:AN23,5,FALSE)</f>
        <v>2</v>
      </c>
      <c r="O23" s="23" t="str">
        <f>VLOOKUP(3,AD20:AN23,6,FALSE) &amp; " - " &amp; VLOOKUP(3,AD20:AN23,7,FALSE)</f>
        <v>5 - 6</v>
      </c>
      <c r="P23" s="34">
        <f>L23*3+M23</f>
        <v>3</v>
      </c>
      <c r="R23" s="123">
        <f>DATE(2026,6,16)+TIME(8,0,0)+gmt_delta</f>
        <v>46189.791666666672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0</v>
      </c>
      <c r="AH23" s="123">
        <f>COUNTIF($S$7:$T$78,"=" &amp; AE23 &amp; "_lose")</f>
        <v>2</v>
      </c>
      <c r="AI23" s="123">
        <f>SUMIF($E$7:$E$78,$AE23,$F$7:$F$78) + SUMIF($H$7:$H$78,$AE23,$G$7:$G$78)</f>
        <v>5</v>
      </c>
      <c r="AJ23" s="123">
        <f>SUMIF($E$7:$E$78,$AE23,$G$7:$G$78) + SUMIF($H$7:$H$78,$AE23,$F$7:$F$78)</f>
        <v>6</v>
      </c>
      <c r="AL23" s="123">
        <f>AI23-AJ23</f>
        <v>-1</v>
      </c>
      <c r="AM23" s="123">
        <f>AL23-AL24</f>
        <v>7</v>
      </c>
      <c r="AN23" s="123">
        <f>AF23*3+AG23</f>
        <v>3</v>
      </c>
      <c r="AO23" s="123">
        <f>AN23/AN24*10+BA23</f>
        <v>3</v>
      </c>
      <c r="AP23" s="123">
        <f>AO23*10000000+BI23*100+AM23/AM24*10+AI23/AI24*1++IF(AQ23=0,ROW(),AQ23)/2000000</f>
        <v>30000004.875749175</v>
      </c>
      <c r="AQ23" s="126">
        <f>VLOOKUP(AE23,db_fifarank,2,FALSE)</f>
        <v>1498.35</v>
      </c>
      <c r="AR23" s="125">
        <f>AP23/AP24</f>
        <v>0.33333334574580192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42"/>
      <c r="BL23" s="26" t="str">
        <f>AS21</f>
        <v>Morocco</v>
      </c>
      <c r="BM23" s="62">
        <v>1</v>
      </c>
      <c r="BN23" s="64"/>
      <c r="BO23" s="27"/>
      <c r="BP23" s="112">
        <f>IF(BP22="","",BM23*1000+BN23*10+BO23)</f>
        <v>1000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41">
        <v>101</v>
      </c>
      <c r="CG23" s="24" t="str">
        <f>IF(CD16&gt;CD17,BZ16,IF(CD16&lt;CD17,BZ17,""))</f>
        <v>Norway</v>
      </c>
      <c r="CH23" s="61">
        <v>0</v>
      </c>
      <c r="CI23" s="63"/>
      <c r="CJ23" s="25"/>
      <c r="CK23" s="112">
        <f>IF(OR(CH23="",CH24="",AND(CI23="",CI24&lt;&gt;""),AND(CI24="",CI23&lt;&gt;""),AND(CJ23="",CJ24&lt;&gt;""),AND(CJ24="",CJ23&lt;&gt;"")),"",CH23*1000+CI23*10+CJ23)</f>
        <v>0</v>
      </c>
    </row>
    <row r="24" spans="1:95" x14ac:dyDescent="0.35">
      <c r="A24" s="16">
        <v>18</v>
      </c>
      <c r="B24" s="17" t="str" cm="1">
        <f t="array" ref="B24">INDEX(T,18+INT(MOD(R24-1,7)),lang)</f>
        <v>Tue</v>
      </c>
      <c r="C24" s="18" t="str" cm="1">
        <f t="array" ref="C24">INDEX(T,24+MONTH(R24),lang) &amp; " " &amp; DAY(R24) &amp; ", " &amp; YEAR(R24)</f>
        <v>Jun 16, 2026</v>
      </c>
      <c r="D24" s="120">
        <f t="shared" si="7"/>
        <v>0.91666666666666663</v>
      </c>
      <c r="E24" s="78" t="str">
        <f>AE58</f>
        <v>Iraq</v>
      </c>
      <c r="F24" s="19">
        <v>0</v>
      </c>
      <c r="G24" s="20">
        <v>8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1 - 9</v>
      </c>
      <c r="P24" s="37">
        <f>L24*3+M24</f>
        <v>0</v>
      </c>
      <c r="R24" s="123">
        <f>DATE(2026,6,16)+TIME(11,0,0)+gmt_delta</f>
        <v>46189.916666666672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4</v>
      </c>
      <c r="AG24" s="123">
        <f t="shared" si="14"/>
        <v>1</v>
      </c>
      <c r="AH24" s="123">
        <f t="shared" si="14"/>
        <v>4</v>
      </c>
      <c r="AI24" s="123">
        <f>MAX(AI20:AI23)+1</f>
        <v>10</v>
      </c>
      <c r="AL24" s="123">
        <f>MIN(AL20:AL23)</f>
        <v>-8</v>
      </c>
      <c r="AM24" s="123">
        <f>MAX(AM20:AM23)+1</f>
        <v>16</v>
      </c>
      <c r="AN24" s="123">
        <f>MAX(AN20:AN23)+1</f>
        <v>10</v>
      </c>
      <c r="AO24" s="123">
        <f>MAX(AO20:AO23)+1</f>
        <v>10</v>
      </c>
      <c r="AP24" s="123">
        <f>MAX(AP20:AP23)+1</f>
        <v>90000011.27588059</v>
      </c>
      <c r="AT24" s="126">
        <f>MAX(AT20:AT23)-MIN(AT20:AT23)+1</f>
        <v>1</v>
      </c>
      <c r="AU24" s="126">
        <f>MAX(AU20:AU23)-MIN(AU20:AU23)+1</f>
        <v>1</v>
      </c>
      <c r="AV24" s="126">
        <f>MAX(AV20:AV23)-MIN(AV20:AV23)+1</f>
        <v>1</v>
      </c>
      <c r="AW24" s="126">
        <f>MAX(AW20:AW23)-MIN(AW20:AW23)+1</f>
        <v>1</v>
      </c>
      <c r="AY24" s="126">
        <f>MAX(AY20:AY23)-MIN(AY20:AY23)+1</f>
        <v>1</v>
      </c>
      <c r="AZ24" s="126">
        <f>MAX(AZ20:AZ23)+1</f>
        <v>1</v>
      </c>
      <c r="BB24" s="126">
        <f>MAX(BB20:BB23)-MIN(BB20:BB23)+1</f>
        <v>1</v>
      </c>
      <c r="BC24" s="126">
        <f>MAX(BC20:BC23)-MIN(BC20:BC23)+1</f>
        <v>1</v>
      </c>
      <c r="BD24" s="126">
        <f>MAX(BD20:BD23)-MIN(BD20:BD23)+1</f>
        <v>1</v>
      </c>
      <c r="BE24" s="126">
        <f>MAX(BE20:BE23)-MIN(BE20:BE23)+1</f>
        <v>1</v>
      </c>
      <c r="BG24" s="126">
        <f>MAX(BG20:BG23)-MIN(BG20:BG23)+1</f>
        <v>1</v>
      </c>
      <c r="BH24" s="126">
        <f>MAX(BH20:BH23)+1</f>
        <v>1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42"/>
      <c r="CG24" s="26" t="str">
        <f>IF(CD32&gt;CD33,BZ32,IF(CD32&lt;CD33,BZ33,""))</f>
        <v>Spain</v>
      </c>
      <c r="CH24" s="62">
        <v>2</v>
      </c>
      <c r="CI24" s="64"/>
      <c r="CJ24" s="27"/>
      <c r="CK24" s="113">
        <f>IF(CK23="","",CH24*1000+CI24*10+CJ24)</f>
        <v>2000</v>
      </c>
    </row>
    <row r="25" spans="1:95" x14ac:dyDescent="0.35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4.1666666666666664E-2</v>
      </c>
      <c r="E25" s="78" t="str">
        <f>AE62</f>
        <v>Argentina</v>
      </c>
      <c r="F25" s="19">
        <v>4</v>
      </c>
      <c r="G25" s="20">
        <v>0</v>
      </c>
      <c r="H25" s="80" t="str">
        <f>AE63</f>
        <v>Algeria</v>
      </c>
      <c r="R25" s="123">
        <f>DATE(2026,6,16)+TIME(14,0,0)+gmt_delta</f>
        <v>46190.041666666672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1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2, 2026   23:00</v>
      </c>
      <c r="BL25" s="21"/>
      <c r="BM25" s="21"/>
      <c r="BN25" s="21"/>
      <c r="BO25" s="29"/>
      <c r="BP25" s="112">
        <f>DATE(2026,7,2)+TIME(12,0,0)+gmt_delta</f>
        <v>46205.958333333336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35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0.16666666666666666</v>
      </c>
      <c r="E26" s="78" t="str">
        <f>AE64</f>
        <v>Austria</v>
      </c>
      <c r="F26" s="19">
        <v>2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46190.166666666672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4</v>
      </c>
      <c r="AE26" s="124" t="str">
        <f>VLOOKUP("United States",T,lang,FALSE)</f>
        <v>United States</v>
      </c>
      <c r="AF26" s="123">
        <f>COUNTIF($S$7:$T$78,"=" &amp; AE26 &amp; "_win")</f>
        <v>0</v>
      </c>
      <c r="AG26" s="123">
        <f>COUNTIF($S$7:$T$78,"=" &amp; AE26 &amp; "_draw")</f>
        <v>1</v>
      </c>
      <c r="AH26" s="123">
        <f>COUNTIF($S$7:$T$78,"=" &amp; AE26 &amp; "_lose")</f>
        <v>2</v>
      </c>
      <c r="AI26" s="123">
        <f>SUMIF($E$7:$E$78,$AE26,$F$7:$F$78) + SUMIF($H$7:$H$78,$AE26,$G$7:$G$78)</f>
        <v>0</v>
      </c>
      <c r="AJ26" s="123">
        <f>SUMIF($E$7:$E$78,$AE26,$G$7:$G$78) + SUMIF($H$7:$H$78,$AE26,$F$7:$F$78)</f>
        <v>12</v>
      </c>
      <c r="AL26" s="123">
        <f>AI26-AJ26</f>
        <v>-12</v>
      </c>
      <c r="AM26" s="123">
        <f>AL26-AL30</f>
        <v>0</v>
      </c>
      <c r="AN26" s="123">
        <f>AF26*3+AG26</f>
        <v>1</v>
      </c>
      <c r="AO26" s="123">
        <f>AN26/AN30*10+BA26</f>
        <v>1.2565573770491802</v>
      </c>
      <c r="AP26" s="123">
        <f>AO26*10000000+BI26*100+AM26/AM30*10+AI26/AI30*1++IF(AQ26=0,ROW(),AQ26)/2000000</f>
        <v>12565573.771328367</v>
      </c>
      <c r="AQ26" s="126">
        <f>VLOOKUP(AE26,db_fifarank,2,FALSE)</f>
        <v>1673.13</v>
      </c>
      <c r="AR26" s="125">
        <f>AP26/AP30</f>
        <v>0.143499000527191</v>
      </c>
      <c r="AS26" s="125" t="str">
        <f>IF(SUM(AF26:AH29)=12,J27,"1D")</f>
        <v>Turkey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1</v>
      </c>
      <c r="AZ26" s="126">
        <f>AT26/AT30*1000+AU26/AU30*100+AY26/AY30*10+AV26/AV30</f>
        <v>3.333333333333333</v>
      </c>
      <c r="BA26" s="126">
        <f>AZ26/AZ30</f>
        <v>6.557377049180327E-3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41">
        <v>83</v>
      </c>
      <c r="BL26" s="24" t="str">
        <f>AS69</f>
        <v>Colombia</v>
      </c>
      <c r="BM26" s="61">
        <v>0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35">
      <c r="A27" s="16">
        <v>21</v>
      </c>
      <c r="B27" s="17" t="str" cm="1">
        <f t="array" ref="B27">INDEX(T,18+INT(MOD(R27-1,7)),lang)</f>
        <v>Wed</v>
      </c>
      <c r="C27" s="18" t="str" cm="1">
        <f t="array" ref="C27">INDEX(T,24+MONTH(R27),lang) &amp; " " &amp; DAY(R27) &amp; ", " &amp; YEAR(R27)</f>
        <v>Jun 17, 2026</v>
      </c>
      <c r="D27" s="120">
        <f t="shared" si="7"/>
        <v>0.95833333333333337</v>
      </c>
      <c r="E27" s="78" t="str">
        <f>AE76</f>
        <v>Ghana</v>
      </c>
      <c r="F27" s="19">
        <v>3</v>
      </c>
      <c r="G27" s="20">
        <v>1</v>
      </c>
      <c r="H27" s="80" t="str">
        <f>AE77</f>
        <v>Panama</v>
      </c>
      <c r="J27" s="30" t="str">
        <f>VLOOKUP(1,AD26:AN29,2,FALSE)</f>
        <v>Turkey</v>
      </c>
      <c r="K27" s="31">
        <f>L27+M27+N27</f>
        <v>3</v>
      </c>
      <c r="L27" s="31">
        <f>VLOOKUP(1,AD26:AN29,3,FALSE)</f>
        <v>2</v>
      </c>
      <c r="M27" s="31">
        <f>VLOOKUP(1,AD26:AN29,4,FALSE)</f>
        <v>1</v>
      </c>
      <c r="N27" s="31">
        <f>VLOOKUP(1,AD26:AN29,5,FALSE)</f>
        <v>0</v>
      </c>
      <c r="O27" s="31" t="str">
        <f>VLOOKUP(1,AD26:AN29,6,FALSE) &amp; " - " &amp; VLOOKUP(1,AD26:AN29,7,FALSE)</f>
        <v>7 - 2</v>
      </c>
      <c r="P27" s="32">
        <f>L27*3+M27</f>
        <v>7</v>
      </c>
      <c r="R27" s="123">
        <f>DATE(2026,6,17)+TIME(12,0,0)+gmt_delta</f>
        <v>46190.958333333336</v>
      </c>
      <c r="S27" s="127" t="str">
        <f t="shared" si="1"/>
        <v>Ghana_win</v>
      </c>
      <c r="T27" s="127" t="str">
        <f t="shared" si="2"/>
        <v>Panama_lose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1</v>
      </c>
      <c r="AD27" s="123">
        <f>COUNTIF(AR26:AR29,CONCATENATE("&gt;=",AR27))</f>
        <v>2</v>
      </c>
      <c r="AE27" s="124" t="str">
        <f>VLOOKUP("Paraguay",T,lang,FALSE)</f>
        <v>Paraguay</v>
      </c>
      <c r="AF27" s="123">
        <f>COUNTIF($S$7:$T$78,"=" &amp; AE27 &amp; "_win")</f>
        <v>1</v>
      </c>
      <c r="AG27" s="123">
        <f>COUNTIF($S$7:$T$78,"=" &amp; AE27 &amp; "_draw")</f>
        <v>1</v>
      </c>
      <c r="AH27" s="123">
        <f>COUNTIF($S$7:$T$78,"=" &amp; AE27 &amp; "_lose")</f>
        <v>1</v>
      </c>
      <c r="AI27" s="123">
        <f>SUMIF($E$7:$E$78,$AE27,$F$7:$F$78) + SUMIF($H$7:$H$78,$AE27,$G$7:$G$78)</f>
        <v>3</v>
      </c>
      <c r="AJ27" s="123">
        <f>SUMIF($E$7:$E$78,$AE27,$G$7:$G$78) + SUMIF($H$7:$H$78,$AE27,$F$7:$F$78)</f>
        <v>3</v>
      </c>
      <c r="AL27" s="123">
        <f>AI27-AJ27</f>
        <v>0</v>
      </c>
      <c r="AM27" s="123">
        <f>AL27-AL30</f>
        <v>12</v>
      </c>
      <c r="AN27" s="123">
        <f>AF27*3+AG27</f>
        <v>4</v>
      </c>
      <c r="AO27" s="123">
        <f>AN27/AN30*10+BA27</f>
        <v>5.9980327868852461</v>
      </c>
      <c r="AP27" s="123">
        <f>AO27*10000000+BI27*100+AM27/AM30*10+AI27/AI30*1++IF(AQ27=0,ROW(),AQ27)/2000000</f>
        <v>59980334.142331481</v>
      </c>
      <c r="AQ27" s="126">
        <f>VLOOKUP(AE27,db_fifarank,2,FALSE)</f>
        <v>1503.5</v>
      </c>
      <c r="AR27" s="125">
        <f>AP27/AP30</f>
        <v>0.68497612264637697</v>
      </c>
      <c r="AS27" s="125" t="str">
        <f>IF(SUM(AF26:AH29)=12,J28,"2D")</f>
        <v>Paraguay</v>
      </c>
      <c r="AT27" s="126" cm="1">
        <f t="array" ref="AT27">SUMPRODUCT(($S$7:$S$78=AE27&amp;"_win")*($U$7:$U$78))+SUMPRODUCT(($T$7:$T$78=AE27&amp;"_win")*($U$7:$U$78))</f>
        <v>1</v>
      </c>
      <c r="AU27" s="126" cm="1">
        <f t="array" ref="AU27">SUMPRODUCT(($S$7:$S$78=AE27&amp;"_draw")*($U$7:$U$78))+SUMPRODUCT(($T$7:$T$78=AE27&amp;"_draw")*($U$7:$U$78))</f>
        <v>0</v>
      </c>
      <c r="AV27" s="126" cm="1">
        <f t="array" ref="AV27">SUMPRODUCT(($E$7:$E$78=AE27)*($U$7:$U$78)*($F$7:$F$78))+SUMPRODUCT(($H$7:$H$78=AE27)*($U$7:$U$78)*($G$7:$G$78))</f>
        <v>2</v>
      </c>
      <c r="AW27" s="126" cm="1">
        <f t="array" ref="AW27">SUMPRODUCT(($E$7:$E$78=AE27)*($U$7:$U$78)*($G$7:$G$78))+SUMPRODUCT(($H$7:$H$78=AE27)*($U$7:$U$78)*($F$7:$F$78))</f>
        <v>1</v>
      </c>
      <c r="AX27" s="126">
        <f>AV27-AW27</f>
        <v>1</v>
      </c>
      <c r="AY27" s="126">
        <f>AX27-MIN(AX26:AX29)</f>
        <v>2</v>
      </c>
      <c r="AZ27" s="126">
        <f>AT27/AT30*1000+AU27/AU30*100+AY27/AY30*10+AV27/AV30</f>
        <v>507.33333333333337</v>
      </c>
      <c r="BA27" s="126">
        <f>AZ27/AZ30</f>
        <v>0.99803278688524588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142"/>
      <c r="BL27" s="26" t="str">
        <f>AS75</f>
        <v>England</v>
      </c>
      <c r="BM27" s="62">
        <v>2</v>
      </c>
      <c r="BN27" s="64"/>
      <c r="BO27" s="27"/>
      <c r="BP27" s="113">
        <f>IF(BP26="","",BM27*1000+BN27*10+BO27)</f>
        <v>2000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19:00</v>
      </c>
      <c r="BS27" s="21"/>
      <c r="BT27" s="21"/>
      <c r="BU27" s="21"/>
      <c r="BV27" s="28"/>
      <c r="BW27" s="112">
        <f>DATE(2026,7,6)+TIME(8,0,0)+gmt_delta</f>
        <v>46209.791666666672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35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0.83333333333333337</v>
      </c>
      <c r="E28" s="78" t="str">
        <f>AE74</f>
        <v>England</v>
      </c>
      <c r="F28" s="19">
        <v>2</v>
      </c>
      <c r="G28" s="20">
        <v>3</v>
      </c>
      <c r="H28" s="80" t="str">
        <f>AE75</f>
        <v>Croatia</v>
      </c>
      <c r="J28" s="33" t="str">
        <f>VLOOKUP(2,AD26:AN29,2,FALSE)</f>
        <v>Paraguay</v>
      </c>
      <c r="K28" s="23">
        <f>L28+M28+N28</f>
        <v>3</v>
      </c>
      <c r="L28" s="23">
        <f>VLOOKUP(2,AD26:AN29,3,FALSE)</f>
        <v>1</v>
      </c>
      <c r="M28" s="23">
        <f>VLOOKUP(2,AD26:AN29,4,FALSE)</f>
        <v>1</v>
      </c>
      <c r="N28" s="23">
        <f>VLOOKUP(2,AD26:AN29,5,FALSE)</f>
        <v>1</v>
      </c>
      <c r="O28" s="23" t="str">
        <f>VLOOKUP(2,AD26:AN29,6,FALSE) &amp; " - " &amp; VLOOKUP(2,AD26:AN29,7,FALSE)</f>
        <v>3 - 3</v>
      </c>
      <c r="P28" s="34">
        <f>L28*3+M28</f>
        <v>4</v>
      </c>
      <c r="R28" s="123">
        <f>DATE(2026,6,17)+TIME(9,0,0)+gmt_delta</f>
        <v>46190.833333333336</v>
      </c>
      <c r="S28" s="127" t="str">
        <f t="shared" si="1"/>
        <v>England_lose</v>
      </c>
      <c r="T28" s="127" t="str">
        <f t="shared" si="2"/>
        <v>Croatia_win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-1</v>
      </c>
      <c r="AD28" s="123">
        <f>COUNTIF(AR26:AR29,CONCATENATE("&gt;=",AR28))</f>
        <v>3</v>
      </c>
      <c r="AE28" s="124" t="str">
        <f>VLOOKUP("Australia",T,lang,FALSE)</f>
        <v>Australia</v>
      </c>
      <c r="AF28" s="123">
        <f>COUNTIF($S$7:$T$78,"=" &amp; AE28 &amp; "_win")</f>
        <v>1</v>
      </c>
      <c r="AG28" s="123">
        <f>COUNTIF($S$7:$T$78,"=" &amp; AE28 &amp; "_draw")</f>
        <v>1</v>
      </c>
      <c r="AH28" s="123">
        <f>COUNTIF($S$7:$T$78,"=" &amp; AE28 &amp; "_lose")</f>
        <v>1</v>
      </c>
      <c r="AI28" s="123">
        <f>SUMIF($E$7:$E$78,$AE28,$F$7:$F$78) + SUMIF($H$7:$H$78,$AE28,$G$7:$G$78)</f>
        <v>10</v>
      </c>
      <c r="AJ28" s="123">
        <f>SUMIF($E$7:$E$78,$AE28,$G$7:$G$78) + SUMIF($H$7:$H$78,$AE28,$F$7:$F$78)</f>
        <v>3</v>
      </c>
      <c r="AL28" s="123">
        <f>AI28-AJ28</f>
        <v>7</v>
      </c>
      <c r="AM28" s="123">
        <f>AL28-AL30</f>
        <v>19</v>
      </c>
      <c r="AN28" s="123">
        <f>AF28*3+AG28</f>
        <v>4</v>
      </c>
      <c r="AO28" s="123">
        <f>AN28/AN30*10+BA28</f>
        <v>5.0006557377049177</v>
      </c>
      <c r="AP28" s="123">
        <f>AO28*10000000+BI28*100+AM28/AM30*10+AI28/AI30*1++IF(AQ28=0,ROW(),AQ28)/2000000</f>
        <v>50006567.78693042</v>
      </c>
      <c r="AQ28" s="126">
        <f>VLOOKUP(AE28,db_fifarank,2,FALSE)</f>
        <v>1580.67</v>
      </c>
      <c r="AR28" s="125">
        <f>AP28/AP30</f>
        <v>0.57107559334802604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1</v>
      </c>
      <c r="AW28" s="126" cm="1">
        <f t="array" ref="AW28">SUMPRODUCT(($E$7:$E$78=AE28)*($U$7:$U$78)*($G$7:$G$78))+SUMPRODUCT(($H$7:$H$78=AE28)*($U$7:$U$78)*($F$7:$F$78))</f>
        <v>2</v>
      </c>
      <c r="AX28" s="126">
        <f>AV28-AW28</f>
        <v>-1</v>
      </c>
      <c r="AY28" s="126">
        <f>AX28-MIN(AX26:AX29)</f>
        <v>0</v>
      </c>
      <c r="AZ28" s="126">
        <f>AT28/AT30*1000+AU28/AU30*100+AY28/AY30*10+AV28/AV30</f>
        <v>0.33333333333333331</v>
      </c>
      <c r="BA28" s="126">
        <f>AZ28/AZ30</f>
        <v>6.5573770491803268E-4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41">
        <v>93</v>
      </c>
      <c r="BS28" s="24" t="str">
        <f>IF(BP26&gt;BP27,BL26,IF(BP26&lt;BP27,BL27,""))</f>
        <v>England</v>
      </c>
      <c r="BT28" s="61">
        <v>1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1000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35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0.70833333333333337</v>
      </c>
      <c r="E29" s="78" t="str">
        <f>AE68</f>
        <v>Portugal</v>
      </c>
      <c r="F29" s="19">
        <v>3</v>
      </c>
      <c r="G29" s="20">
        <v>0</v>
      </c>
      <c r="H29" s="80" t="str">
        <f>AE69</f>
        <v>DR Congo</v>
      </c>
      <c r="J29" s="33" t="str">
        <f>VLOOKUP(3,AD26:AN29,2,FALSE)</f>
        <v>Australia</v>
      </c>
      <c r="K29" s="23">
        <f>L29+M29+N29</f>
        <v>3</v>
      </c>
      <c r="L29" s="23">
        <f>VLOOKUP(3,AD26:AN29,3,FALSE)</f>
        <v>1</v>
      </c>
      <c r="M29" s="23">
        <f>VLOOKUP(3,AD26:AN29,4,FALSE)</f>
        <v>1</v>
      </c>
      <c r="N29" s="23">
        <f>VLOOKUP(3,AD26:AN29,5,FALSE)</f>
        <v>1</v>
      </c>
      <c r="O29" s="23" t="str">
        <f>VLOOKUP(3,AD26:AN29,6,FALSE) &amp; " - " &amp; VLOOKUP(3,AD26:AN29,7,FALSE)</f>
        <v>10 - 3</v>
      </c>
      <c r="P29" s="34">
        <f>L29*3+M29</f>
        <v>4</v>
      </c>
      <c r="R29" s="123">
        <f>DATE(2026,6,17)+TIME(6,0,0)+gmt_delta</f>
        <v>46190.708333333336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1</v>
      </c>
      <c r="AE29" s="124" t="str">
        <f>VLOOKUP("Turkey",T,lang,FALSE)</f>
        <v>Turkey</v>
      </c>
      <c r="AF29" s="123">
        <f>COUNTIF($S$7:$T$78,"=" &amp; AE29 &amp; "_win")</f>
        <v>2</v>
      </c>
      <c r="AG29" s="123">
        <f>COUNTIF($S$7:$T$78,"=" &amp; AE29 &amp; "_draw")</f>
        <v>1</v>
      </c>
      <c r="AH29" s="123">
        <f>COUNTIF($S$7:$T$78,"=" &amp; AE29 &amp; "_lose")</f>
        <v>0</v>
      </c>
      <c r="AI29" s="123">
        <f>SUMIF($E$7:$E$78,$AE29,$F$7:$F$78) + SUMIF($H$7:$H$78,$AE29,$G$7:$G$78)</f>
        <v>7</v>
      </c>
      <c r="AJ29" s="123">
        <f>SUMIF($E$7:$E$78,$AE29,$G$7:$G$78) + SUMIF($H$7:$H$78,$AE29,$F$7:$F$78)</f>
        <v>2</v>
      </c>
      <c r="AL29" s="123">
        <f>AI29-AJ29</f>
        <v>5</v>
      </c>
      <c r="AM29" s="123">
        <f>AL29-AL30</f>
        <v>17</v>
      </c>
      <c r="AN29" s="123">
        <f>AF29*3+AG29</f>
        <v>7</v>
      </c>
      <c r="AO29" s="123">
        <f>AN29/AN30*10+BA29</f>
        <v>8.7565573770491802</v>
      </c>
      <c r="AP29" s="123">
        <f>AO29*10000000+BI29*100+AM29/AM30*10+AI29/AI30*1++IF(AQ29=0,ROW(),AQ29)/2000000</f>
        <v>87565582.907654971</v>
      </c>
      <c r="AQ29" s="126">
        <f>VLOOKUP(AE29,db_fifarank,2,FALSE)</f>
        <v>1599.04</v>
      </c>
      <c r="AR29" s="125">
        <f>AP29/AP30</f>
        <v>0.99999998857998817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0</v>
      </c>
      <c r="AW29" s="126" cm="1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1</v>
      </c>
      <c r="AZ29" s="126">
        <f>AT29/AT30*1000+AU29/AU30*100+AY29/AY30*10+AV29/AV30</f>
        <v>3.333333333333333</v>
      </c>
      <c r="BA29" s="126">
        <f>AZ29/AZ30</f>
        <v>6.557377049180327E-3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19:00</v>
      </c>
      <c r="BL29" s="21"/>
      <c r="BM29" s="21"/>
      <c r="BN29" s="21"/>
      <c r="BO29" s="28"/>
      <c r="BP29" s="114">
        <f>DATE(2026,7,2)+TIME(8,0,0)+gmt_delta</f>
        <v>46205.791666666672</v>
      </c>
      <c r="BQ29" s="115"/>
      <c r="BR29" s="142"/>
      <c r="BS29" s="26" t="str">
        <f>IF(BP30&gt;BP31,BL30,IF(BP30&lt;BP31,BL31,""))</f>
        <v>Spain</v>
      </c>
      <c r="BT29" s="62">
        <v>3</v>
      </c>
      <c r="BU29" s="64"/>
      <c r="BV29" s="27"/>
      <c r="BW29" s="113">
        <f>IF(BW28="","",BT29*1000+BU29*10+BV29)</f>
        <v>3000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35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8.3333333333333329E-2</v>
      </c>
      <c r="E30" s="78" t="str">
        <f>AE70</f>
        <v>Uzbekistan</v>
      </c>
      <c r="F30" s="19">
        <v>0</v>
      </c>
      <c r="G30" s="20">
        <v>2</v>
      </c>
      <c r="H30" s="80" t="str">
        <f>AE71</f>
        <v>Colombia</v>
      </c>
      <c r="J30" s="35" t="str">
        <f>VLOOKUP(4,AD26:AN29,2,FALSE)</f>
        <v>United States</v>
      </c>
      <c r="K30" s="36">
        <f>L30+M30+N30</f>
        <v>3</v>
      </c>
      <c r="L30" s="36">
        <f>VLOOKUP(4,AD26:AN29,3,FALSE)</f>
        <v>0</v>
      </c>
      <c r="M30" s="36">
        <f>VLOOKUP(4,AD26:AN29,4,FALSE)</f>
        <v>1</v>
      </c>
      <c r="N30" s="36">
        <f>VLOOKUP(4,AD26:AN29,5,FALSE)</f>
        <v>2</v>
      </c>
      <c r="O30" s="36" t="str">
        <f>VLOOKUP(4,AD26:AN29,6,FALSE) &amp; " - " &amp; VLOOKUP(4,AD26:AN29,7,FALSE)</f>
        <v>0 - 12</v>
      </c>
      <c r="P30" s="37">
        <f>L30*3+M30</f>
        <v>1</v>
      </c>
      <c r="R30" s="123">
        <f>DATE(2026,6,17)+TIME(15,0,0)+gmt_delta</f>
        <v>46191.083333333336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3</v>
      </c>
      <c r="AG30" s="123">
        <f t="shared" si="15"/>
        <v>1</v>
      </c>
      <c r="AH30" s="123">
        <f t="shared" si="15"/>
        <v>3</v>
      </c>
      <c r="AI30" s="123">
        <f>MAX(AI26:AI29)+1</f>
        <v>11</v>
      </c>
      <c r="AL30" s="123">
        <f>MIN(AL26:AL29)</f>
        <v>-12</v>
      </c>
      <c r="AM30" s="123">
        <f>MAX(AM26:AM29)+1</f>
        <v>20</v>
      </c>
      <c r="AN30" s="123">
        <f>MAX(AN26:AN29)+1</f>
        <v>8</v>
      </c>
      <c r="AO30" s="123">
        <f>MAX(AO26:AO29)+1</f>
        <v>9.7565573770491802</v>
      </c>
      <c r="AP30" s="123">
        <f>MAX(AP26:AP29)+1</f>
        <v>87565583.907654971</v>
      </c>
      <c r="AT30" s="126">
        <f>MAX(AT26:AT29)-MIN(AT26:AT29)+1</f>
        <v>2</v>
      </c>
      <c r="AU30" s="126">
        <f>MAX(AU26:AU29)-MIN(AU26:AU29)+1</f>
        <v>1</v>
      </c>
      <c r="AV30" s="126">
        <f>MAX(AV26:AV29)-MIN(AV26:AV29)+1</f>
        <v>3</v>
      </c>
      <c r="AW30" s="126">
        <f>MAX(AW26:AW29)-MIN(AW26:AW29)+1</f>
        <v>3</v>
      </c>
      <c r="AY30" s="126">
        <f>MAX(AY26:AY29)-MIN(AY26:AY29)+1</f>
        <v>3</v>
      </c>
      <c r="AZ30" s="126">
        <f>MAX(AZ26:AZ29)+1</f>
        <v>508.33333333333337</v>
      </c>
      <c r="BB30" s="126">
        <f>MAX(BB26:BB29)-MIN(BB26:BB29)+1</f>
        <v>1</v>
      </c>
      <c r="BC30" s="126">
        <f>MAX(BC26:BC29)-MIN(BC26:BC29)+1</f>
        <v>1</v>
      </c>
      <c r="BD30" s="126">
        <f>MAX(BD26:BD29)-MIN(BD26:BD29)+1</f>
        <v>1</v>
      </c>
      <c r="BE30" s="126">
        <f>MAX(BE26:BE29)-MIN(BE26:BE29)+1</f>
        <v>1</v>
      </c>
      <c r="BG30" s="126">
        <f>MAX(BG26:BG29)-MIN(BG26:BG29)+1</f>
        <v>1</v>
      </c>
      <c r="BH30" s="126">
        <f>MAX(BH26:BH29)+1</f>
        <v>1</v>
      </c>
      <c r="BK30" s="141">
        <v>84</v>
      </c>
      <c r="BL30" s="24" t="str">
        <f>AS50</f>
        <v>Spain</v>
      </c>
      <c r="BM30" s="61">
        <v>3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3000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35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0.66666666666666663</v>
      </c>
      <c r="E31" s="78" t="str">
        <f>AE11</f>
        <v>Czech Republic</v>
      </c>
      <c r="F31" s="19">
        <v>3</v>
      </c>
      <c r="G31" s="20">
        <v>0</v>
      </c>
      <c r="H31" s="80" t="str">
        <f>AE9</f>
        <v>South Africa</v>
      </c>
      <c r="R31" s="123">
        <f>DATE(2026,6,18)+TIME(5,0,0)+gmt_delta</f>
        <v>46191.666666666672</v>
      </c>
      <c r="S31" s="127" t="str">
        <f t="shared" si="1"/>
        <v>Czech Republic_win</v>
      </c>
      <c r="T31" s="127" t="str">
        <f t="shared" si="2"/>
        <v>South Africa_lose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1</v>
      </c>
      <c r="BK31" s="142"/>
      <c r="BL31" s="26" t="str">
        <f>AS63</f>
        <v>Austria</v>
      </c>
      <c r="BM31" s="62">
        <v>1</v>
      </c>
      <c r="BN31" s="64"/>
      <c r="BO31" s="27"/>
      <c r="BP31" s="112">
        <f>IF(BP30="","",BM31*1000+BN31*10+BO31)</f>
        <v>1000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19:00</v>
      </c>
      <c r="BZ31" s="21"/>
      <c r="CA31" s="21"/>
      <c r="CB31" s="21"/>
      <c r="CC31" s="28"/>
      <c r="CD31" s="114">
        <f>DATE(2026,7,10)+TIME(8,0,0)+gmt_delta</f>
        <v>46213.791666666672</v>
      </c>
      <c r="CE31" s="112"/>
      <c r="CK31" s="114"/>
      <c r="CL31" s="112"/>
    </row>
    <row r="32" spans="1:95" ht="15" customHeight="1" x14ac:dyDescent="0.35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0.79166666666666663</v>
      </c>
      <c r="E32" s="78" t="str">
        <f>AE17</f>
        <v>Switzerland</v>
      </c>
      <c r="F32" s="19">
        <v>3</v>
      </c>
      <c r="G32" s="20">
        <v>1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46191.791666666672</v>
      </c>
      <c r="S32" s="127" t="str">
        <f t="shared" si="1"/>
        <v>Switzerland_win</v>
      </c>
      <c r="T32" s="127" t="str">
        <f t="shared" si="2"/>
        <v>Bosnia and Herzegovina_lose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1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3</v>
      </c>
      <c r="AG32" s="123">
        <f>COUNTIF($S$7:$T$78,"=" &amp; AE32 &amp; "_draw")</f>
        <v>0</v>
      </c>
      <c r="AH32" s="123">
        <f>COUNTIF($S$7:$T$78,"=" &amp; AE32 &amp; "_lose")</f>
        <v>0</v>
      </c>
      <c r="AI32" s="123">
        <f>SUMIF($E$7:$E$78,$AE32,$F$7:$F$78) + SUMIF($H$7:$H$78,$AE32,$G$7:$G$78)</f>
        <v>11</v>
      </c>
      <c r="AJ32" s="123">
        <f>SUMIF($E$7:$E$78,$AE32,$G$7:$G$78) + SUMIF($H$7:$H$78,$AE32,$F$7:$F$78)</f>
        <v>4</v>
      </c>
      <c r="AL32" s="123">
        <f>AI32-AJ32</f>
        <v>7</v>
      </c>
      <c r="AM32" s="123">
        <f>AL32-AL36</f>
        <v>17</v>
      </c>
      <c r="AN32" s="123">
        <f>AF32*3+AG32</f>
        <v>9</v>
      </c>
      <c r="AO32" s="123">
        <f>AN32/AN36*10+BA32</f>
        <v>9</v>
      </c>
      <c r="AP32" s="123">
        <f>AO32*10000000+BI32*100+AM32/AM36*10+AI32/AI36*1++IF(AQ32=0,ROW(),AQ32)/2000000</f>
        <v>90000010.361976311</v>
      </c>
      <c r="AQ32" s="126">
        <f>VLOOKUP(AE32,db_fifarank,2,FALSE)</f>
        <v>1730.37</v>
      </c>
      <c r="AR32" s="125">
        <f>AP32/AP36</f>
        <v>0.9999999888888903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41">
        <v>98</v>
      </c>
      <c r="BZ32" s="24" t="str">
        <f>IF(BW28&gt;BW29,BS28,IF(BW28&lt;BW29,BS29,""))</f>
        <v>Spain</v>
      </c>
      <c r="CA32" s="61">
        <v>2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2000</v>
      </c>
      <c r="CE32" s="112"/>
      <c r="CK32" s="114"/>
      <c r="CL32" s="112"/>
    </row>
    <row r="33" spans="1:96" x14ac:dyDescent="0.35">
      <c r="A33" s="16">
        <v>27</v>
      </c>
      <c r="B33" s="17" t="str" cm="1">
        <f t="array" ref="B33">INDEX(T,18+INT(MOD(R33-1,7)),lang)</f>
        <v>Thu</v>
      </c>
      <c r="C33" s="18" t="str" cm="1">
        <f t="array" ref="C33">INDEX(T,24+MONTH(R33),lang) &amp; " " &amp; DAY(R33) &amp; ", " &amp; YEAR(R33)</f>
        <v>Jun 18, 2026</v>
      </c>
      <c r="D33" s="120">
        <f t="shared" si="7"/>
        <v>0.91666666666666663</v>
      </c>
      <c r="E33" s="78" t="str">
        <f>AE14</f>
        <v>Canada</v>
      </c>
      <c r="F33" s="19">
        <v>2</v>
      </c>
      <c r="G33" s="20">
        <v>2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3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11 - 4</v>
      </c>
      <c r="P33" s="32">
        <f>L33*3+M33</f>
        <v>9</v>
      </c>
      <c r="R33" s="123">
        <f>DATE(2026,6,18)+TIME(11,0,0)+gmt_delta</f>
        <v>46191.916666666672</v>
      </c>
      <c r="S33" s="127" t="str">
        <f t="shared" si="1"/>
        <v>Canada_draw</v>
      </c>
      <c r="T33" s="127" t="str">
        <f t="shared" si="2"/>
        <v>Qatar_draw</v>
      </c>
      <c r="U33" s="123">
        <f t="shared" si="8"/>
        <v>1</v>
      </c>
      <c r="V33" s="123">
        <f t="shared" si="3"/>
        <v>2</v>
      </c>
      <c r="W33" s="123">
        <f t="shared" si="4"/>
        <v>2</v>
      </c>
      <c r="X33" s="123">
        <f t="shared" si="9"/>
        <v>1</v>
      </c>
      <c r="Y33" s="123">
        <f t="shared" si="10"/>
        <v>2</v>
      </c>
      <c r="Z33" s="123">
        <f t="shared" si="11"/>
        <v>2</v>
      </c>
      <c r="AA33" s="123">
        <f t="shared" si="5"/>
        <v>0</v>
      </c>
      <c r="AB33" s="123">
        <f t="shared" si="6"/>
        <v>0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0</v>
      </c>
      <c r="AH33" s="123">
        <f>COUNTIF($S$7:$T$78,"=" &amp; AE33 &amp; "_lose")</f>
        <v>3</v>
      </c>
      <c r="AI33" s="123">
        <f>SUMIF($E$7:$E$78,$AE33,$F$7:$F$78) + SUMIF($H$7:$H$78,$AE33,$G$7:$G$78)</f>
        <v>1</v>
      </c>
      <c r="AJ33" s="123">
        <f>SUMIF($E$7:$E$78,$AE33,$G$7:$G$78) + SUMIF($H$7:$H$78,$AE33,$F$7:$F$78)</f>
        <v>11</v>
      </c>
      <c r="AL33" s="123">
        <f>AI33-AJ33</f>
        <v>-10</v>
      </c>
      <c r="AM33" s="123">
        <f>AL33-AL36</f>
        <v>0</v>
      </c>
      <c r="AN33" s="123">
        <f>AF33*3+AG33</f>
        <v>0</v>
      </c>
      <c r="AO33" s="123">
        <f>AN33/AN36*10+BA33</f>
        <v>0</v>
      </c>
      <c r="AP33" s="123">
        <f>AO33*10000000+BI33*100+AM33/AM36*10+AI33/AI36*1++IF(AQ33=0,ROW(),AQ33)/2000000</f>
        <v>8.3980658333333333E-2</v>
      </c>
      <c r="AQ33" s="126">
        <f>VLOOKUP(AE33,db_fifarank,2,FALSE)</f>
        <v>1294.6500000000001</v>
      </c>
      <c r="AR33" s="125">
        <f>AP33/AP36</f>
        <v>9.3311830812516919E-10</v>
      </c>
      <c r="AS33" s="125" t="str">
        <f>IF(SUM(AF32:AH35)=12,J34,"2E")</f>
        <v>Ecuador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00:00</v>
      </c>
      <c r="BL33" s="21"/>
      <c r="BM33" s="21"/>
      <c r="BN33" s="21"/>
      <c r="BO33" s="28"/>
      <c r="BP33" s="112">
        <f>DATE(2026,7,1)+TIME(13,0,0)+gmt_delta</f>
        <v>46205</v>
      </c>
      <c r="BQ33" s="112"/>
      <c r="BR33" s="21"/>
      <c r="BS33" s="21"/>
      <c r="BT33" s="21"/>
      <c r="BU33" s="21"/>
      <c r="BV33" s="21"/>
      <c r="BW33" s="114"/>
      <c r="BX33" s="115"/>
      <c r="BY33" s="142"/>
      <c r="BZ33" s="26" t="str">
        <f>IF(BW36&gt;BW37,BS36,IF(BW36&lt;BW37,BS37,""))</f>
        <v>Belgium</v>
      </c>
      <c r="CA33" s="62">
        <v>1</v>
      </c>
      <c r="CB33" s="64"/>
      <c r="CC33" s="27"/>
      <c r="CD33" s="112">
        <f>IF(CD32="","",CA33*1000+CB33*10+CC33)</f>
        <v>1000</v>
      </c>
      <c r="CE33" s="112"/>
      <c r="CK33" s="114"/>
      <c r="CL33" s="112"/>
      <c r="CM33" s="144" t="str" cm="1">
        <f t="array" ref="CM33">INDEX(T,8,lang)</f>
        <v>Final</v>
      </c>
      <c r="CN33" s="145"/>
      <c r="CO33" s="145"/>
      <c r="CP33" s="145"/>
      <c r="CQ33" s="146"/>
    </row>
    <row r="34" spans="1:96" x14ac:dyDescent="0.35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4.1666666666666664E-2</v>
      </c>
      <c r="E34" s="78" t="str">
        <f>AE8</f>
        <v>Mexico</v>
      </c>
      <c r="F34" s="19">
        <v>3</v>
      </c>
      <c r="G34" s="20">
        <v>1</v>
      </c>
      <c r="H34" s="80" t="str">
        <f>AE10</f>
        <v>Korea Republic</v>
      </c>
      <c r="J34" s="33" t="str">
        <f>VLOOKUP(2,AD32:AN35,2,FALSE)</f>
        <v>Ecuador</v>
      </c>
      <c r="K34" s="23">
        <f>L34+M34+N34</f>
        <v>3</v>
      </c>
      <c r="L34" s="23">
        <f>VLOOKUP(2,AD32:AN35,3,FALSE)</f>
        <v>2</v>
      </c>
      <c r="M34" s="23">
        <f>VLOOKUP(2,AD32:AN35,4,FALSE)</f>
        <v>0</v>
      </c>
      <c r="N34" s="23">
        <f>VLOOKUP(2,AD32:AN35,5,FALSE)</f>
        <v>1</v>
      </c>
      <c r="O34" s="23" t="str">
        <f>VLOOKUP(2,AD32:AN35,6,FALSE) &amp; " - " &amp; VLOOKUP(2,AD32:AN35,7,FALSE)</f>
        <v>6 - 3</v>
      </c>
      <c r="P34" s="34">
        <f>L34*3+M34</f>
        <v>6</v>
      </c>
      <c r="R34" s="123">
        <f>DATE(2026,6,18)+TIME(14,0,0)+gmt_delta</f>
        <v>46192.041666666672</v>
      </c>
      <c r="S34" s="127" t="str">
        <f t="shared" si="1"/>
        <v>Mexico_win</v>
      </c>
      <c r="T34" s="127" t="str">
        <f t="shared" si="2"/>
        <v>Korea Republic_lose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1</v>
      </c>
      <c r="AD34" s="123">
        <f>COUNTIF(AR32:AR35,CONCATENATE("&gt;=",AR34))</f>
        <v>3</v>
      </c>
      <c r="AE34" s="124" t="str">
        <f>VLOOKUP("Ivory Coast",T,lang,FALSE)</f>
        <v>Ivory Coast</v>
      </c>
      <c r="AF34" s="123">
        <f>COUNTIF($S$7:$T$78,"=" &amp; AE34 &amp; "_win")</f>
        <v>1</v>
      </c>
      <c r="AG34" s="123">
        <f>COUNTIF($S$7:$T$78,"=" &amp; AE34 &amp; "_draw")</f>
        <v>0</v>
      </c>
      <c r="AH34" s="123">
        <f>COUNTIF($S$7:$T$78,"=" &amp; AE34 &amp; "_lose")</f>
        <v>2</v>
      </c>
      <c r="AI34" s="123">
        <f>SUMIF($E$7:$E$78,$AE34,$F$7:$F$78) + SUMIF($H$7:$H$78,$AE34,$G$7:$G$78)</f>
        <v>5</v>
      </c>
      <c r="AJ34" s="123">
        <f>SUMIF($E$7:$E$78,$AE34,$G$7:$G$78) + SUMIF($H$7:$H$78,$AE34,$F$7:$F$78)</f>
        <v>5</v>
      </c>
      <c r="AL34" s="123">
        <f>AI34-AJ34</f>
        <v>0</v>
      </c>
      <c r="AM34" s="123">
        <f>AL34-AL36</f>
        <v>10</v>
      </c>
      <c r="AN34" s="123">
        <f>AF34*3+AG34</f>
        <v>3</v>
      </c>
      <c r="AO34" s="123">
        <f>AN34/AN36*10+BA34</f>
        <v>3</v>
      </c>
      <c r="AP34" s="123">
        <f>AO34*10000000+BI34*100+AM34/AM36*10+AI34/AI36*1++IF(AQ34=0,ROW(),AQ34)/2000000</f>
        <v>30000005.972988714</v>
      </c>
      <c r="AQ34" s="126">
        <f>VLOOKUP(AE34,db_fifarank,2,FALSE)</f>
        <v>1532.98</v>
      </c>
      <c r="AR34" s="125">
        <f>AP34/AP36</f>
        <v>0.33333335761847777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0</v>
      </c>
      <c r="AV34" s="126" cm="1">
        <f t="array" ref="AV34">SUMPRODUCT(($E$7:$E$78=AE34)*($U$7:$U$78)*($F$7:$F$78))+SUMPRODUCT(($H$7:$H$78=AE34)*($U$7:$U$78)*($G$7:$G$78))</f>
        <v>0</v>
      </c>
      <c r="AW34" s="126" cm="1">
        <f t="array" ref="AW34">SUMPRODUCT(($E$7:$E$78=AE34)*($U$7:$U$78)*($G$7:$G$78))+SUMPRODUCT(($H$7:$H$78=AE34)*($U$7:$U$78)*($F$7:$F$78))</f>
        <v>0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0</v>
      </c>
      <c r="BA34" s="126">
        <f>AZ34/AZ36</f>
        <v>0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0</v>
      </c>
      <c r="BD34" s="126" cm="1">
        <f t="array" ref="BD34">SUMPRODUCT(($E$7:$E$78=AE34)*($X$7:$X$78)*($F$7:$F$78))+SUMPRODUCT(($H$7:$H$78=AE34)*($X$7:$X$78)*($G$7:$G$78))</f>
        <v>0</v>
      </c>
      <c r="BE34" s="126" cm="1">
        <f t="array" ref="BE34">SUMPRODUCT(($E$7:$E$78=AE34)*($X$7:$X$78)*($G$7:$G$78))+SUMPRODUCT(($H$7:$H$78=AE34)*($X$7:$X$78)*($F$7:$F$78))</f>
        <v>0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0</v>
      </c>
      <c r="BI34" s="126">
        <f>BH34/BH36</f>
        <v>0</v>
      </c>
      <c r="BK34" s="141">
        <v>81</v>
      </c>
      <c r="BL34" s="24" t="str">
        <f>AS26</f>
        <v>Turkey</v>
      </c>
      <c r="BM34" s="61">
        <v>1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1000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47"/>
      <c r="CN34" s="148"/>
      <c r="CO34" s="148"/>
      <c r="CP34" s="148"/>
      <c r="CQ34" s="149"/>
    </row>
    <row r="35" spans="1:96" x14ac:dyDescent="0.35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2.0833333333333332E-2</v>
      </c>
      <c r="E35" s="78" t="str">
        <f>AE20</f>
        <v>Brazil</v>
      </c>
      <c r="F35" s="19">
        <v>4</v>
      </c>
      <c r="G35" s="20">
        <v>0</v>
      </c>
      <c r="H35" s="80" t="str">
        <f>AE22</f>
        <v>Haiti</v>
      </c>
      <c r="J35" s="33" t="str">
        <f>VLOOKUP(3,AD32:AN35,2,FALSE)</f>
        <v>Ivory Coast</v>
      </c>
      <c r="K35" s="23">
        <f>L35+M35+N35</f>
        <v>3</v>
      </c>
      <c r="L35" s="23">
        <f>VLOOKUP(3,AD32:AN35,3,FALSE)</f>
        <v>1</v>
      </c>
      <c r="M35" s="23">
        <f>VLOOKUP(3,AD32:AN35,4,FALSE)</f>
        <v>0</v>
      </c>
      <c r="N35" s="23">
        <f>VLOOKUP(3,AD32:AN35,5,FALSE)</f>
        <v>2</v>
      </c>
      <c r="O35" s="23" t="str">
        <f>VLOOKUP(3,AD32:AN35,6,FALSE) &amp; " - " &amp; VLOOKUP(3,AD32:AN35,7,FALSE)</f>
        <v>5 - 5</v>
      </c>
      <c r="P35" s="34">
        <f>L35*3+M35</f>
        <v>3</v>
      </c>
      <c r="R35" s="123">
        <f>DATE(2026,6,19)+TIME(13,30,0)+gmt_delta</f>
        <v>46193.020833333336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2</v>
      </c>
      <c r="AE35" s="124" t="str">
        <f>VLOOKUP("Ecuador",T,lang,FALSE)</f>
        <v>Ecuador</v>
      </c>
      <c r="AF35" s="123">
        <f>COUNTIF($S$7:$T$78,"=" &amp; AE35 &amp; "_win")</f>
        <v>2</v>
      </c>
      <c r="AG35" s="123">
        <f>COUNTIF($S$7:$T$78,"=" &amp; AE35 &amp; "_draw")</f>
        <v>0</v>
      </c>
      <c r="AH35" s="123">
        <f>COUNTIF($S$7:$T$78,"=" &amp; AE35 &amp; "_lose")</f>
        <v>1</v>
      </c>
      <c r="AI35" s="123">
        <f>SUMIF($E$7:$E$78,$AE35,$F$7:$F$78) + SUMIF($H$7:$H$78,$AE35,$G$7:$G$78)</f>
        <v>6</v>
      </c>
      <c r="AJ35" s="123">
        <f>SUMIF($E$7:$E$78,$AE35,$G$7:$G$78) + SUMIF($H$7:$H$78,$AE35,$F$7:$F$78)</f>
        <v>3</v>
      </c>
      <c r="AL35" s="123">
        <f>AI35-AJ35</f>
        <v>3</v>
      </c>
      <c r="AM35" s="123">
        <f>AL35-AL36</f>
        <v>13</v>
      </c>
      <c r="AN35" s="123">
        <f>AF35*3+AG35</f>
        <v>6</v>
      </c>
      <c r="AO35" s="123">
        <f>AN35/AN36*10+BA35</f>
        <v>6</v>
      </c>
      <c r="AP35" s="123">
        <f>AO35*10000000+BI35*100+AM35/AM36*10+AI35/AI36*1++IF(AQ35=0,ROW(),AQ35)/2000000</f>
        <v>60000007.723019615</v>
      </c>
      <c r="AQ35" s="126">
        <f>VLOOKUP(AE35,db_fifarank,2,FALSE)</f>
        <v>1594.78</v>
      </c>
      <c r="AR35" s="125">
        <f>AP35/AP36</f>
        <v>0.66666666831520804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0</v>
      </c>
      <c r="AV35" s="126" cm="1">
        <f t="array" ref="AV35">SUMPRODUCT(($E$7:$E$78=AE35)*($U$7:$U$78)*($F$7:$F$78))+SUMPRODUCT(($H$7:$H$78=AE35)*($U$7:$U$78)*($G$7:$G$78))</f>
        <v>0</v>
      </c>
      <c r="AW35" s="126" cm="1">
        <f t="array" ref="AW35">SUMPRODUCT(($E$7:$E$78=AE35)*($U$7:$U$78)*($G$7:$G$78))+SUMPRODUCT(($H$7:$H$78=AE35)*($U$7:$U$78)*($F$7:$F$78))</f>
        <v>0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0</v>
      </c>
      <c r="BA35" s="126">
        <f>AZ35/AZ36</f>
        <v>0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0</v>
      </c>
      <c r="BD35" s="126" cm="1">
        <f t="array" ref="BD35">SUMPRODUCT(($E$7:$E$78=AE35)*($X$7:$X$78)*($F$7:$F$78))+SUMPRODUCT(($H$7:$H$78=AE35)*($X$7:$X$78)*($G$7:$G$78))</f>
        <v>0</v>
      </c>
      <c r="BE35" s="126" cm="1">
        <f t="array" ref="BE35">SUMPRODUCT(($E$7:$E$78=AE35)*($X$7:$X$78)*($G$7:$G$78))+SUMPRODUCT(($H$7:$H$78=AE35)*($X$7:$X$78)*($F$7:$F$78))</f>
        <v>0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0</v>
      </c>
      <c r="BI35" s="126">
        <f>BH35/BH36</f>
        <v>0</v>
      </c>
      <c r="BK35" s="142"/>
      <c r="BL35" s="26" t="str">
        <f>IF(group_round_completed,VLOOKUP('3rd places'!F3,AK80:AS91,9,FALSE),"3rd Group B/E/F/I/J")</f>
        <v>Ivory Coast</v>
      </c>
      <c r="BM35" s="62">
        <v>2</v>
      </c>
      <c r="BN35" s="64"/>
      <c r="BO35" s="27"/>
      <c r="BP35" s="113">
        <f>IF(BP34="","",BM35*1000+BN35*10+BO35)</f>
        <v>2000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00:00</v>
      </c>
      <c r="BS35" s="21"/>
      <c r="BT35" s="21"/>
      <c r="BU35" s="21"/>
      <c r="BV35" s="28"/>
      <c r="BW35" s="114">
        <f>DATE(2026,7,6)+TIME(13,0,0)+gmt_delta</f>
        <v>46210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35">
      <c r="A36" s="16">
        <v>30</v>
      </c>
      <c r="B36" s="17" t="str" cm="1">
        <f t="array" ref="B36">INDEX(T,18+INT(MOD(R36-1,7)),lang)</f>
        <v>Fri</v>
      </c>
      <c r="C36" s="18" t="str" cm="1">
        <f t="array" ref="C36">INDEX(T,24+MONTH(R36),lang) &amp; " " &amp; DAY(R36) &amp; ", " &amp; YEAR(R36)</f>
        <v>Jun 19, 2026</v>
      </c>
      <c r="D36" s="120">
        <f t="shared" si="7"/>
        <v>0.91666666666666663</v>
      </c>
      <c r="E36" s="78" t="str">
        <f>AE23</f>
        <v>Scotland</v>
      </c>
      <c r="F36" s="19">
        <v>2</v>
      </c>
      <c r="G36" s="20">
        <v>3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3</v>
      </c>
      <c r="O36" s="36" t="str">
        <f>VLOOKUP(4,AD32:AN35,6,FALSE) &amp; " - " &amp; VLOOKUP(4,AD32:AN35,7,FALSE)</f>
        <v>1 - 11</v>
      </c>
      <c r="P36" s="37">
        <f>L36*3+M36</f>
        <v>0</v>
      </c>
      <c r="R36" s="123">
        <f>DATE(2026,6,19)+TIME(11,0,0)+gmt_delta</f>
        <v>46192.916666666672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4</v>
      </c>
      <c r="AG36" s="123">
        <f t="shared" si="16"/>
        <v>1</v>
      </c>
      <c r="AH36" s="123">
        <f t="shared" si="16"/>
        <v>4</v>
      </c>
      <c r="AI36" s="123">
        <f>MAX(AI32:AI35)+1</f>
        <v>12</v>
      </c>
      <c r="AL36" s="123">
        <f>MIN(AL32:AL35)</f>
        <v>-10</v>
      </c>
      <c r="AM36" s="123">
        <f>MAX(AM32:AM35)+1</f>
        <v>18</v>
      </c>
      <c r="AN36" s="123">
        <f>MAX(AN32:AN35)+1</f>
        <v>10</v>
      </c>
      <c r="AO36" s="123">
        <f>MAX(AO32:AO35)+1</f>
        <v>10</v>
      </c>
      <c r="AP36" s="123">
        <f>MAX(AP32:AP35)+1</f>
        <v>90000011.361976311</v>
      </c>
      <c r="AT36" s="126">
        <f>MAX(AT32:AT35)-MIN(AT32:AT35)+1</f>
        <v>1</v>
      </c>
      <c r="AU36" s="126">
        <f>MAX(AU32:AU35)-MIN(AU32:AU35)+1</f>
        <v>1</v>
      </c>
      <c r="AV36" s="126">
        <f>MAX(AV32:AV35)-MIN(AV32:AV35)+1</f>
        <v>1</v>
      </c>
      <c r="AW36" s="126">
        <f>MAX(AW32:AW35)-MIN(AW32:AW35)+1</f>
        <v>1</v>
      </c>
      <c r="AY36" s="126">
        <f>MAX(AY32:AY35)-MIN(AY32:AY35)+1</f>
        <v>1</v>
      </c>
      <c r="AZ36" s="126">
        <f>MAX(AZ32:AZ35)+1</f>
        <v>1</v>
      </c>
      <c r="BB36" s="126">
        <f>MAX(BB32:BB35)-MIN(BB32:BB35)+1</f>
        <v>1</v>
      </c>
      <c r="BC36" s="126">
        <f>MAX(BC32:BC35)-MIN(BC32:BC35)+1</f>
        <v>1</v>
      </c>
      <c r="BD36" s="126">
        <f>MAX(BD32:BD35)-MIN(BD32:BD35)+1</f>
        <v>1</v>
      </c>
      <c r="BE36" s="126">
        <f>MAX(BE32:BE35)-MIN(BE32:BE35)+1</f>
        <v>1</v>
      </c>
      <c r="BG36" s="126">
        <f>MAX(BG32:BG35)-MIN(BG32:BG35)+1</f>
        <v>1</v>
      </c>
      <c r="BH36" s="126">
        <f>MAX(BH32:BH35)+1</f>
        <v>1</v>
      </c>
      <c r="BK36" s="21"/>
      <c r="BL36" s="21"/>
      <c r="BM36" s="21"/>
      <c r="BN36" s="21"/>
      <c r="BO36" s="21"/>
      <c r="BP36" s="114"/>
      <c r="BQ36" s="112"/>
      <c r="BR36" s="141">
        <v>94</v>
      </c>
      <c r="BS36" s="24" t="str">
        <f>IF(BP34&gt;BP35,BL34,IF(BP34&lt;BP35,BL35,""))</f>
        <v>Ivory Coast</v>
      </c>
      <c r="BT36" s="61">
        <v>0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19:00</v>
      </c>
      <c r="CN36" s="21"/>
      <c r="CO36" s="21"/>
      <c r="CP36" s="21"/>
      <c r="CQ36" s="28"/>
      <c r="CR36" s="111">
        <f>DATE(2026,7,19)+TIME(8,0,0)+gmt_delta</f>
        <v>46222.791666666672</v>
      </c>
    </row>
    <row r="37" spans="1:96" x14ac:dyDescent="0.35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0.125</v>
      </c>
      <c r="E37" s="78" t="str">
        <f>AE26</f>
        <v>United States</v>
      </c>
      <c r="F37" s="19">
        <v>0</v>
      </c>
      <c r="G37" s="20">
        <v>8</v>
      </c>
      <c r="H37" s="80" t="str">
        <f>AE28</f>
        <v>Australia</v>
      </c>
      <c r="R37" s="123">
        <f>DATE(2026,6,19)+TIME(16,0,0)+gmt_delta</f>
        <v>46193.125</v>
      </c>
      <c r="S37" s="127" t="str">
        <f t="shared" si="1"/>
        <v>United States_lose</v>
      </c>
      <c r="T37" s="127" t="str">
        <f t="shared" si="2"/>
        <v>Australia_win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-1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20:00</v>
      </c>
      <c r="BL37" s="21"/>
      <c r="BM37" s="21"/>
      <c r="BN37" s="21"/>
      <c r="BO37" s="28"/>
      <c r="BP37" s="114">
        <f>DATE(2026,7,1)+TIME(9,0,0)+gmt_delta</f>
        <v>46204.833333333336</v>
      </c>
      <c r="BQ37" s="115"/>
      <c r="BR37" s="142"/>
      <c r="BS37" s="26" t="str">
        <f>IF(BP38&gt;BP39,BL38,IF(BP38&lt;BP39,BL39,""))</f>
        <v>Belgium</v>
      </c>
      <c r="BT37" s="62">
        <v>2</v>
      </c>
      <c r="BU37" s="64"/>
      <c r="BV37" s="27"/>
      <c r="BW37" s="112">
        <f>IF(BW36="","",BT37*1000+BU37*10+BV37)</f>
        <v>2000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41">
        <v>104</v>
      </c>
      <c r="CN37" s="24" t="str">
        <f>IF(CK23&gt;CK24,CG23,IF(CK23&lt;CK24,CG24,""))</f>
        <v>Spain</v>
      </c>
      <c r="CO37" s="61">
        <v>2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2000</v>
      </c>
    </row>
    <row r="38" spans="1:96" x14ac:dyDescent="0.35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0.79166666666666663</v>
      </c>
      <c r="E38" s="78" t="str">
        <f>AE29</f>
        <v>Turkey</v>
      </c>
      <c r="F38" s="19">
        <v>2</v>
      </c>
      <c r="G38" s="20">
        <v>1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46192.791666666672</v>
      </c>
      <c r="S38" s="127" t="str">
        <f t="shared" si="1"/>
        <v>Turkey_win</v>
      </c>
      <c r="T38" s="127" t="str">
        <f t="shared" si="2"/>
        <v>Paraguay_lose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1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2</v>
      </c>
      <c r="AG38" s="123">
        <f>COUNTIF($S$7:$T$78,"=" &amp; AE38 &amp; "_draw")</f>
        <v>1</v>
      </c>
      <c r="AH38" s="123">
        <f>COUNTIF($S$7:$T$78,"=" &amp; AE38 &amp; "_lose")</f>
        <v>0</v>
      </c>
      <c r="AI38" s="123">
        <f>SUMIF($E$7:$E$78,$AE38,$F$7:$F$78) + SUMIF($H$7:$H$78,$AE38,$G$7:$G$78)</f>
        <v>12</v>
      </c>
      <c r="AJ38" s="123">
        <f>SUMIF($E$7:$E$78,$AE38,$G$7:$G$78) + SUMIF($H$7:$H$78,$AE38,$F$7:$F$78)</f>
        <v>3</v>
      </c>
      <c r="AL38" s="123">
        <f>AI38-AJ38</f>
        <v>9</v>
      </c>
      <c r="AM38" s="123">
        <f>AL38-AL42</f>
        <v>33</v>
      </c>
      <c r="AN38" s="123">
        <f>AF38*3+AG38</f>
        <v>7</v>
      </c>
      <c r="AO38" s="123">
        <f>AN38/AN42*10+BA38</f>
        <v>8.75</v>
      </c>
      <c r="AP38" s="123">
        <f>AO38*10000000+BI38*100+AM38/AM42*10+AI38/AI42*1++IF(AQ38=0,ROW(),AQ38)/2000000</f>
        <v>87500010.629838213</v>
      </c>
      <c r="AQ38" s="126">
        <f>VLOOKUP(AE38,db_fifarank,2,FALSE)</f>
        <v>1757.87</v>
      </c>
      <c r="AR38" s="125">
        <f>AP38/AP42</f>
        <v>0.99999998857143013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41">
        <v>82</v>
      </c>
      <c r="BL38" s="24" t="str">
        <f>AS44</f>
        <v>Belgium</v>
      </c>
      <c r="BM38" s="61">
        <v>2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2000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42"/>
      <c r="CN38" s="26" t="str">
        <f>IF(CK55&gt;CK56,CG55,IF(CK55&lt;CK56,CG56,""))</f>
        <v>France</v>
      </c>
      <c r="CO38" s="62">
        <v>1</v>
      </c>
      <c r="CP38" s="64"/>
      <c r="CQ38" s="27"/>
      <c r="CR38" s="111">
        <f>IF(CR37="","",CO38*1000+CP38*10+CQ38)</f>
        <v>1000</v>
      </c>
    </row>
    <row r="39" spans="1:96" x14ac:dyDescent="0.35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0.83333333333333337</v>
      </c>
      <c r="E39" s="78" t="str">
        <f>AE32</f>
        <v>Germany</v>
      </c>
      <c r="F39" s="19">
        <v>3</v>
      </c>
      <c r="G39" s="20">
        <v>2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2</v>
      </c>
      <c r="M39" s="31">
        <f>VLOOKUP(1,AD38:AN41,4,FALSE)</f>
        <v>1</v>
      </c>
      <c r="N39" s="31">
        <f>VLOOKUP(1,AD38:AN41,5,FALSE)</f>
        <v>0</v>
      </c>
      <c r="O39" s="31" t="str">
        <f>VLOOKUP(1,AD38:AN41,6,FALSE) &amp; " - " &amp; VLOOKUP(1,AD38:AN41,7,FALSE)</f>
        <v>12 - 3</v>
      </c>
      <c r="P39" s="32">
        <f>L39*3+M39</f>
        <v>7</v>
      </c>
      <c r="R39" s="123">
        <f>DATE(2026,6,20)+TIME(9,0,0)+gmt_delta</f>
        <v>46193.833333333336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2</v>
      </c>
      <c r="AE39" s="124" t="str">
        <f>VLOOKUP("Japan",T,lang,FALSE)</f>
        <v>Japan</v>
      </c>
      <c r="AF39" s="123">
        <f>COUNTIF($S$7:$T$78,"=" &amp; AE39 &amp; "_win")</f>
        <v>2</v>
      </c>
      <c r="AG39" s="123">
        <f>COUNTIF($S$7:$T$78,"=" &amp; AE39 &amp; "_draw")</f>
        <v>0</v>
      </c>
      <c r="AH39" s="123">
        <f>COUNTIF($S$7:$T$78,"=" &amp; AE39 &amp; "_lose")</f>
        <v>1</v>
      </c>
      <c r="AI39" s="123">
        <f>SUMIF($E$7:$E$78,$AE39,$F$7:$F$78) + SUMIF($H$7:$H$78,$AE39,$G$7:$G$78)</f>
        <v>11</v>
      </c>
      <c r="AJ39" s="123">
        <f>SUMIF($E$7:$E$78,$AE39,$G$7:$G$78) + SUMIF($H$7:$H$78,$AE39,$F$7:$F$78)</f>
        <v>2</v>
      </c>
      <c r="AL39" s="123">
        <f>AI39-AJ39</f>
        <v>9</v>
      </c>
      <c r="AM39" s="123">
        <f>AL39-AL42</f>
        <v>33</v>
      </c>
      <c r="AN39" s="123">
        <f>AF39*3+AG39</f>
        <v>6</v>
      </c>
      <c r="AO39" s="123">
        <f>AN39/AN42*10+BA39</f>
        <v>7.5</v>
      </c>
      <c r="AP39" s="123">
        <f>AO39*10000000+BI39*100+AM39/AM42*10+AI39/AI42*1++IF(AQ39=0,ROW(),AQ39)/2000000</f>
        <v>75000010.552866414</v>
      </c>
      <c r="AQ39" s="126">
        <f>VLOOKUP(AE39,db_fifarank,2,FALSE)</f>
        <v>1660.43</v>
      </c>
      <c r="AR39" s="125">
        <f>AP39/AP42</f>
        <v>0.85714286382209803</v>
      </c>
      <c r="AS39" s="125" t="str">
        <f>IF(SUM(AF38:AH41)=12,J40,"2F")</f>
        <v>Japan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0</v>
      </c>
      <c r="AV39" s="126" cm="1">
        <f t="array" ref="AV39">SUMPRODUCT(($E$7:$E$78=AE39)*($U$7:$U$78)*($F$7:$F$78))+SUMPRODUCT(($H$7:$H$78=AE39)*($U$7:$U$78)*($G$7:$G$78))</f>
        <v>0</v>
      </c>
      <c r="AW39" s="126" cm="1">
        <f t="array" ref="AW39">SUMPRODUCT(($E$7:$E$78=AE39)*($U$7:$U$78)*($G$7:$G$78))+SUMPRODUCT(($H$7:$H$78=AE39)*($U$7:$U$78)*($F$7:$F$78))</f>
        <v>0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0</v>
      </c>
      <c r="BA39" s="126">
        <f>AZ39/AZ42</f>
        <v>0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0</v>
      </c>
      <c r="BD39" s="126" cm="1">
        <f t="array" ref="BD39">SUMPRODUCT(($E$7:$E$78=AE39)*($X$7:$X$78)*($F$7:$F$78))+SUMPRODUCT(($H$7:$H$78=AE39)*($X$7:$X$78)*($G$7:$G$78))</f>
        <v>0</v>
      </c>
      <c r="BE39" s="126" cm="1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0</v>
      </c>
      <c r="BI39" s="126">
        <f>BH39/BH42</f>
        <v>0</v>
      </c>
      <c r="BK39" s="142"/>
      <c r="BL39" s="26" t="str">
        <f>IF(group_round_completed,VLOOKUP('3rd places'!H3,AK80:AS91,9,FALSE),"3rd Group A/E/H/I/J")</f>
        <v>Czech Republic</v>
      </c>
      <c r="BM39" s="62">
        <v>1</v>
      </c>
      <c r="BN39" s="64"/>
      <c r="BO39" s="27"/>
      <c r="BP39" s="112">
        <f>IF(BP38="","",BM39*1000+BN39*10+BO39)</f>
        <v>1000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35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0</v>
      </c>
      <c r="E40" s="78" t="str">
        <f>AE35</f>
        <v>Ecuador</v>
      </c>
      <c r="F40" s="19">
        <v>3</v>
      </c>
      <c r="G40" s="20">
        <v>0</v>
      </c>
      <c r="H40" s="80" t="str">
        <f>AE33</f>
        <v>Curaçao</v>
      </c>
      <c r="J40" s="33" t="str">
        <f>VLOOKUP(2,AD38:AN41,2,FALSE)</f>
        <v>Japan</v>
      </c>
      <c r="K40" s="23">
        <f>L40+M40+N40</f>
        <v>3</v>
      </c>
      <c r="L40" s="23">
        <f>VLOOKUP(2,AD38:AN41,3,FALSE)</f>
        <v>2</v>
      </c>
      <c r="M40" s="23">
        <f>VLOOKUP(2,AD38:AN41,4,FALSE)</f>
        <v>0</v>
      </c>
      <c r="N40" s="23">
        <f>VLOOKUP(2,AD38:AN41,5,FALSE)</f>
        <v>1</v>
      </c>
      <c r="O40" s="23" t="str">
        <f>VLOOKUP(2,AD38:AN41,6,FALSE) &amp; " - " &amp; VLOOKUP(2,AD38:AN41,7,FALSE)</f>
        <v>11 - 2</v>
      </c>
      <c r="P40" s="34">
        <f>L40*3+M40</f>
        <v>6</v>
      </c>
      <c r="R40" s="123">
        <f>DATE(2026,6,20)+TIME(13,0,0)+gmt_delta</f>
        <v>46194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4</v>
      </c>
      <c r="AE40" s="124" t="str">
        <f>VLOOKUP("Sweden",T,lang,FALSE)</f>
        <v>Sweden</v>
      </c>
      <c r="AF40" s="123">
        <f>COUNTIF($S$7:$T$78,"=" &amp; AE40 &amp; "_win")</f>
        <v>0</v>
      </c>
      <c r="AG40" s="123">
        <f>COUNTIF($S$7:$T$78,"=" &amp; AE40 &amp; "_draw")</f>
        <v>0</v>
      </c>
      <c r="AH40" s="123">
        <f>COUNTIF($S$7:$T$78,"=" &amp; AE40 &amp; "_lose")</f>
        <v>3</v>
      </c>
      <c r="AI40" s="123">
        <f>SUMIF($E$7:$E$78,$AE40,$F$7:$F$78) + SUMIF($H$7:$H$78,$AE40,$G$7:$G$78)</f>
        <v>0</v>
      </c>
      <c r="AJ40" s="123">
        <f>SUMIF($E$7:$E$78,$AE40,$G$7:$G$78) + SUMIF($H$7:$H$78,$AE40,$F$7:$F$78)</f>
        <v>24</v>
      </c>
      <c r="AL40" s="123">
        <f>AI40-AJ40</f>
        <v>-24</v>
      </c>
      <c r="AM40" s="123">
        <f>AL40-AL42</f>
        <v>0</v>
      </c>
      <c r="AN40" s="123">
        <f>AF40*3+AG40</f>
        <v>0</v>
      </c>
      <c r="AO40" s="123">
        <f>AN40/AN42*10+BA40</f>
        <v>0</v>
      </c>
      <c r="AP40" s="123">
        <f>AO40*10000000+BI40*100+AM40/AM42*10+AI40/AI42*1++IF(AQ40=0,ROW(),AQ40)/2000000</f>
        <v>7.5738499999999996E-4</v>
      </c>
      <c r="AQ40" s="126">
        <f>VLOOKUP(AE40,db_fifarank,2,FALSE)</f>
        <v>1514.77</v>
      </c>
      <c r="AR40" s="125">
        <f>AP40/AP42</f>
        <v>8.6558274209614571E-12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0</v>
      </c>
      <c r="BA40" s="126">
        <f>AZ40/AZ42</f>
        <v>0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 x14ac:dyDescent="0.35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0.70833333333333337</v>
      </c>
      <c r="E41" s="78" t="str">
        <f>AE38</f>
        <v>Netherlands</v>
      </c>
      <c r="F41" s="19">
        <v>8</v>
      </c>
      <c r="G41" s="20">
        <v>0</v>
      </c>
      <c r="H41" s="80" t="str">
        <f>AE40</f>
        <v>Sweden</v>
      </c>
      <c r="J41" s="33" t="str">
        <f>VLOOKUP(3,AD38:AN41,2,FALSE)</f>
        <v>Tunisia</v>
      </c>
      <c r="K41" s="23">
        <f>L41+M41+N41</f>
        <v>3</v>
      </c>
      <c r="L41" s="23">
        <f>VLOOKUP(3,AD38:AN41,3,FALSE)</f>
        <v>1</v>
      </c>
      <c r="M41" s="23">
        <f>VLOOKUP(3,AD38:AN41,4,FALSE)</f>
        <v>1</v>
      </c>
      <c r="N41" s="23">
        <f>VLOOKUP(3,AD38:AN41,5,FALSE)</f>
        <v>1</v>
      </c>
      <c r="O41" s="23" t="str">
        <f>VLOOKUP(3,AD38:AN41,6,FALSE) &amp; " - " &amp; VLOOKUP(3,AD38:AN41,7,FALSE)</f>
        <v>10 - 4</v>
      </c>
      <c r="P41" s="34">
        <f>L41*3+M41</f>
        <v>4</v>
      </c>
      <c r="R41" s="123">
        <f>DATE(2026,6,20)+TIME(6,0,0)+gmt_delta</f>
        <v>46193.708333333336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3</v>
      </c>
      <c r="AE41" s="124" t="str">
        <f>VLOOKUP("Tunisia",T,lang,FALSE)</f>
        <v>Tunisia</v>
      </c>
      <c r="AF41" s="123">
        <f>COUNTIF($S$7:$T$78,"=" &amp; AE41 &amp; "_win")</f>
        <v>1</v>
      </c>
      <c r="AG41" s="123">
        <f>COUNTIF($S$7:$T$78,"=" &amp; AE41 &amp; "_draw")</f>
        <v>1</v>
      </c>
      <c r="AH41" s="123">
        <f>COUNTIF($S$7:$T$78,"=" &amp; AE41 &amp; "_lose")</f>
        <v>1</v>
      </c>
      <c r="AI41" s="123">
        <f>SUMIF($E$7:$E$78,$AE41,$F$7:$F$78) + SUMIF($H$7:$H$78,$AE41,$G$7:$G$78)</f>
        <v>10</v>
      </c>
      <c r="AJ41" s="123">
        <f>SUMIF($E$7:$E$78,$AE41,$G$7:$G$78) + SUMIF($H$7:$H$78,$AE41,$F$7:$F$78)</f>
        <v>4</v>
      </c>
      <c r="AL41" s="123">
        <f>AI41-AJ41</f>
        <v>6</v>
      </c>
      <c r="AM41" s="123">
        <f>AL41-AL42</f>
        <v>30</v>
      </c>
      <c r="AN41" s="123">
        <f>AF41*3+AG41</f>
        <v>4</v>
      </c>
      <c r="AO41" s="123">
        <f>AN41/AN42*10+BA41</f>
        <v>5</v>
      </c>
      <c r="AP41" s="123">
        <f>AO41*10000000+BI41*100+AM41/AM42*10+AI41/AI42*1++IF(AQ41=0,ROW(),AQ41)/2000000</f>
        <v>50000009.593501709</v>
      </c>
      <c r="AQ41" s="126">
        <f>VLOOKUP(AE41,db_fifarank,2,FALSE)</f>
        <v>1483.05</v>
      </c>
      <c r="AR41" s="125">
        <f>AP41/AP42</f>
        <v>0.57142860511862259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17:00</v>
      </c>
      <c r="BL41" s="21"/>
      <c r="BM41" s="21"/>
      <c r="BN41" s="21"/>
      <c r="BO41" s="22"/>
      <c r="BP41" s="112">
        <f>DATE(2026,6,29)+TIME(6,0,0)+gmt_delta</f>
        <v>46202.708333333336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35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0.16666666666666666</v>
      </c>
      <c r="E42" s="78" t="str">
        <f>AE41</f>
        <v>Tunisia</v>
      </c>
      <c r="F42" s="19">
        <v>0</v>
      </c>
      <c r="G42" s="20">
        <v>2</v>
      </c>
      <c r="H42" s="80" t="str">
        <f>AE39</f>
        <v>Japan</v>
      </c>
      <c r="J42" s="35" t="str">
        <f>VLOOKUP(4,AD38:AN41,2,FALSE)</f>
        <v>Sweden</v>
      </c>
      <c r="K42" s="36">
        <f>L42+M42+N42</f>
        <v>3</v>
      </c>
      <c r="L42" s="36">
        <f>VLOOKUP(4,AD38:AN41,3,FALSE)</f>
        <v>0</v>
      </c>
      <c r="M42" s="36">
        <f>VLOOKUP(4,AD38:AN41,4,FALSE)</f>
        <v>0</v>
      </c>
      <c r="N42" s="36">
        <f>VLOOKUP(4,AD38:AN41,5,FALSE)</f>
        <v>3</v>
      </c>
      <c r="O42" s="36" t="str">
        <f>VLOOKUP(4,AD38:AN41,6,FALSE) &amp; " - " &amp; VLOOKUP(4,AD38:AN41,7,FALSE)</f>
        <v>0 - 24</v>
      </c>
      <c r="P42" s="37">
        <f>L42*3+M42</f>
        <v>0</v>
      </c>
      <c r="R42" s="123">
        <f>DATE(2026,6,20)+TIME(17,0,0)+gmt_delta</f>
        <v>46194.166666666672</v>
      </c>
      <c r="S42" s="127" t="str">
        <f t="shared" si="1"/>
        <v>Tunisia_lose</v>
      </c>
      <c r="T42" s="127" t="str">
        <f t="shared" si="2"/>
        <v>Japan_win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-1</v>
      </c>
      <c r="AF42" s="123">
        <f t="shared" ref="AF42:AH42" si="18">MAX(AF38:AF41)-MIN(AF38:AF41)+1</f>
        <v>3</v>
      </c>
      <c r="AG42" s="123">
        <f t="shared" si="18"/>
        <v>2</v>
      </c>
      <c r="AH42" s="123">
        <f t="shared" si="18"/>
        <v>4</v>
      </c>
      <c r="AI42" s="123">
        <f>MAX(AI38:AI41)+1</f>
        <v>13</v>
      </c>
      <c r="AL42" s="123">
        <f>MIN(AL38:AL41)</f>
        <v>-24</v>
      </c>
      <c r="AM42" s="123">
        <f>MAX(AM38:AM41)+1</f>
        <v>34</v>
      </c>
      <c r="AN42" s="123">
        <f>MAX(AN38:AN41)+1</f>
        <v>8</v>
      </c>
      <c r="AO42" s="123">
        <f>MAX(AO38:AO41)+1</f>
        <v>9.75</v>
      </c>
      <c r="AP42" s="123">
        <f>MAX(AP38:AP41)+1</f>
        <v>87500011.629838213</v>
      </c>
      <c r="AT42" s="126">
        <f>MAX(AT38:AT41)-MIN(AT38:AT41)+1</f>
        <v>1</v>
      </c>
      <c r="AU42" s="126">
        <f>MAX(AU38:AU41)-MIN(AU38:AU41)+1</f>
        <v>1</v>
      </c>
      <c r="AV42" s="126">
        <f>MAX(AV38:AV41)-MIN(AV38:AV41)+1</f>
        <v>1</v>
      </c>
      <c r="AW42" s="126">
        <f>MAX(AW38:AW41)-MIN(AW38:AW41)+1</f>
        <v>1</v>
      </c>
      <c r="AY42" s="126">
        <f>MAX(AY38:AY41)-MIN(AY38:AY41)+1</f>
        <v>1</v>
      </c>
      <c r="AZ42" s="126">
        <f>MAX(AZ38:AZ41)+1</f>
        <v>1</v>
      </c>
      <c r="BB42" s="126">
        <f>MAX(BB38:BB41)-MIN(BB38:BB41)+1</f>
        <v>1</v>
      </c>
      <c r="BC42" s="126">
        <f>MAX(BC38:BC41)-MIN(BC38:BC41)+1</f>
        <v>1</v>
      </c>
      <c r="BD42" s="126">
        <f>MAX(BD38:BD41)-MIN(BD38:BD41)+1</f>
        <v>1</v>
      </c>
      <c r="BE42" s="126">
        <f>MAX(BE38:BE41)-MIN(BE38:BE41)+1</f>
        <v>1</v>
      </c>
      <c r="BG42" s="126">
        <f>MAX(BG38:BG41)-MIN(BG38:BG41)+1</f>
        <v>1</v>
      </c>
      <c r="BH42" s="126">
        <f>MAX(BH38:BH41)+1</f>
        <v>1</v>
      </c>
      <c r="BK42" s="141">
        <v>76</v>
      </c>
      <c r="BL42" s="24" t="str">
        <f>AS20</f>
        <v>Brazil</v>
      </c>
      <c r="BM42" s="61">
        <v>3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3000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35">
      <c r="A43" s="16">
        <v>37</v>
      </c>
      <c r="B43" s="17" t="str" cm="1">
        <f t="array" ref="B43">INDEX(T,18+INT(MOD(R43-1,7)),lang)</f>
        <v>Sun</v>
      </c>
      <c r="C43" s="18" t="str" cm="1">
        <f t="array" ref="C43">INDEX(T,24+MONTH(R43),lang) &amp; " " &amp; DAY(R43) &amp; ", " &amp; YEAR(R43)</f>
        <v>Jun 21, 2026</v>
      </c>
      <c r="D43" s="120">
        <f t="shared" si="7"/>
        <v>0.91666666666666663</v>
      </c>
      <c r="E43" s="78" t="str">
        <f>AE53</f>
        <v>Uruguay</v>
      </c>
      <c r="F43" s="19">
        <v>2</v>
      </c>
      <c r="G43" s="20">
        <v>0</v>
      </c>
      <c r="H43" s="80" t="str">
        <f>AE51</f>
        <v>Cape Verde</v>
      </c>
      <c r="R43" s="123">
        <f>DATE(2026,6,21)+TIME(11,0,0)+gmt_delta</f>
        <v>46194.916666666672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42"/>
      <c r="BL43" s="26" t="str">
        <f>AS39</f>
        <v>Japan</v>
      </c>
      <c r="BM43" s="62">
        <v>2</v>
      </c>
      <c r="BN43" s="64"/>
      <c r="BO43" s="27"/>
      <c r="BP43" s="113">
        <f>IF(BP42="","",BM43*1000+BN43*10+BO43)</f>
        <v>2000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20:00</v>
      </c>
      <c r="BS43" s="21"/>
      <c r="BT43" s="21"/>
      <c r="BU43" s="21"/>
      <c r="BV43" s="28"/>
      <c r="BW43" s="112">
        <f>DATE(2026,7,5)+TIME(9,0,0)+gmt_delta</f>
        <v>46208.833333333336</v>
      </c>
      <c r="CK43" s="114"/>
    </row>
    <row r="44" spans="1:96" ht="15" customHeight="1" x14ac:dyDescent="0.35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0.66666666666666663</v>
      </c>
      <c r="E44" s="78" t="str">
        <f>AE50</f>
        <v>Spain</v>
      </c>
      <c r="F44" s="19">
        <v>4</v>
      </c>
      <c r="G44" s="20">
        <v>0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46194.666666666672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3</v>
      </c>
      <c r="AG44" s="123">
        <f>COUNTIF($S$7:$T$78,"=" &amp; AE44 &amp; "_draw")</f>
        <v>0</v>
      </c>
      <c r="AH44" s="123">
        <f>COUNTIF($S$7:$T$78,"=" &amp; AE44 &amp; "_lose")</f>
        <v>0</v>
      </c>
      <c r="AI44" s="123">
        <f>SUMIF($E$7:$E$78,$AE44,$F$7:$F$78) + SUMIF($H$7:$H$78,$AE44,$G$7:$G$78)</f>
        <v>9</v>
      </c>
      <c r="AJ44" s="123">
        <f>SUMIF($E$7:$E$78,$AE44,$G$7:$G$78) + SUMIF($H$7:$H$78,$AE44,$F$7:$F$78)</f>
        <v>2</v>
      </c>
      <c r="AL44" s="123">
        <f>AI44-AJ44</f>
        <v>7</v>
      </c>
      <c r="AM44" s="123">
        <f>AL44-AL48</f>
        <v>12</v>
      </c>
      <c r="AN44" s="123">
        <f>AF44*3+AG44</f>
        <v>9</v>
      </c>
      <c r="AO44" s="123">
        <f>AN44/AN48*10+BA44</f>
        <v>9</v>
      </c>
      <c r="AP44" s="123">
        <f>AO44*10000000+BI44*100+AM44/AM48*10+AI44/AI48*1++IF(AQ44=0,ROW(),AQ44)/2000000</f>
        <v>90000010.13163659</v>
      </c>
      <c r="AQ44" s="126">
        <f>VLOOKUP(AE44,db_fifarank,2,FALSE)</f>
        <v>1734.71</v>
      </c>
      <c r="AR44" s="125">
        <f>AP44/AP48</f>
        <v>0.9999999888888903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41">
        <v>91</v>
      </c>
      <c r="BS44" s="24" t="str">
        <f>IF(BP42&gt;BP43,BL42,IF(BP42&lt;BP43,BL43,""))</f>
        <v>Brazil</v>
      </c>
      <c r="BT44" s="61">
        <v>2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2000</v>
      </c>
      <c r="CK44" s="114"/>
      <c r="CM44" s="144" t="str" cm="1">
        <f t="array" ref="CM44">INDEX(T,7,lang)</f>
        <v>Third-Place Play-Off</v>
      </c>
      <c r="CN44" s="145"/>
      <c r="CO44" s="145"/>
      <c r="CP44" s="145"/>
      <c r="CQ44" s="146"/>
    </row>
    <row r="45" spans="1:96" ht="15" customHeight="1" x14ac:dyDescent="0.35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0.79166666666666663</v>
      </c>
      <c r="E45" s="78" t="str">
        <f>AE44</f>
        <v>Belgium</v>
      </c>
      <c r="F45" s="19">
        <v>3</v>
      </c>
      <c r="G45" s="20">
        <v>1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3</v>
      </c>
      <c r="M45" s="31">
        <f>VLOOKUP(1,AD44:AN47,4,FALSE)</f>
        <v>0</v>
      </c>
      <c r="N45" s="31">
        <f>VLOOKUP(1,AD44:AN47,5,FALSE)</f>
        <v>0</v>
      </c>
      <c r="O45" s="31" t="str">
        <f>VLOOKUP(1,AD44:AN47,6,FALSE) &amp; " - " &amp; VLOOKUP(1,AD44:AN47,7,FALSE)</f>
        <v>9 - 2</v>
      </c>
      <c r="P45" s="32">
        <f>L45*3+M45</f>
        <v>9</v>
      </c>
      <c r="R45" s="123">
        <f>DATE(2026,6,21)+TIME(8,0,0)+gmt_delta</f>
        <v>46194.791666666672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2</v>
      </c>
      <c r="AE45" s="124" t="str">
        <f>VLOOKUP("Egypt",T,lang,FALSE)</f>
        <v>Egypt</v>
      </c>
      <c r="AF45" s="123">
        <f>COUNTIF($S$7:$T$78,"=" &amp; AE45 &amp; "_win")</f>
        <v>1</v>
      </c>
      <c r="AG45" s="123">
        <f>COUNTIF($S$7:$T$78,"=" &amp; AE45 &amp; "_draw")</f>
        <v>1</v>
      </c>
      <c r="AH45" s="123">
        <f>COUNTIF($S$7:$T$78,"=" &amp; AE45 &amp; "_lose")</f>
        <v>1</v>
      </c>
      <c r="AI45" s="123">
        <f>SUMIF($E$7:$E$78,$AE45,$F$7:$F$78) + SUMIF($H$7:$H$78,$AE45,$G$7:$G$78)</f>
        <v>4</v>
      </c>
      <c r="AJ45" s="123">
        <f>SUMIF($E$7:$E$78,$AE45,$G$7:$G$78) + SUMIF($H$7:$H$78,$AE45,$F$7:$F$78)</f>
        <v>4</v>
      </c>
      <c r="AL45" s="123">
        <f>AI45-AJ45</f>
        <v>0</v>
      </c>
      <c r="AM45" s="123">
        <f>AL45-AL48</f>
        <v>5</v>
      </c>
      <c r="AN45" s="123">
        <f>AF45*3+AG45</f>
        <v>4</v>
      </c>
      <c r="AO45" s="123">
        <f>AN45/AN48*10+BA45</f>
        <v>4</v>
      </c>
      <c r="AP45" s="123">
        <f>AO45*10000000+BI45*100+AM45/AM48*10+AI45/AI48*1++IF(AQ45=0,ROW(),AQ45)/2000000</f>
        <v>40000004.246935464</v>
      </c>
      <c r="AQ45" s="126">
        <f>VLOOKUP(AE45,db_fifarank,2,FALSE)</f>
        <v>1563.24</v>
      </c>
      <c r="AR45" s="125">
        <f>AP45/AP48</f>
        <v>0.44444443666157235</v>
      </c>
      <c r="AS45" s="125" t="str">
        <f>IF(SUM(AF44:AH47)=12,J46,"2G")</f>
        <v>Egypt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0</v>
      </c>
      <c r="AV45" s="126" cm="1">
        <f t="array" ref="AV45">SUMPRODUCT(($E$7:$E$78=AE45)*($U$7:$U$78)*($F$7:$F$78))+SUMPRODUCT(($H$7:$H$78=AE45)*($U$7:$U$78)*($G$7:$G$78))</f>
        <v>0</v>
      </c>
      <c r="AW45" s="126" cm="1">
        <f t="array" ref="AW45">SUMPRODUCT(($E$7:$E$78=AE45)*($U$7:$U$78)*($G$7:$G$78))+SUMPRODUCT(($H$7:$H$78=AE45)*($U$7:$U$78)*($F$7:$F$78))</f>
        <v>0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0</v>
      </c>
      <c r="BA45" s="126">
        <f>AZ45/AZ48</f>
        <v>0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0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0</v>
      </c>
      <c r="BI45" s="126">
        <f>BH45/BH48</f>
        <v>0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17:00</v>
      </c>
      <c r="BL45" s="21"/>
      <c r="BM45" s="21"/>
      <c r="BN45" s="21"/>
      <c r="BO45" s="28"/>
      <c r="BP45" s="114">
        <f>DATE(2026,6,30)+TIME(6,0,0)+gmt_delta</f>
        <v>46203.708333333336</v>
      </c>
      <c r="BQ45" s="115"/>
      <c r="BR45" s="142"/>
      <c r="BS45" s="26" t="str">
        <f>IF(BP46&gt;BP47,BL46,IF(BP46&lt;BP47,BL47,""))</f>
        <v>France</v>
      </c>
      <c r="BT45" s="62">
        <v>4</v>
      </c>
      <c r="BU45" s="64"/>
      <c r="BV45" s="27"/>
      <c r="BW45" s="113">
        <f>IF(BW44="","",BT45*1000+BU45*10+BV45)</f>
        <v>4000</v>
      </c>
      <c r="CK45" s="114"/>
      <c r="CM45" s="147"/>
      <c r="CN45" s="148"/>
      <c r="CO45" s="148"/>
      <c r="CP45" s="148"/>
      <c r="CQ45" s="149"/>
    </row>
    <row r="46" spans="1:96" x14ac:dyDescent="0.35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4.1666666666666664E-2</v>
      </c>
      <c r="E46" s="78" t="str">
        <f>AE47</f>
        <v>New Zealand</v>
      </c>
      <c r="F46" s="19">
        <v>0</v>
      </c>
      <c r="G46" s="20">
        <v>2</v>
      </c>
      <c r="H46" s="80" t="str">
        <f>AE45</f>
        <v>Egypt</v>
      </c>
      <c r="J46" s="33" t="str">
        <f>VLOOKUP(2,AD44:AN47,2,FALSE)</f>
        <v>Egypt</v>
      </c>
      <c r="K46" s="23">
        <f>L46+M46+N46</f>
        <v>3</v>
      </c>
      <c r="L46" s="23">
        <f>VLOOKUP(2,AD44:AN47,3,FALSE)</f>
        <v>1</v>
      </c>
      <c r="M46" s="23">
        <f>VLOOKUP(2,AD44:AN47,4,FALSE)</f>
        <v>1</v>
      </c>
      <c r="N46" s="23">
        <f>VLOOKUP(2,AD44:AN47,5,FALSE)</f>
        <v>1</v>
      </c>
      <c r="O46" s="23" t="str">
        <f>VLOOKUP(2,AD44:AN47,6,FALSE) &amp; " - " &amp; VLOOKUP(2,AD44:AN47,7,FALSE)</f>
        <v>4 - 4</v>
      </c>
      <c r="P46" s="34">
        <f>L46*3+M46</f>
        <v>4</v>
      </c>
      <c r="R46" s="123">
        <f>DATE(2026,6,21)+TIME(14,0,0)+gmt_delta</f>
        <v>46195.041666666672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3</v>
      </c>
      <c r="AE46" s="124" t="str">
        <f>VLOOKUP("Iran",T,lang,FALSE)</f>
        <v>Iran</v>
      </c>
      <c r="AF46" s="123">
        <f>COUNTIF($S$7:$T$78,"=" &amp; AE46 &amp; "_win")</f>
        <v>0</v>
      </c>
      <c r="AG46" s="123">
        <f>COUNTIF($S$7:$T$78,"=" &amp; AE46 &amp; "_draw")</f>
        <v>2</v>
      </c>
      <c r="AH46" s="123">
        <f>COUNTIF($S$7:$T$78,"=" &amp; AE46 &amp; "_lose")</f>
        <v>1</v>
      </c>
      <c r="AI46" s="123">
        <f>SUMIF($E$7:$E$78,$AE46,$F$7:$F$78) + SUMIF($H$7:$H$78,$AE46,$G$7:$G$78)</f>
        <v>3</v>
      </c>
      <c r="AJ46" s="123">
        <f>SUMIF($E$7:$E$78,$AE46,$G$7:$G$78) + SUMIF($H$7:$H$78,$AE46,$F$7:$F$78)</f>
        <v>5</v>
      </c>
      <c r="AL46" s="123">
        <f>AI46-AJ46</f>
        <v>-2</v>
      </c>
      <c r="AM46" s="123">
        <f>AL46-AL48</f>
        <v>3</v>
      </c>
      <c r="AN46" s="123">
        <f>AF46*3+AG46</f>
        <v>2</v>
      </c>
      <c r="AO46" s="123">
        <f>AN46/AN48*10+BA46</f>
        <v>2</v>
      </c>
      <c r="AP46" s="123">
        <f>AO46*10000000+BI46*100+AM46/AM48*10+AI46/AI48*1++IF(AQ46=0,ROW(),AQ46)/2000000</f>
        <v>20000002.608499959</v>
      </c>
      <c r="AQ46" s="126">
        <f>VLOOKUP(AE46,db_fifarank,2,FALSE)</f>
        <v>1615.3</v>
      </c>
      <c r="AR46" s="125">
        <f>AP46/AP48</f>
        <v>0.22222222372003247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0</v>
      </c>
      <c r="AV46" s="126" cm="1">
        <f t="array" ref="AV46">SUMPRODUCT(($E$7:$E$78=AE46)*($U$7:$U$78)*($F$7:$F$78))+SUMPRODUCT(($H$7:$H$78=AE46)*($U$7:$U$78)*($G$7:$G$78))</f>
        <v>0</v>
      </c>
      <c r="AW46" s="126" cm="1">
        <f t="array" ref="AW46">SUMPRODUCT(($E$7:$E$78=AE46)*($U$7:$U$78)*($G$7:$G$78))+SUMPRODUCT(($H$7:$H$78=AE46)*($U$7:$U$78)*($F$7:$F$78))</f>
        <v>0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0</v>
      </c>
      <c r="BA46" s="126">
        <f>AZ46/AZ48</f>
        <v>0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0</v>
      </c>
      <c r="BD46" s="126" cm="1">
        <f t="array" ref="BD46">SUMPRODUCT(($E$7:$E$78=AE46)*($X$7:$X$78)*($F$7:$F$78))+SUMPRODUCT(($H$7:$H$78=AE46)*($X$7:$X$78)*($G$7:$G$78))</f>
        <v>0</v>
      </c>
      <c r="BE46" s="126" cm="1">
        <f t="array" ref="BE46">SUMPRODUCT(($E$7:$E$78=AE46)*($X$7:$X$78)*($G$7:$G$78))+SUMPRODUCT(($H$7:$H$78=AE46)*($X$7:$X$78)*($F$7:$F$78))</f>
        <v>0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0</v>
      </c>
      <c r="BI46" s="126">
        <f>BH46/BH48</f>
        <v>0</v>
      </c>
      <c r="BK46" s="141">
        <v>78</v>
      </c>
      <c r="BL46" s="24" t="str">
        <f>AS33</f>
        <v>Ecuador</v>
      </c>
      <c r="BM46" s="61">
        <v>0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35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0</v>
      </c>
      <c r="E47" s="78" t="str">
        <f>AE59</f>
        <v>Norway</v>
      </c>
      <c r="F47" s="19">
        <v>4</v>
      </c>
      <c r="G47" s="20">
        <v>1</v>
      </c>
      <c r="H47" s="80" t="str">
        <f>AE57</f>
        <v>Senegal</v>
      </c>
      <c r="J47" s="33" t="str">
        <f>VLOOKUP(3,AD44:AN47,2,FALSE)</f>
        <v>Iran</v>
      </c>
      <c r="K47" s="23">
        <f>L47+M47+N47</f>
        <v>3</v>
      </c>
      <c r="L47" s="23">
        <f>VLOOKUP(3,AD44:AN47,3,FALSE)</f>
        <v>0</v>
      </c>
      <c r="M47" s="23">
        <f>VLOOKUP(3,AD44:AN47,4,FALSE)</f>
        <v>2</v>
      </c>
      <c r="N47" s="23">
        <f>VLOOKUP(3,AD44:AN47,5,FALSE)</f>
        <v>1</v>
      </c>
      <c r="O47" s="23" t="str">
        <f>VLOOKUP(3,AD44:AN47,6,FALSE) &amp; " - " &amp; VLOOKUP(3,AD44:AN47,7,FALSE)</f>
        <v>3 - 5</v>
      </c>
      <c r="P47" s="34">
        <f>L47*3+M47</f>
        <v>2</v>
      </c>
      <c r="R47" s="123">
        <f>DATE(2026,6,22)+TIME(13,0,0)+gmt_delta</f>
        <v>46196</v>
      </c>
      <c r="S47" s="127" t="str">
        <f t="shared" ref="S47:S78" si="19">IF(OR(F47="",G47=""),"",IF(F47&gt;G47,E47&amp;"_win",IF(F47&lt;G47,E47&amp;"_lose",E47&amp;"_draw")))</f>
        <v>Norway_win</v>
      </c>
      <c r="T47" s="127" t="str">
        <f t="shared" ref="T47:T78" si="20">IF(S47="","",IF(F47&lt;G47,H47&amp;"_win",IF(F47&gt;G47,H47&amp;"_lose",H47&amp;"_draw")))</f>
        <v>Senegal_lose</v>
      </c>
      <c r="U47" s="123">
        <f t="shared" si="8"/>
        <v>0</v>
      </c>
      <c r="V47" s="123">
        <f t="shared" ref="V47:V78" si="21">U47*F47</f>
        <v>0</v>
      </c>
      <c r="W47" s="123">
        <f t="shared" ref="W47:W78" si="22">U47*G47</f>
        <v>0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1</v>
      </c>
      <c r="AD47" s="123">
        <f>COUNTIF(AR44:AR47,CONCATENATE("&gt;=",AR47))</f>
        <v>4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1</v>
      </c>
      <c r="AH47" s="123">
        <f>COUNTIF($S$7:$T$78,"=" &amp; AE47 &amp; "_lose")</f>
        <v>2</v>
      </c>
      <c r="AI47" s="123">
        <f>SUMIF($E$7:$E$78,$AE47,$F$7:$F$78) + SUMIF($H$7:$H$78,$AE47,$G$7:$G$78)</f>
        <v>1</v>
      </c>
      <c r="AJ47" s="123">
        <f>SUMIF($E$7:$E$78,$AE47,$G$7:$G$78) + SUMIF($H$7:$H$78,$AE47,$F$7:$F$78)</f>
        <v>6</v>
      </c>
      <c r="AL47" s="123">
        <f>AI47-AJ47</f>
        <v>-5</v>
      </c>
      <c r="AM47" s="123">
        <f>AL47-AL48</f>
        <v>0</v>
      </c>
      <c r="AN47" s="123">
        <f>AF47*3+AG47</f>
        <v>1</v>
      </c>
      <c r="AO47" s="123">
        <f>AN47/AN48*10+BA47</f>
        <v>1</v>
      </c>
      <c r="AP47" s="123">
        <f>AO47*10000000+BI47*100+AM47/AM48*10+AI47/AI48*1++IF(AQ47=0,ROW(),AQ47)/2000000</f>
        <v>10000000.100640785</v>
      </c>
      <c r="AQ47" s="126">
        <f>VLOOKUP(AE47,db_fifarank,2,FALSE)</f>
        <v>1281.57</v>
      </c>
      <c r="AR47" s="125">
        <f>AP47/AP48</f>
        <v>0.11111109848658239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0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0</v>
      </c>
      <c r="BA47" s="126">
        <f>AZ47/AZ48</f>
        <v>0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0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0</v>
      </c>
      <c r="BI47" s="126">
        <f>BH47/BH48</f>
        <v>0</v>
      </c>
      <c r="BK47" s="142"/>
      <c r="BL47" s="26" t="str">
        <f>AS57</f>
        <v>France</v>
      </c>
      <c r="BM47" s="62">
        <v>4</v>
      </c>
      <c r="BN47" s="64"/>
      <c r="BO47" s="27"/>
      <c r="BP47" s="112">
        <f>IF(BP46="","",BM47*1000+BN47*10+BO47)</f>
        <v>4000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21:00</v>
      </c>
      <c r="BZ47" s="21"/>
      <c r="CA47" s="21"/>
      <c r="CB47" s="21"/>
      <c r="CC47" s="28"/>
      <c r="CD47" s="112">
        <f>DATE(2026,7,11)+TIME(10,0,0)+gmt_delta</f>
        <v>46214.875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21:00</v>
      </c>
      <c r="CN47" s="21"/>
      <c r="CO47" s="21"/>
      <c r="CP47" s="21"/>
      <c r="CQ47" s="28"/>
      <c r="CR47" s="111">
        <f>DATE(2026,7,18)+TIME(10,0,0)+gmt_delta</f>
        <v>46221.875</v>
      </c>
    </row>
    <row r="48" spans="1:96" x14ac:dyDescent="0.35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0.83333333333333337</v>
      </c>
      <c r="E48" s="78" t="str">
        <f>AE56</f>
        <v>France</v>
      </c>
      <c r="F48" s="19">
        <v>3</v>
      </c>
      <c r="G48" s="20">
        <v>0</v>
      </c>
      <c r="H48" s="80" t="str">
        <f>AE58</f>
        <v>Iraq</v>
      </c>
      <c r="J48" s="35" t="str">
        <f>VLOOKUP(4,AD44:AN47,2,FALSE)</f>
        <v>New Zealand</v>
      </c>
      <c r="K48" s="36">
        <f>L48+M48+N48</f>
        <v>3</v>
      </c>
      <c r="L48" s="36">
        <f>VLOOKUP(4,AD44:AN47,3,FALSE)</f>
        <v>0</v>
      </c>
      <c r="M48" s="36">
        <f>VLOOKUP(4,AD44:AN47,4,FALSE)</f>
        <v>1</v>
      </c>
      <c r="N48" s="36">
        <f>VLOOKUP(4,AD44:AN47,5,FALSE)</f>
        <v>2</v>
      </c>
      <c r="O48" s="36" t="str">
        <f>VLOOKUP(4,AD44:AN47,6,FALSE) &amp; " - " &amp; VLOOKUP(4,AD44:AN47,7,FALSE)</f>
        <v>1 - 6</v>
      </c>
      <c r="P48" s="37">
        <f>L48*3+M48</f>
        <v>1</v>
      </c>
      <c r="R48" s="123">
        <f>DATE(2026,6,22)+TIME(105,0,0)+gmt_delta</f>
        <v>46195.833333333336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4</v>
      </c>
      <c r="AG48" s="123">
        <f t="shared" si="24"/>
        <v>3</v>
      </c>
      <c r="AH48" s="123">
        <f t="shared" si="24"/>
        <v>3</v>
      </c>
      <c r="AI48" s="123">
        <f>MAX(AI44:AI47)+1</f>
        <v>10</v>
      </c>
      <c r="AL48" s="123">
        <f>MIN(AL44:AL47)</f>
        <v>-5</v>
      </c>
      <c r="AM48" s="123">
        <f>MAX(AM44:AM47)+1</f>
        <v>13</v>
      </c>
      <c r="AN48" s="123">
        <f>MAX(AN44:AN47)+1</f>
        <v>10</v>
      </c>
      <c r="AO48" s="123">
        <f>MAX(AO44:AO47)+1</f>
        <v>10</v>
      </c>
      <c r="AP48" s="123">
        <f>MAX(AP44:AP47)+1</f>
        <v>90000011.13163659</v>
      </c>
      <c r="AT48" s="126">
        <f>MAX(AT44:AT47)-MIN(AT44:AT47)+1</f>
        <v>1</v>
      </c>
      <c r="AU48" s="126">
        <f>MAX(AU44:AU47)-MIN(AU44:AU47)+1</f>
        <v>1</v>
      </c>
      <c r="AV48" s="126">
        <f>MAX(AV44:AV47)-MIN(AV44:AV47)+1</f>
        <v>1</v>
      </c>
      <c r="AW48" s="126">
        <f>MAX(AW44:AW47)-MIN(AW44:AW47)+1</f>
        <v>1</v>
      </c>
      <c r="AY48" s="126">
        <f>MAX(AY44:AY47)-MIN(AY44:AY47)+1</f>
        <v>1</v>
      </c>
      <c r="AZ48" s="126">
        <f>MAX(AZ44:AZ47)+1</f>
        <v>1</v>
      </c>
      <c r="BB48" s="126">
        <f>MAX(BB44:BB47)-MIN(BB44:BB47)+1</f>
        <v>1</v>
      </c>
      <c r="BC48" s="126">
        <f>MAX(BC44:BC47)-MIN(BC44:BC47)+1</f>
        <v>1</v>
      </c>
      <c r="BD48" s="126">
        <f>MAX(BD44:BD47)-MIN(BD44:BD47)+1</f>
        <v>1</v>
      </c>
      <c r="BE48" s="126">
        <f>MAX(BE44:BE47)-MIN(BE44:BE47)+1</f>
        <v>1</v>
      </c>
      <c r="BG48" s="126">
        <f>MAX(BG44:BG47)-MIN(BG44:BG47)+1</f>
        <v>1</v>
      </c>
      <c r="BH48" s="126">
        <f>MAX(BH44:BH47)+1</f>
        <v>1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41">
        <v>99</v>
      </c>
      <c r="BZ48" s="24" t="str">
        <f>IF(BW44&gt;BW45,BS44,IF(BW44&lt;BW45,BS45,""))</f>
        <v>France</v>
      </c>
      <c r="CA48" s="61">
        <v>3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3000</v>
      </c>
      <c r="CK48" s="114"/>
      <c r="CL48" s="112"/>
      <c r="CM48" s="141">
        <v>103</v>
      </c>
      <c r="CN48" s="24" t="str">
        <f>IF(CK23&gt;CK24,CG24,IF(CK23&lt;CK24,CG23,""))</f>
        <v>Norway</v>
      </c>
      <c r="CO48" s="61">
        <v>3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3000</v>
      </c>
    </row>
    <row r="49" spans="1:96" x14ac:dyDescent="0.35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0.70833333333333337</v>
      </c>
      <c r="E49" s="78" t="str">
        <f>AE62</f>
        <v>Argentina</v>
      </c>
      <c r="F49" s="19">
        <v>2</v>
      </c>
      <c r="G49" s="20">
        <v>1</v>
      </c>
      <c r="H49" s="80" t="str">
        <f>AE64</f>
        <v>Austria</v>
      </c>
      <c r="R49" s="123">
        <f>DATE(2026,6,22)+TIME(6,0,0)+gmt_delta</f>
        <v>46195.708333333336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01:00</v>
      </c>
      <c r="BL49" s="21"/>
      <c r="BM49" s="21"/>
      <c r="BN49" s="21"/>
      <c r="BO49" s="28"/>
      <c r="BP49" s="112">
        <f>DATE(2026,6,30)+TIME(14,0,0)+gmt_delta</f>
        <v>46204.041666666672</v>
      </c>
      <c r="BQ49" s="112"/>
      <c r="BR49" s="21"/>
      <c r="BS49" s="21"/>
      <c r="BT49" s="21"/>
      <c r="BU49" s="21"/>
      <c r="BV49" s="21"/>
      <c r="BW49" s="114"/>
      <c r="BX49" s="115"/>
      <c r="BY49" s="142"/>
      <c r="BZ49" s="26" t="str">
        <f>IF(BW52&gt;BW53,BS52,IF(BW52&lt;BW53,BS53,""))</f>
        <v>Mexico</v>
      </c>
      <c r="CA49" s="62">
        <v>0</v>
      </c>
      <c r="CB49" s="64"/>
      <c r="CC49" s="27"/>
      <c r="CD49" s="113">
        <f>IF(CD48="","",CA49*1000+CB49*10+CC49)</f>
        <v>0</v>
      </c>
      <c r="CK49" s="114"/>
      <c r="CL49" s="115"/>
      <c r="CM49" s="142"/>
      <c r="CN49" s="26" t="str">
        <f>IF(CK55&gt;CK56,CG56,IF(CK55&lt;CK56,CG55,""))</f>
        <v>Argentina</v>
      </c>
      <c r="CO49" s="62">
        <v>0</v>
      </c>
      <c r="CP49" s="64"/>
      <c r="CQ49" s="27"/>
      <c r="CR49" s="111">
        <f>IF(CR48="","",CO49*1000+CP49*10+CQ49)</f>
        <v>0</v>
      </c>
    </row>
    <row r="50" spans="1:96" x14ac:dyDescent="0.35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0.125</v>
      </c>
      <c r="E50" s="78" t="str">
        <f>AE65</f>
        <v>Jordan</v>
      </c>
      <c r="F50" s="19">
        <v>0</v>
      </c>
      <c r="G50" s="20">
        <v>2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46196.125</v>
      </c>
      <c r="S50" s="127" t="str">
        <f t="shared" si="19"/>
        <v>Jordan_lose</v>
      </c>
      <c r="T50" s="127" t="str">
        <f t="shared" si="20"/>
        <v>Algeria_win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1</v>
      </c>
      <c r="AB50" s="123">
        <f t="shared" si="23"/>
        <v>-1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12</v>
      </c>
      <c r="AJ50" s="123">
        <f>SUMIF($E$7:$E$78,$AE50,$G$7:$G$78) + SUMIF($H$7:$H$78,$AE50,$F$7:$F$78)</f>
        <v>2</v>
      </c>
      <c r="AL50" s="123">
        <f>AI50-AJ50</f>
        <v>10</v>
      </c>
      <c r="AM50" s="123">
        <f>AL50-AL54</f>
        <v>18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90000010.397699341</v>
      </c>
      <c r="AQ50" s="126">
        <f>VLOOKUP(AE50,db_fifarank,2,FALSE)</f>
        <v>1876.4</v>
      </c>
      <c r="AR50" s="125">
        <f>AP50/AP54</f>
        <v>0.9999999888888903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41">
        <v>79</v>
      </c>
      <c r="BL50" s="24" t="str">
        <f>AS8</f>
        <v>Mexico</v>
      </c>
      <c r="BM50" s="61">
        <v>3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3000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35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0.83333333333333337</v>
      </c>
      <c r="E51" s="78" t="str">
        <f>AE74</f>
        <v>England</v>
      </c>
      <c r="F51" s="19">
        <v>3</v>
      </c>
      <c r="G51" s="20">
        <v>1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12 - 2</v>
      </c>
      <c r="P51" s="32">
        <f>L51*3+M51</f>
        <v>9</v>
      </c>
      <c r="R51" s="123">
        <f>DATE(2026,6,23)+TIME(9,0,0)+gmt_delta</f>
        <v>46196.833333333336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0</v>
      </c>
      <c r="AH51" s="123">
        <f>COUNTIF($S$7:$T$78,"=" &amp; AE51 &amp; "_lose")</f>
        <v>3</v>
      </c>
      <c r="AI51" s="123">
        <f>SUMIF($E$7:$E$78,$AE51,$F$7:$F$78) + SUMIF($H$7:$H$78,$AE51,$G$7:$G$78)</f>
        <v>0</v>
      </c>
      <c r="AJ51" s="123">
        <f>SUMIF($E$7:$E$78,$AE51,$G$7:$G$78) + SUMIF($H$7:$H$78,$AE51,$F$7:$F$78)</f>
        <v>8</v>
      </c>
      <c r="AL51" s="123">
        <f>AI51-AJ51</f>
        <v>-8</v>
      </c>
      <c r="AM51" s="123">
        <f>AL51-AL54</f>
        <v>0</v>
      </c>
      <c r="AN51" s="123">
        <f>AF51*3+AG51</f>
        <v>0</v>
      </c>
      <c r="AO51" s="123">
        <f>AN51/AN54*10+BA51</f>
        <v>0</v>
      </c>
      <c r="AP51" s="123">
        <f>AO51*10000000+BI51*100+AM51/AM54*10+AI51/AI54*1++IF(AQ51=0,ROW(),AQ51)/2000000</f>
        <v>6.8306500000000006E-4</v>
      </c>
      <c r="AQ51" s="126">
        <f>VLOOKUP(AE51,db_fifarank,2,FALSE)</f>
        <v>1366.13</v>
      </c>
      <c r="AR51" s="125">
        <f>AP51/AP54</f>
        <v>7.5896101499545044E-12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0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0</v>
      </c>
      <c r="BA51" s="126">
        <f>AZ51/AZ54</f>
        <v>0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0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0</v>
      </c>
      <c r="BI51" s="126">
        <f>BH51/BH54</f>
        <v>0</v>
      </c>
      <c r="BK51" s="142"/>
      <c r="BL51" s="26" t="str">
        <f>IF(group_round_completed,VLOOKUP('3rd places'!D3,AK80:AS91,9,FALSE),"3rd Group C/E/F/H/I")</f>
        <v>Scotland</v>
      </c>
      <c r="BM51" s="62">
        <v>1</v>
      </c>
      <c r="BN51" s="64"/>
      <c r="BO51" s="27"/>
      <c r="BP51" s="113">
        <f>IF(BP50="","",BM51*1000+BN51*10+BO51)</f>
        <v>1000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00:00</v>
      </c>
      <c r="BS51" s="21"/>
      <c r="BT51" s="21"/>
      <c r="BU51" s="21"/>
      <c r="BV51" s="28"/>
      <c r="BW51" s="114">
        <f>DATE(2026,7,5)+TIME(13,0,0)+gmt_delta</f>
        <v>46209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35">
      <c r="A52" s="16">
        <v>46</v>
      </c>
      <c r="B52" s="17" t="str" cm="1">
        <f t="array" ref="B52">INDEX(T,18+INT(MOD(R52-1,7)),lang)</f>
        <v>Tue</v>
      </c>
      <c r="C52" s="18" t="str" cm="1">
        <f t="array" ref="C52">INDEX(T,24+MONTH(R52),lang) &amp; " " &amp; DAY(R52) &amp; ", " &amp; YEAR(R52)</f>
        <v>Jun 23, 2026</v>
      </c>
      <c r="D52" s="120">
        <f t="shared" si="7"/>
        <v>0.95833333333333337</v>
      </c>
      <c r="E52" s="78" t="str">
        <f>AE77</f>
        <v>Panama</v>
      </c>
      <c r="F52" s="19">
        <v>1</v>
      </c>
      <c r="G52" s="20">
        <v>3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0</v>
      </c>
      <c r="N52" s="23">
        <f>VLOOKUP(2,AD50:AN53,5,FALSE)</f>
        <v>1</v>
      </c>
      <c r="O52" s="23" t="str">
        <f>VLOOKUP(2,AD50:AN53,6,FALSE) &amp; " - " &amp; VLOOKUP(2,AD50:AN53,7,FALSE)</f>
        <v>7 - 3</v>
      </c>
      <c r="P52" s="34">
        <f>L52*3+M52</f>
        <v>6</v>
      </c>
      <c r="R52" s="123">
        <f>DATE(2026,6,23)+TIME(12,0,0)+gmt_delta</f>
        <v>46196.958333333336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1</v>
      </c>
      <c r="AG52" s="123">
        <f>COUNTIF($S$7:$T$78,"=" &amp; AE52 &amp; "_draw")</f>
        <v>0</v>
      </c>
      <c r="AH52" s="123">
        <f>COUNTIF($S$7:$T$78,"=" &amp; AE52 &amp; "_lose")</f>
        <v>2</v>
      </c>
      <c r="AI52" s="123">
        <f>SUMIF($E$7:$E$78,$AE52,$F$7:$F$78) + SUMIF($H$7:$H$78,$AE52,$G$7:$G$78)</f>
        <v>1</v>
      </c>
      <c r="AJ52" s="123">
        <f>SUMIF($E$7:$E$78,$AE52,$G$7:$G$78) + SUMIF($H$7:$H$78,$AE52,$F$7:$F$78)</f>
        <v>7</v>
      </c>
      <c r="AL52" s="123">
        <f>AI52-AJ52</f>
        <v>-6</v>
      </c>
      <c r="AM52" s="123">
        <f>AL52-AL54</f>
        <v>2</v>
      </c>
      <c r="AN52" s="123">
        <f>AF52*3+AG52</f>
        <v>3</v>
      </c>
      <c r="AO52" s="123">
        <f>AN52/AN54*10+BA52</f>
        <v>3</v>
      </c>
      <c r="AP52" s="123">
        <f>AO52*10000000+BI52*100+AM52/AM54*10+AI52/AI54*1++IF(AQ52=0,ROW(),AQ52)/2000000</f>
        <v>30000001.13026537</v>
      </c>
      <c r="AQ52" s="126">
        <f>VLOOKUP(AE52,db_fifarank,2,FALSE)</f>
        <v>1421.43</v>
      </c>
      <c r="AR52" s="125">
        <f>AP52/AP54</f>
        <v>0.33333330367813996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0</v>
      </c>
      <c r="AV52" s="126" cm="1">
        <f t="array" ref="AV52">SUMPRODUCT(($E$7:$E$78=AE52)*($U$7:$U$78)*($F$7:$F$78))+SUMPRODUCT(($H$7:$H$78=AE52)*($U$7:$U$78)*($G$7:$G$78))</f>
        <v>0</v>
      </c>
      <c r="AW52" s="126" cm="1">
        <f t="array" ref="AW52">SUMPRODUCT(($E$7:$E$78=AE52)*($U$7:$U$78)*($G$7:$G$78))+SUMPRODUCT(($H$7:$H$78=AE52)*($U$7:$U$78)*($F$7:$F$78))</f>
        <v>0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0</v>
      </c>
      <c r="BA52" s="126">
        <f>AZ52/AZ54</f>
        <v>0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0</v>
      </c>
      <c r="BD52" s="126" cm="1">
        <f t="array" ref="BD52">SUMPRODUCT(($E$7:$E$78=AE52)*($X$7:$X$78)*($F$7:$F$78))+SUMPRODUCT(($H$7:$H$78=AE52)*($X$7:$X$78)*($G$7:$G$78))</f>
        <v>0</v>
      </c>
      <c r="BE52" s="126" cm="1">
        <f t="array" ref="BE52">SUMPRODUCT(($E$7:$E$78=AE52)*($X$7:$X$78)*($G$7:$G$78))+SUMPRODUCT(($H$7:$H$78=AE52)*($X$7:$X$78)*($F$7:$F$78))</f>
        <v>0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0</v>
      </c>
      <c r="BI52" s="126">
        <f>BH52/BH54</f>
        <v>0</v>
      </c>
      <c r="BK52" s="21"/>
      <c r="BL52" s="21"/>
      <c r="BM52" s="21"/>
      <c r="BN52" s="21"/>
      <c r="BO52" s="21"/>
      <c r="BP52" s="114"/>
      <c r="BQ52" s="112"/>
      <c r="BR52" s="141">
        <v>92</v>
      </c>
      <c r="BS52" s="24" t="str">
        <f>IF(BP50&gt;BP51,BL50,IF(BP50&lt;BP51,BL51,""))</f>
        <v>Mexico</v>
      </c>
      <c r="BT52" s="61">
        <v>2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2000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35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0.70833333333333337</v>
      </c>
      <c r="E53" s="78" t="str">
        <f>AE68</f>
        <v>Portugal</v>
      </c>
      <c r="F53" s="19">
        <v>3</v>
      </c>
      <c r="G53" s="20">
        <v>0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1</v>
      </c>
      <c r="M53" s="23">
        <f>VLOOKUP(3,AD50:AN53,4,FALSE)</f>
        <v>0</v>
      </c>
      <c r="N53" s="23">
        <f>VLOOKUP(3,AD50:AN53,5,FALSE)</f>
        <v>2</v>
      </c>
      <c r="O53" s="23" t="str">
        <f>VLOOKUP(3,AD50:AN53,6,FALSE) &amp; " - " &amp; VLOOKUP(3,AD50:AN53,7,FALSE)</f>
        <v>1 - 7</v>
      </c>
      <c r="P53" s="34">
        <f>L53*3+M53</f>
        <v>3</v>
      </c>
      <c r="R53" s="123">
        <f>DATE(2026,6,23)+TIME(6,0,0)+gmt_delta</f>
        <v>46196.708333333336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0</v>
      </c>
      <c r="AH53" s="123">
        <f>COUNTIF($S$7:$T$78,"=" &amp; AE53 &amp; "_lose")</f>
        <v>1</v>
      </c>
      <c r="AI53" s="123">
        <f>SUMIF($E$7:$E$78,$AE53,$F$7:$F$78) + SUMIF($H$7:$H$78,$AE53,$G$7:$G$78)</f>
        <v>7</v>
      </c>
      <c r="AJ53" s="123">
        <f>SUMIF($E$7:$E$78,$AE53,$G$7:$G$78) + SUMIF($H$7:$H$78,$AE53,$F$7:$F$78)</f>
        <v>3</v>
      </c>
      <c r="AL53" s="123">
        <f>AI53-AJ53</f>
        <v>4</v>
      </c>
      <c r="AM53" s="123">
        <f>AL53-AL54</f>
        <v>12</v>
      </c>
      <c r="AN53" s="123">
        <f>AF53*3+AG53</f>
        <v>6</v>
      </c>
      <c r="AO53" s="123">
        <f>AN53/AN54*10+BA53</f>
        <v>6</v>
      </c>
      <c r="AP53" s="123">
        <f>AO53*10000000+BI53*100+AM53/AM54*10+AI53/AI54*1++IF(AQ53=0,ROW(),AQ53)/2000000</f>
        <v>60000006.855087548</v>
      </c>
      <c r="AQ53" s="126">
        <f>VLOOKUP(AE53,db_fifarank,2,FALSE)</f>
        <v>1673.07</v>
      </c>
      <c r="AR53" s="125">
        <f>AP53/AP54</f>
        <v>0.66666665840690464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16:00</v>
      </c>
      <c r="BL53" s="21"/>
      <c r="BM53" s="21"/>
      <c r="BN53" s="21"/>
      <c r="BO53" s="28"/>
      <c r="BP53" s="114">
        <f>DATE(2026,7,1)+TIME(5,0,0)+gmt_delta</f>
        <v>46204.666666666672</v>
      </c>
      <c r="BQ53" s="115"/>
      <c r="BR53" s="142"/>
      <c r="BS53" s="26" t="str">
        <f>IF(BP54&gt;BP55,BL54,IF(BP54&lt;BP55,BL55,""))</f>
        <v>Senegal</v>
      </c>
      <c r="BT53" s="62">
        <v>0</v>
      </c>
      <c r="BU53" s="64"/>
      <c r="BV53" s="27"/>
      <c r="BW53" s="112">
        <f>IF(BW52="","",BT53*1000+BU53*10+BV53)</f>
        <v>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35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8.3333333333333329E-2</v>
      </c>
      <c r="E54" s="78" t="str">
        <f>AE71</f>
        <v>Colombia</v>
      </c>
      <c r="F54" s="19">
        <v>3</v>
      </c>
      <c r="G54" s="20">
        <v>0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0</v>
      </c>
      <c r="N54" s="36">
        <f>VLOOKUP(4,AD50:AN53,5,FALSE)</f>
        <v>3</v>
      </c>
      <c r="O54" s="36" t="str">
        <f>VLOOKUP(4,AD50:AN53,6,FALSE) &amp; " - " &amp; VLOOKUP(4,AD50:AN53,7,FALSE)</f>
        <v>0 - 8</v>
      </c>
      <c r="P54" s="37">
        <f>L54*3+M54</f>
        <v>0</v>
      </c>
      <c r="R54" s="123">
        <f>DATE(2026,6,23)+TIME(15,0,0)+gmt_delta</f>
        <v>46197.083333333336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4</v>
      </c>
      <c r="AG54" s="123">
        <f t="shared" si="25"/>
        <v>1</v>
      </c>
      <c r="AH54" s="123">
        <f t="shared" si="25"/>
        <v>4</v>
      </c>
      <c r="AI54" s="123">
        <f>MAX(AI50:AI53)+1</f>
        <v>13</v>
      </c>
      <c r="AL54" s="123">
        <f>MIN(AL50:AL53)</f>
        <v>-8</v>
      </c>
      <c r="AM54" s="123">
        <f>MAX(AM50:AM53)+1</f>
        <v>19</v>
      </c>
      <c r="AN54" s="123">
        <f>MAX(AN50:AN53)+1</f>
        <v>10</v>
      </c>
      <c r="AO54" s="123">
        <f>MAX(AO50:AO53)+1</f>
        <v>10</v>
      </c>
      <c r="AP54" s="123">
        <f>MAX(AP50:AP53)+1</f>
        <v>90000011.397699341</v>
      </c>
      <c r="AT54" s="126">
        <f>MAX(AT50:AT53)-MIN(AT50:AT53)+1</f>
        <v>1</v>
      </c>
      <c r="AU54" s="126">
        <f>MAX(AU50:AU53)-MIN(AU50:AU53)+1</f>
        <v>1</v>
      </c>
      <c r="AV54" s="126">
        <f>MAX(AV50:AV53)-MIN(AV50:AV53)+1</f>
        <v>1</v>
      </c>
      <c r="AW54" s="126">
        <f>MAX(AW50:AW53)-MIN(AW50:AW53)+1</f>
        <v>1</v>
      </c>
      <c r="AY54" s="126">
        <f>MAX(AY50:AY53)-MIN(AY50:AY53)+1</f>
        <v>1</v>
      </c>
      <c r="AZ54" s="126">
        <f>MAX(AZ50:AZ53)+1</f>
        <v>1</v>
      </c>
      <c r="BB54" s="126">
        <f>MAX(BB50:BB53)-MIN(BB50:BB53)+1</f>
        <v>1</v>
      </c>
      <c r="BC54" s="126">
        <f>MAX(BC50:BC53)-MIN(BC50:BC53)+1</f>
        <v>1</v>
      </c>
      <c r="BD54" s="126">
        <f>MAX(BD50:BD53)-MIN(BD50:BD53)+1</f>
        <v>1</v>
      </c>
      <c r="BE54" s="126">
        <f>MAX(BE50:BE53)-MIN(BE50:BE53)+1</f>
        <v>1</v>
      </c>
      <c r="BG54" s="126">
        <f>MAX(BG50:BG53)-MIN(BG50:BG53)+1</f>
        <v>1</v>
      </c>
      <c r="BH54" s="126">
        <f>MAX(BH50:BH53)+1</f>
        <v>1</v>
      </c>
      <c r="BK54" s="141">
        <v>80</v>
      </c>
      <c r="BL54" s="24" t="str">
        <f>AS74</f>
        <v>Croatia</v>
      </c>
      <c r="BM54" s="61">
        <v>0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19:00</v>
      </c>
      <c r="CG54" s="21"/>
      <c r="CH54" s="21"/>
      <c r="CI54" s="21"/>
      <c r="CJ54" s="28"/>
      <c r="CK54" s="114">
        <f>DATE(2026,7,15)+TIME(8,0,0)+gmt_delta</f>
        <v>46218.791666666672</v>
      </c>
      <c r="CL54" s="112"/>
    </row>
    <row r="55" spans="1:96" x14ac:dyDescent="0.35">
      <c r="A55" s="16">
        <v>49</v>
      </c>
      <c r="B55" s="17" t="str" cm="1">
        <f t="array" ref="B55">INDEX(T,18+INT(MOD(R55-1,7)),lang)</f>
        <v>Wed</v>
      </c>
      <c r="C55" s="18" t="str" cm="1">
        <f t="array" ref="C55">INDEX(T,24+MONTH(R55),lang) &amp; " " &amp; DAY(R55) &amp; ", " &amp; YEAR(R55)</f>
        <v>Jun 24, 2026</v>
      </c>
      <c r="D55" s="120">
        <f t="shared" si="7"/>
        <v>0.91666666666666663</v>
      </c>
      <c r="E55" s="78" t="str">
        <f>AE23</f>
        <v>Scotland</v>
      </c>
      <c r="F55" s="19">
        <v>1</v>
      </c>
      <c r="G55" s="20">
        <v>3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46197.916666666672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42"/>
      <c r="BL55" s="26" t="str">
        <f>IF(group_round_completed,VLOOKUP('3rd places'!K3,AK80:AS91,9,FALSE),"3rd Group E/H/I/J/K")</f>
        <v>Senegal</v>
      </c>
      <c r="BM55" s="62">
        <v>1</v>
      </c>
      <c r="BN55" s="64"/>
      <c r="BO55" s="27"/>
      <c r="BP55" s="112">
        <f>IF(BP54="","",BM55*1000+BN55*10+BO55)</f>
        <v>1000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41">
        <v>102</v>
      </c>
      <c r="CG55" s="24" t="str">
        <f>IF(CD48&gt;CD49,BZ48,IF(CD48&lt;CD49,BZ49,""))</f>
        <v>France</v>
      </c>
      <c r="CH55" s="61">
        <v>2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2000</v>
      </c>
      <c r="CL55" s="112"/>
    </row>
    <row r="56" spans="1:96" x14ac:dyDescent="0.35">
      <c r="A56" s="16">
        <v>50</v>
      </c>
      <c r="B56" s="17" t="str" cm="1">
        <f t="array" ref="B56">INDEX(T,18+INT(MOD(R56-1,7)),lang)</f>
        <v>Wed</v>
      </c>
      <c r="C56" s="18" t="str" cm="1">
        <f t="array" ref="C56">INDEX(T,24+MONTH(R56),lang) &amp; " " &amp; DAY(R56) &amp; ", " &amp; YEAR(R56)</f>
        <v>Jun 24, 2026</v>
      </c>
      <c r="D56" s="120">
        <f t="shared" si="7"/>
        <v>0.91666666666666663</v>
      </c>
      <c r="E56" s="78" t="str">
        <f>AE21</f>
        <v>Morocco</v>
      </c>
      <c r="F56" s="19">
        <v>3</v>
      </c>
      <c r="G56" s="20">
        <v>1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46197.916666666672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2</v>
      </c>
      <c r="AE56" s="124" t="str">
        <f>VLOOKUP("France",T,lang,FALSE)</f>
        <v>France</v>
      </c>
      <c r="AF56" s="123">
        <f>COUNTIF($S$7:$T$78,"=" &amp; AE56 &amp; "_win")</f>
        <v>2</v>
      </c>
      <c r="AG56" s="123">
        <f>COUNTIF($S$7:$T$78,"=" &amp; AE56 &amp; "_draw")</f>
        <v>0</v>
      </c>
      <c r="AH56" s="123">
        <f>COUNTIF($S$7:$T$78,"=" &amp; AE56 &amp; "_lose")</f>
        <v>1</v>
      </c>
      <c r="AI56" s="123">
        <f>SUMIF($E$7:$E$78,$AE56,$F$7:$F$78) + SUMIF($H$7:$H$78,$AE56,$G$7:$G$78)</f>
        <v>7</v>
      </c>
      <c r="AJ56" s="123">
        <f>SUMIF($E$7:$E$78,$AE56,$G$7:$G$78) + SUMIF($H$7:$H$78,$AE56,$F$7:$F$78)</f>
        <v>2</v>
      </c>
      <c r="AL56" s="123">
        <f>AI56-AJ56</f>
        <v>5</v>
      </c>
      <c r="AM56" s="123">
        <f>AL56-AL60</f>
        <v>18</v>
      </c>
      <c r="AN56" s="123">
        <f>AF56*3+AG56</f>
        <v>6</v>
      </c>
      <c r="AO56" s="123">
        <f>AN56/AN60*10+BA56</f>
        <v>6</v>
      </c>
      <c r="AP56" s="123">
        <f>AO56*10000000+BI56*100+AM56/AM60*10+AI56/AI60*1++IF(AQ56=0,ROW(),AQ56)/2000000</f>
        <v>60000007.39068225</v>
      </c>
      <c r="AQ56" s="126">
        <f>VLOOKUP(AE56,db_fifarank,2,FALSE)</f>
        <v>1877.32</v>
      </c>
      <c r="AR56" s="125">
        <f>AP56/AP60</f>
        <v>0.66666666323355572</v>
      </c>
      <c r="AS56" s="125" t="str">
        <f>IF(SUM(AF56:AH59)=12,J57,"1I")</f>
        <v>Norway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42"/>
      <c r="CG56" s="26" t="str">
        <f>IF(CD64&gt;CD65,BZ64,IF(CD64&lt;CD65,BZ65,""))</f>
        <v>Argentina</v>
      </c>
      <c r="CH56" s="62">
        <v>0</v>
      </c>
      <c r="CI56" s="64"/>
      <c r="CJ56" s="27"/>
      <c r="CK56" s="112">
        <f>IF(CK55="","",CH56*1000+CI56*10+CJ56)</f>
        <v>0</v>
      </c>
      <c r="CL56" s="112"/>
    </row>
    <row r="57" spans="1:96" x14ac:dyDescent="0.35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0.79166666666666663</v>
      </c>
      <c r="E57" s="78" t="str">
        <f>AE17</f>
        <v>Switzerland</v>
      </c>
      <c r="F57" s="19">
        <v>3</v>
      </c>
      <c r="G57" s="20">
        <v>1</v>
      </c>
      <c r="H57" s="80" t="str">
        <f>AE14</f>
        <v>Canada</v>
      </c>
      <c r="I57" s="69"/>
      <c r="J57" s="30" t="str">
        <f>VLOOKUP(1,AD56:AN59,2,FALSE)</f>
        <v>Norway</v>
      </c>
      <c r="K57" s="31">
        <f>L57+M57+N57</f>
        <v>3</v>
      </c>
      <c r="L57" s="31">
        <f>VLOOKUP(1,AD56:AN59,3,FALSE)</f>
        <v>3</v>
      </c>
      <c r="M57" s="31">
        <f>VLOOKUP(1,AD56:AN59,4,FALSE)</f>
        <v>0</v>
      </c>
      <c r="N57" s="31">
        <f>VLOOKUP(1,AD56:AN59,5,FALSE)</f>
        <v>0</v>
      </c>
      <c r="O57" s="31" t="str">
        <f>VLOOKUP(1,AD56:AN59,6,FALSE) &amp; " - " &amp; VLOOKUP(1,AD56:AN59,7,FALSE)</f>
        <v>14 - 2</v>
      </c>
      <c r="P57" s="32">
        <f>L57*3+M57</f>
        <v>9</v>
      </c>
      <c r="R57" s="123">
        <f>DATE(2026,6,24)+TIME(8,0,0)+gmt_delta</f>
        <v>46197.791666666672</v>
      </c>
      <c r="S57" s="127" t="str">
        <f t="shared" si="19"/>
        <v>Switzerland_win</v>
      </c>
      <c r="T57" s="127" t="str">
        <f t="shared" si="20"/>
        <v>Canada_lose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1</v>
      </c>
      <c r="AD57" s="123">
        <f>COUNTIF(AR56:AR59,CONCATENATE("&gt;=",AR57))</f>
        <v>3</v>
      </c>
      <c r="AE57" s="124" t="str">
        <f>VLOOKUP("Senegal",T,lang,FALSE)</f>
        <v>Senegal</v>
      </c>
      <c r="AF57" s="123">
        <f>COUNTIF($S$7:$T$78,"=" &amp; AE57 &amp; "_win")</f>
        <v>1</v>
      </c>
      <c r="AG57" s="123">
        <f>COUNTIF($S$7:$T$78,"=" &amp; AE57 &amp; "_draw")</f>
        <v>0</v>
      </c>
      <c r="AH57" s="123">
        <f>COUNTIF($S$7:$T$78,"=" &amp; AE57 &amp; "_lose")</f>
        <v>2</v>
      </c>
      <c r="AI57" s="123">
        <f>SUMIF($E$7:$E$78,$AE57,$F$7:$F$78) + SUMIF($H$7:$H$78,$AE57,$G$7:$G$78)</f>
        <v>3</v>
      </c>
      <c r="AJ57" s="123">
        <f>SUMIF($E$7:$E$78,$AE57,$G$7:$G$78) + SUMIF($H$7:$H$78,$AE57,$F$7:$F$78)</f>
        <v>7</v>
      </c>
      <c r="AL57" s="123">
        <f>AI57-AJ57</f>
        <v>-4</v>
      </c>
      <c r="AM57" s="123">
        <f>AL57-AL60</f>
        <v>9</v>
      </c>
      <c r="AN57" s="123">
        <f>AF57*3+AG57</f>
        <v>3</v>
      </c>
      <c r="AO57" s="123">
        <f>AN57/AN60*10+BA57</f>
        <v>3</v>
      </c>
      <c r="AP57" s="123">
        <f>AO57*10000000+BI57*100+AM57/AM60*10+AI57/AI60*1++IF(AQ57=0,ROW(),AQ57)/2000000</f>
        <v>30000003.662382953</v>
      </c>
      <c r="AQ57" s="126">
        <f>VLOOKUP(AE57,db_fifarank,2,FALSE)</f>
        <v>1688.99</v>
      </c>
      <c r="AR57" s="125">
        <f>AP57/AP60</f>
        <v>0.33333333125057596</v>
      </c>
      <c r="AS57" s="125" t="str">
        <f>IF(SUM(AF56:AH59)=12,J58,"2I")</f>
        <v>France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0</v>
      </c>
      <c r="AV57" s="126" cm="1">
        <f t="array" ref="AV57">SUMPRODUCT(($E$7:$E$78=AE57)*($U$7:$U$78)*($F$7:$F$78))+SUMPRODUCT(($H$7:$H$78=AE57)*($U$7:$U$78)*($G$7:$G$78))</f>
        <v>0</v>
      </c>
      <c r="AW57" s="126" cm="1">
        <f t="array" ref="AW57">SUMPRODUCT(($E$7:$E$78=AE57)*($U$7:$U$78)*($G$7:$G$78))+SUMPRODUCT(($H$7:$H$78=AE57)*($U$7:$U$78)*($F$7:$F$78))</f>
        <v>0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0</v>
      </c>
      <c r="BA57" s="126">
        <f>AZ57/AZ60</f>
        <v>0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0</v>
      </c>
      <c r="BD57" s="126" cm="1">
        <f t="array" ref="BD57">SUMPRODUCT(($E$7:$E$78=AE57)*($X$7:$X$78)*($F$7:$F$78))+SUMPRODUCT(($H$7:$H$78=AE57)*($X$7:$X$78)*($G$7:$G$78))</f>
        <v>0</v>
      </c>
      <c r="BE57" s="126" cm="1">
        <f t="array" ref="BE57">SUMPRODUCT(($E$7:$E$78=AE57)*($X$7:$X$78)*($G$7:$G$78))+SUMPRODUCT(($H$7:$H$78=AE57)*($X$7:$X$78)*($F$7:$F$78))</f>
        <v>0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0</v>
      </c>
      <c r="BI57" s="126">
        <f>BH57/BH60</f>
        <v>0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3, 2026   22:00</v>
      </c>
      <c r="BL57" s="21"/>
      <c r="BM57" s="21"/>
      <c r="BN57" s="21"/>
      <c r="BO57" s="29"/>
      <c r="BP57" s="112">
        <f>DATE(2026,7,3)+TIME(11,0,0)+gmt_delta</f>
        <v>46206.916666666672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35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0.79166666666666663</v>
      </c>
      <c r="E58" s="78" t="str">
        <f>AE15</f>
        <v>Bosnia and Herzegovina</v>
      </c>
      <c r="F58" s="19">
        <v>3</v>
      </c>
      <c r="G58" s="20">
        <v>1</v>
      </c>
      <c r="H58" s="80" t="str">
        <f>AE16</f>
        <v>Qatar</v>
      </c>
      <c r="I58" s="69"/>
      <c r="J58" s="33" t="str">
        <f>VLOOKUP(2,AD56:AN59,2,FALSE)</f>
        <v>France</v>
      </c>
      <c r="K58" s="23">
        <f>L58+M58+N58</f>
        <v>3</v>
      </c>
      <c r="L58" s="23">
        <f>VLOOKUP(2,AD56:AN59,3,FALSE)</f>
        <v>2</v>
      </c>
      <c r="M58" s="23">
        <f>VLOOKUP(2,AD56:AN59,4,FALSE)</f>
        <v>0</v>
      </c>
      <c r="N58" s="23">
        <f>VLOOKUP(2,AD56:AN59,5,FALSE)</f>
        <v>1</v>
      </c>
      <c r="O58" s="23" t="str">
        <f>VLOOKUP(2,AD56:AN59,6,FALSE) &amp; " - " &amp; VLOOKUP(2,AD56:AN59,7,FALSE)</f>
        <v>7 - 2</v>
      </c>
      <c r="P58" s="34">
        <f>L58*3+M58</f>
        <v>6</v>
      </c>
      <c r="R58" s="123">
        <f>DATE(2026,6,24)+TIME(8,0,0)+gmt_delta</f>
        <v>46197.791666666672</v>
      </c>
      <c r="S58" s="127" t="str">
        <f t="shared" si="19"/>
        <v>Bosnia and Herzegovina_win</v>
      </c>
      <c r="T58" s="127" t="str">
        <f t="shared" si="20"/>
        <v>Qatar_lose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1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0</v>
      </c>
      <c r="AJ58" s="123">
        <f>SUMIF($E$7:$E$78,$AE58,$G$7:$G$78) + SUMIF($H$7:$H$78,$AE58,$F$7:$F$78)</f>
        <v>13</v>
      </c>
      <c r="AL58" s="123">
        <f>AI58-AJ58</f>
        <v>-13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7.2357000000000009E-4</v>
      </c>
      <c r="AQ58" s="126">
        <f>VLOOKUP(AE58,db_fifarank,2,FALSE)</f>
        <v>1447.14</v>
      </c>
      <c r="AR58" s="125">
        <f>AP58/AP60</f>
        <v>8.03966563495483E-12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41">
        <v>86</v>
      </c>
      <c r="BL58" s="24" t="str">
        <f>AS62</f>
        <v>Argentina</v>
      </c>
      <c r="BM58" s="61">
        <v>4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4000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35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4.1666666666666664E-2</v>
      </c>
      <c r="E59" s="78" t="str">
        <f>AE11</f>
        <v>Czech Republic</v>
      </c>
      <c r="F59" s="19">
        <v>2</v>
      </c>
      <c r="G59" s="20">
        <v>3</v>
      </c>
      <c r="H59" s="80" t="str">
        <f>AE8</f>
        <v>Mexico</v>
      </c>
      <c r="I59" s="69"/>
      <c r="J59" s="33" t="str">
        <f>VLOOKUP(3,AD56:AN59,2,FALSE)</f>
        <v>Senegal</v>
      </c>
      <c r="K59" s="23">
        <f>L59+M59+N59</f>
        <v>3</v>
      </c>
      <c r="L59" s="23">
        <f>VLOOKUP(3,AD56:AN59,3,FALSE)</f>
        <v>1</v>
      </c>
      <c r="M59" s="23">
        <f>VLOOKUP(3,AD56:AN59,4,FALSE)</f>
        <v>0</v>
      </c>
      <c r="N59" s="23">
        <f>VLOOKUP(3,AD56:AN59,5,FALSE)</f>
        <v>2</v>
      </c>
      <c r="O59" s="23" t="str">
        <f>VLOOKUP(3,AD56:AN59,6,FALSE) &amp; " - " &amp; VLOOKUP(3,AD56:AN59,7,FALSE)</f>
        <v>3 - 7</v>
      </c>
      <c r="P59" s="34">
        <f>L59*3+M59</f>
        <v>3</v>
      </c>
      <c r="R59" s="123">
        <f>DATE(2026,6,24)+TIME(14,0,0)+gmt_delta</f>
        <v>46198.041666666672</v>
      </c>
      <c r="S59" s="127" t="str">
        <f t="shared" si="19"/>
        <v>Czech Republic_lose</v>
      </c>
      <c r="T59" s="127" t="str">
        <f t="shared" si="20"/>
        <v>Mexico_win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-1</v>
      </c>
      <c r="AD59" s="123">
        <f>COUNTIF(AR56:AR59,CONCATENATE("&gt;=",AR59))</f>
        <v>1</v>
      </c>
      <c r="AE59" s="124" t="str">
        <f>VLOOKUP("Norway",T,lang,FALSE)</f>
        <v>Norway</v>
      </c>
      <c r="AF59" s="123">
        <f>COUNTIF($S$7:$T$78,"=" &amp; AE59 &amp; "_win")</f>
        <v>3</v>
      </c>
      <c r="AG59" s="123">
        <f>COUNTIF($S$7:$T$78,"=" &amp; AE59 &amp; "_draw")</f>
        <v>0</v>
      </c>
      <c r="AH59" s="123">
        <f>COUNTIF($S$7:$T$78,"=" &amp; AE59 &amp; "_lose")</f>
        <v>0</v>
      </c>
      <c r="AI59" s="123">
        <f>SUMIF($E$7:$E$78,$AE59,$F$7:$F$78) + SUMIF($H$7:$H$78,$AE59,$G$7:$G$78)</f>
        <v>14</v>
      </c>
      <c r="AJ59" s="123">
        <f>SUMIF($E$7:$E$78,$AE59,$G$7:$G$78) + SUMIF($H$7:$H$78,$AE59,$F$7:$F$78)</f>
        <v>2</v>
      </c>
      <c r="AL59" s="123">
        <f>AI59-AJ59</f>
        <v>12</v>
      </c>
      <c r="AM59" s="123">
        <f>AL59-AL60</f>
        <v>25</v>
      </c>
      <c r="AN59" s="123">
        <f>AF59*3+AG59</f>
        <v>9</v>
      </c>
      <c r="AO59" s="123">
        <f>AN59/AN60*10+BA59</f>
        <v>9</v>
      </c>
      <c r="AP59" s="123">
        <f>AO59*10000000+BI59*100+AM59/AM60*10+AI59/AI60*1++IF(AQ59=0,ROW(),AQ59)/2000000</f>
        <v>90000010.549493417</v>
      </c>
      <c r="AQ59" s="126">
        <f>VLOOKUP(AE59,db_fifarank,2,FALSE)</f>
        <v>1550.94</v>
      </c>
      <c r="AR59" s="125">
        <f>AP59/AP60</f>
        <v>0.9999999888888903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0</v>
      </c>
      <c r="AV59" s="126" cm="1">
        <f t="array" ref="AV59">SUMPRODUCT(($E$7:$E$78=AE59)*($U$7:$U$78)*($F$7:$F$78))+SUMPRODUCT(($H$7:$H$78=AE59)*($U$7:$U$78)*($G$7:$G$78))</f>
        <v>0</v>
      </c>
      <c r="AW59" s="126" cm="1">
        <f t="array" ref="AW59">SUMPRODUCT(($E$7:$E$78=AE59)*($U$7:$U$78)*($G$7:$G$78))+SUMPRODUCT(($H$7:$H$78=AE59)*($U$7:$U$78)*($F$7:$F$78))</f>
        <v>0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0</v>
      </c>
      <c r="BA59" s="126">
        <f>AZ59/AZ60</f>
        <v>0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0</v>
      </c>
      <c r="BD59" s="126" cm="1">
        <f t="array" ref="BD59">SUMPRODUCT(($E$7:$E$78=AE59)*($X$7:$X$78)*($F$7:$F$78))+SUMPRODUCT(($H$7:$H$78=AE59)*($X$7:$X$78)*($G$7:$G$78))</f>
        <v>0</v>
      </c>
      <c r="BE59" s="126" cm="1">
        <f t="array" ref="BE59">SUMPRODUCT(($E$7:$E$78=AE59)*($X$7:$X$78)*($G$7:$G$78))+SUMPRODUCT(($H$7:$H$78=AE59)*($X$7:$X$78)*($F$7:$F$78))</f>
        <v>0</v>
      </c>
      <c r="BF59" s="126">
        <f>BD59-BE59</f>
        <v>0</v>
      </c>
      <c r="BG59" s="126">
        <f>BF59-MIN(BF56:BF59)</f>
        <v>0</v>
      </c>
      <c r="BH59" s="126">
        <f t="shared" si="26"/>
        <v>0</v>
      </c>
      <c r="BI59" s="126">
        <f>BH59/BH60</f>
        <v>0</v>
      </c>
      <c r="BK59" s="142"/>
      <c r="BL59" s="26" t="str">
        <f>AS51</f>
        <v>Uruguay</v>
      </c>
      <c r="BM59" s="62">
        <v>2</v>
      </c>
      <c r="BN59" s="64"/>
      <c r="BO59" s="27"/>
      <c r="BP59" s="113">
        <f>IF(BP58="","",BM59*1000+BN59*10+BO59)</f>
        <v>2000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16:00</v>
      </c>
      <c r="BS59" s="21"/>
      <c r="BT59" s="21"/>
      <c r="BU59" s="21"/>
      <c r="BV59" s="28"/>
      <c r="BW59" s="112">
        <f>DATE(2026,7,7)+TIME(5,0,0)+gmt_delta</f>
        <v>46210.666666666672</v>
      </c>
      <c r="BX59" s="112"/>
      <c r="BY59" s="21"/>
      <c r="BZ59" s="21"/>
      <c r="CA59" s="21"/>
      <c r="CB59" s="21"/>
      <c r="CC59" s="21"/>
      <c r="CD59" s="114"/>
    </row>
    <row r="60" spans="1:96" x14ac:dyDescent="0.35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4.1666666666666664E-2</v>
      </c>
      <c r="E60" s="78" t="str">
        <f>AE9</f>
        <v>South Africa</v>
      </c>
      <c r="F60" s="19">
        <v>0</v>
      </c>
      <c r="G60" s="20">
        <v>3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0 - 13</v>
      </c>
      <c r="P60" s="37">
        <f>L60*3+M60</f>
        <v>0</v>
      </c>
      <c r="R60" s="123">
        <f>DATE(2026,6,24)+TIME(14,0,0)+gmt_delta</f>
        <v>46198.041666666672</v>
      </c>
      <c r="S60" s="127" t="str">
        <f t="shared" si="19"/>
        <v>South Africa_lose</v>
      </c>
      <c r="T60" s="127" t="str">
        <f t="shared" si="20"/>
        <v>Korea Republic_win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-1</v>
      </c>
      <c r="AF60" s="123">
        <f t="shared" ref="AF60:AH60" si="27">MAX(AF56:AF59)-MIN(AF56:AF59)+1</f>
        <v>4</v>
      </c>
      <c r="AG60" s="123">
        <f t="shared" si="27"/>
        <v>1</v>
      </c>
      <c r="AH60" s="123">
        <f t="shared" si="27"/>
        <v>4</v>
      </c>
      <c r="AI60" s="123">
        <f>MAX(AI56:AI59)+1</f>
        <v>15</v>
      </c>
      <c r="AL60" s="123">
        <f>MIN(AL56:AL59)</f>
        <v>-13</v>
      </c>
      <c r="AM60" s="123">
        <f>MAX(AM56:AM59)+1</f>
        <v>26</v>
      </c>
      <c r="AN60" s="123">
        <f>MAX(AN56:AN59)+1</f>
        <v>10</v>
      </c>
      <c r="AO60" s="123">
        <f>MAX(AO56:AO59)+1</f>
        <v>10</v>
      </c>
      <c r="AP60" s="123">
        <f>MAX(AP56:AP59)+1</f>
        <v>90000011.549493417</v>
      </c>
      <c r="AT60" s="126">
        <f>MAX(AT56:AT59)-MIN(AT56:AT59)+1</f>
        <v>1</v>
      </c>
      <c r="AU60" s="126">
        <f>MAX(AU56:AU59)-MIN(AU56:AU59)+1</f>
        <v>1</v>
      </c>
      <c r="AV60" s="126">
        <f>MAX(AV56:AV59)-MIN(AV56:AV59)+1</f>
        <v>1</v>
      </c>
      <c r="AW60" s="126">
        <f>MAX(AW56:AW59)-MIN(AW56:AW59)+1</f>
        <v>1</v>
      </c>
      <c r="AY60" s="126">
        <f>MAX(AY56:AY59)-MIN(AY56:AY59)+1</f>
        <v>1</v>
      </c>
      <c r="AZ60" s="126">
        <f>MAX(AZ56:AZ59)+1</f>
        <v>1</v>
      </c>
      <c r="BB60" s="126">
        <f>MAX(BB56:BB59)-MIN(BB56:BB59)+1</f>
        <v>1</v>
      </c>
      <c r="BC60" s="126">
        <f>MAX(BC56:BC59)-MIN(BC56:BC59)+1</f>
        <v>1</v>
      </c>
      <c r="BD60" s="126">
        <f>MAX(BD56:BD59)-MIN(BD56:BD59)+1</f>
        <v>1</v>
      </c>
      <c r="BE60" s="126">
        <f>MAX(BE56:BE59)-MIN(BE56:BE59)+1</f>
        <v>1</v>
      </c>
      <c r="BG60" s="126">
        <f>MAX(BG56:BG59)-MIN(BG56:BG59)+1</f>
        <v>1</v>
      </c>
      <c r="BH60" s="126">
        <f>MAX(BH56:BH59)+1</f>
        <v>1</v>
      </c>
      <c r="BK60" s="21"/>
      <c r="BL60" s="21"/>
      <c r="BM60" s="21"/>
      <c r="BN60" s="21"/>
      <c r="BO60" s="21"/>
      <c r="BP60" s="114"/>
      <c r="BQ60" s="112"/>
      <c r="BR60" s="141">
        <v>95</v>
      </c>
      <c r="BS60" s="24" t="str">
        <f>IF(BP58&gt;BP59,BL58,IF(BP58&lt;BP59,BL59,""))</f>
        <v>Argentina</v>
      </c>
      <c r="BT60" s="61">
        <v>4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4000</v>
      </c>
      <c r="BX60" s="112"/>
      <c r="BY60" s="21"/>
      <c r="BZ60" s="21"/>
      <c r="CA60" s="21"/>
      <c r="CB60" s="21"/>
      <c r="CC60" s="21"/>
      <c r="CD60" s="114"/>
    </row>
    <row r="61" spans="1:96" x14ac:dyDescent="0.35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0.83333333333333337</v>
      </c>
      <c r="E61" s="78" t="str">
        <f>AE33</f>
        <v>Curaçao</v>
      </c>
      <c r="F61" s="19">
        <v>0</v>
      </c>
      <c r="G61" s="20">
        <v>3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46198.833333333336</v>
      </c>
      <c r="S61" s="127" t="str">
        <f t="shared" si="19"/>
        <v>Curaçao_lose</v>
      </c>
      <c r="T61" s="127" t="str">
        <f t="shared" si="20"/>
        <v>Ivory Coast_win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18:00</v>
      </c>
      <c r="BL61" s="21"/>
      <c r="BM61" s="21"/>
      <c r="BN61" s="21"/>
      <c r="BO61" s="28"/>
      <c r="BP61" s="114">
        <f>DATE(2026,7,3)+TIME(7,0,0)+gmt_delta</f>
        <v>46206.75</v>
      </c>
      <c r="BQ61" s="115"/>
      <c r="BR61" s="142"/>
      <c r="BS61" s="26" t="str">
        <f>IF(BP62&gt;BP63,BL62,IF(BP62&lt;BP63,BL63,""))</f>
        <v>Egypt</v>
      </c>
      <c r="BT61" s="62">
        <v>0</v>
      </c>
      <c r="BU61" s="64"/>
      <c r="BV61" s="27"/>
      <c r="BW61" s="113">
        <f>IF(BW60="","",BT61*1000+BU61*10+BV61)</f>
        <v>0</v>
      </c>
      <c r="BX61" s="112"/>
      <c r="BY61" s="21"/>
      <c r="BZ61" s="21"/>
      <c r="CA61" s="21"/>
      <c r="CB61" s="21"/>
      <c r="CC61" s="21"/>
      <c r="CD61" s="114"/>
    </row>
    <row r="62" spans="1:96" x14ac:dyDescent="0.35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0.83333333333333337</v>
      </c>
      <c r="E62" s="78" t="str">
        <f>AE35</f>
        <v>Ecuador</v>
      </c>
      <c r="F62" s="19">
        <v>1</v>
      </c>
      <c r="G62" s="20">
        <v>3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46198.833333333336</v>
      </c>
      <c r="S62" s="127" t="str">
        <f t="shared" si="19"/>
        <v>Ecuador_lose</v>
      </c>
      <c r="T62" s="127" t="str">
        <f t="shared" si="20"/>
        <v>Germany_win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9</v>
      </c>
      <c r="AJ62" s="123">
        <f>SUMIF($E$7:$E$78,$AE62,$G$7:$G$78) + SUMIF($H$7:$H$78,$AE62,$F$7:$F$78)</f>
        <v>1</v>
      </c>
      <c r="AL62" s="123">
        <f>AI62-AJ62</f>
        <v>8</v>
      </c>
      <c r="AM62" s="123">
        <f>AL62-AL66</f>
        <v>15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90000010.275937423</v>
      </c>
      <c r="AQ62" s="126">
        <f>VLOOKUP(AE62,db_fifarank,2,FALSE)</f>
        <v>1874.82</v>
      </c>
      <c r="AR62" s="125">
        <f>AP62/AP66</f>
        <v>0.9999999888888903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41">
        <v>88</v>
      </c>
      <c r="BL62" s="24" t="str">
        <f>AS27</f>
        <v>Paraguay</v>
      </c>
      <c r="BM62" s="61">
        <v>1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1000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35">
      <c r="A63" s="16">
        <v>57</v>
      </c>
      <c r="B63" s="17" t="str" cm="1">
        <f t="array" ref="B63">INDEX(T,18+INT(MOD(R63-1,7)),lang)</f>
        <v>Thu</v>
      </c>
      <c r="C63" s="18" t="str" cm="1">
        <f t="array" ref="C63">INDEX(T,24+MONTH(R63),lang) &amp; " " &amp; DAY(R63) &amp; ", " &amp; YEAR(R63)</f>
        <v>Jun 25, 2026</v>
      </c>
      <c r="D63" s="120">
        <f t="shared" si="7"/>
        <v>0.95833333333333337</v>
      </c>
      <c r="E63" s="78" t="str">
        <f>AE39</f>
        <v>Japan</v>
      </c>
      <c r="F63" s="19">
        <v>8</v>
      </c>
      <c r="G63" s="20">
        <v>0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9 - 1</v>
      </c>
      <c r="P63" s="32">
        <f>L63*3+M63</f>
        <v>9</v>
      </c>
      <c r="R63" s="123">
        <f>DATE(2026,6,25)+TIME(12,0,0)+gmt_delta</f>
        <v>46198.958333333336</v>
      </c>
      <c r="S63" s="127" t="str">
        <f t="shared" si="19"/>
        <v>Japan_win</v>
      </c>
      <c r="T63" s="127" t="str">
        <f t="shared" si="20"/>
        <v>Sweden_lose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1</v>
      </c>
      <c r="AD63" s="123">
        <f>COUNTIF(AR62:AR65,CONCATENATE("&gt;=",AR63))</f>
        <v>3</v>
      </c>
      <c r="AE63" s="124" t="str">
        <f>VLOOKUP("Algeria",T,lang,FALSE)</f>
        <v>Algeria</v>
      </c>
      <c r="AF63" s="123">
        <f>COUNTIF($S$7:$T$78,"=" &amp; AE63 &amp; "_win")</f>
        <v>1</v>
      </c>
      <c r="AG63" s="123">
        <f>COUNTIF($S$7:$T$78,"=" &amp; AE63 &amp; "_draw")</f>
        <v>0</v>
      </c>
      <c r="AH63" s="123">
        <f>COUNTIF($S$7:$T$78,"=" &amp; AE63 &amp; "_lose")</f>
        <v>2</v>
      </c>
      <c r="AI63" s="123">
        <f>SUMIF($E$7:$E$78,$AE63,$F$7:$F$78) + SUMIF($H$7:$H$78,$AE63,$G$7:$G$78)</f>
        <v>2</v>
      </c>
      <c r="AJ63" s="123">
        <f>SUMIF($E$7:$E$78,$AE63,$G$7:$G$78) + SUMIF($H$7:$H$78,$AE63,$F$7:$F$78)</f>
        <v>6</v>
      </c>
      <c r="AL63" s="123">
        <f>AI63-AJ63</f>
        <v>-4</v>
      </c>
      <c r="AM63" s="123">
        <f>AL63-AL66</f>
        <v>3</v>
      </c>
      <c r="AN63" s="123">
        <f>AF63*3+AG63</f>
        <v>3</v>
      </c>
      <c r="AO63" s="123">
        <f>AN63/AN66*10+BA63</f>
        <v>3</v>
      </c>
      <c r="AP63" s="123">
        <f>AO63*10000000+BI63*100+AM63/AM66*10+AI63/AI66*1++IF(AQ63=0,ROW(),AQ63)/2000000</f>
        <v>30000002.075782128</v>
      </c>
      <c r="AQ63" s="126">
        <f>VLOOKUP(AE63,db_fifarank,2,FALSE)</f>
        <v>1564.26</v>
      </c>
      <c r="AR63" s="125">
        <f>AP63/AP66</f>
        <v>0.33333331463485033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0</v>
      </c>
      <c r="AV63" s="126" cm="1">
        <f t="array" ref="AV63">SUMPRODUCT(($E$7:$E$78=AE63)*($U$7:$U$78)*($F$7:$F$78))+SUMPRODUCT(($H$7:$H$78=AE63)*($U$7:$U$78)*($G$7:$G$78))</f>
        <v>0</v>
      </c>
      <c r="AW63" s="126" cm="1">
        <f t="array" ref="AW63">SUMPRODUCT(($E$7:$E$78=AE63)*($U$7:$U$78)*($G$7:$G$78))+SUMPRODUCT(($H$7:$H$78=AE63)*($U$7:$U$78)*($F$7:$F$78))</f>
        <v>0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0</v>
      </c>
      <c r="BA63" s="126">
        <f>AZ63/AZ66</f>
        <v>0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0</v>
      </c>
      <c r="BD63" s="126" cm="1">
        <f t="array" ref="BD63">SUMPRODUCT(($E$7:$E$78=AE63)*($X$7:$X$78)*($F$7:$F$78))+SUMPRODUCT(($H$7:$H$78=AE63)*($X$7:$X$78)*($G$7:$G$78))</f>
        <v>0</v>
      </c>
      <c r="BE63" s="126" cm="1">
        <f t="array" ref="BE63">SUMPRODUCT(($E$7:$E$78=AE63)*($X$7:$X$78)*($G$7:$G$78))+SUMPRODUCT(($H$7:$H$78=AE63)*($X$7:$X$78)*($F$7:$F$78))</f>
        <v>0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0</v>
      </c>
      <c r="BI63" s="126">
        <f>BH63/BH66</f>
        <v>0</v>
      </c>
      <c r="BK63" s="142"/>
      <c r="BL63" s="26" t="str">
        <f>AS45</f>
        <v>Egypt</v>
      </c>
      <c r="BM63" s="62">
        <v>2</v>
      </c>
      <c r="BN63" s="64"/>
      <c r="BO63" s="27"/>
      <c r="BP63" s="112">
        <f>IF(BP62="","",BM63*1000+BN63*10+BO63)</f>
        <v>2000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01:00</v>
      </c>
      <c r="BZ63" s="21"/>
      <c r="CA63" s="21"/>
      <c r="CB63" s="21"/>
      <c r="CC63" s="28"/>
      <c r="CD63" s="114">
        <f>DATE(2026,7,11)+TIME(14,0,0)+gmt_delta</f>
        <v>46215.041666666672</v>
      </c>
    </row>
    <row r="64" spans="1:96" x14ac:dyDescent="0.35">
      <c r="A64" s="16">
        <v>58</v>
      </c>
      <c r="B64" s="17" t="str" cm="1">
        <f t="array" ref="B64">INDEX(T,18+INT(MOD(R64-1,7)),lang)</f>
        <v>Thu</v>
      </c>
      <c r="C64" s="18" t="str" cm="1">
        <f t="array" ref="C64">INDEX(T,24+MONTH(R64),lang) &amp; " " &amp; DAY(R64) &amp; ", " &amp; YEAR(R64)</f>
        <v>Jun 25, 2026</v>
      </c>
      <c r="D64" s="120">
        <f t="shared" si="7"/>
        <v>0.95833333333333337</v>
      </c>
      <c r="E64" s="78" t="str">
        <f>AE41</f>
        <v>Tunisia</v>
      </c>
      <c r="F64" s="19">
        <v>2</v>
      </c>
      <c r="G64" s="20">
        <v>2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2</v>
      </c>
      <c r="M64" s="23">
        <f>VLOOKUP(2,AD62:AN65,4,FALSE)</f>
        <v>0</v>
      </c>
      <c r="N64" s="23">
        <f>VLOOKUP(2,AD62:AN65,5,FALSE)</f>
        <v>1</v>
      </c>
      <c r="O64" s="23" t="str">
        <f>VLOOKUP(2,AD62:AN65,6,FALSE) &amp; " - " &amp; VLOOKUP(2,AD62:AN65,7,FALSE)</f>
        <v>5 - 2</v>
      </c>
      <c r="P64" s="34">
        <f>L64*3+M64</f>
        <v>6</v>
      </c>
      <c r="R64" s="123">
        <f>DATE(2026,6,25)+TIME(12,0,0)+gmt_delta</f>
        <v>46198.958333333336</v>
      </c>
      <c r="S64" s="127" t="str">
        <f t="shared" si="19"/>
        <v>Tunisia_draw</v>
      </c>
      <c r="T64" s="127" t="str">
        <f t="shared" si="20"/>
        <v>Netherlands_draw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0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2</v>
      </c>
      <c r="AG64" s="123">
        <f>COUNTIF($S$7:$T$78,"=" &amp; AE64 &amp; "_draw")</f>
        <v>0</v>
      </c>
      <c r="AH64" s="123">
        <f>COUNTIF($S$7:$T$78,"=" &amp; AE64 &amp; "_lose")</f>
        <v>1</v>
      </c>
      <c r="AI64" s="123">
        <f>SUMIF($E$7:$E$78,$AE64,$F$7:$F$78) + SUMIF($H$7:$H$78,$AE64,$G$7:$G$78)</f>
        <v>5</v>
      </c>
      <c r="AJ64" s="123">
        <f>SUMIF($E$7:$E$78,$AE64,$G$7:$G$78) + SUMIF($H$7:$H$78,$AE64,$F$7:$F$78)</f>
        <v>2</v>
      </c>
      <c r="AL64" s="123">
        <f>AI64-AJ64</f>
        <v>3</v>
      </c>
      <c r="AM64" s="123">
        <f>AL64-AL66</f>
        <v>10</v>
      </c>
      <c r="AN64" s="123">
        <f>AF64*3+AG64</f>
        <v>6</v>
      </c>
      <c r="AO64" s="123">
        <f>AN64/AN66*10+BA64</f>
        <v>6</v>
      </c>
      <c r="AP64" s="123">
        <f>AO64*10000000+BI64*100+AM64/AM66*10+AI64/AI66*1++IF(AQ64=0,ROW(),AQ64)/2000000</f>
        <v>60000006.750796728</v>
      </c>
      <c r="AQ64" s="126">
        <f>VLOOKUP(AE64,db_fifarank,2,FALSE)</f>
        <v>1593.45</v>
      </c>
      <c r="AR64" s="125">
        <f>AP64/AP66</f>
        <v>0.66666665815005788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0</v>
      </c>
      <c r="AV64" s="126" cm="1">
        <f t="array" ref="AV64">SUMPRODUCT(($E$7:$E$78=AE64)*($U$7:$U$78)*($F$7:$F$78))+SUMPRODUCT(($H$7:$H$78=AE64)*($U$7:$U$78)*($G$7:$G$78))</f>
        <v>0</v>
      </c>
      <c r="AW64" s="126" cm="1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0</v>
      </c>
      <c r="BA64" s="126">
        <f>AZ64/AZ66</f>
        <v>0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0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0</v>
      </c>
      <c r="BI64" s="126">
        <f>BH64/BH66</f>
        <v>0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41">
        <v>100</v>
      </c>
      <c r="BZ64" s="24" t="str">
        <f>IF(BW60&gt;BW61,BS60,IF(BW60&lt;BW61,BS61,""))</f>
        <v>Argentina</v>
      </c>
      <c r="CA64" s="61">
        <v>2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2000</v>
      </c>
    </row>
    <row r="65" spans="1:95" x14ac:dyDescent="0.35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8.3333333333333329E-2</v>
      </c>
      <c r="E65" s="78" t="str">
        <f>AE29</f>
        <v>Turkey</v>
      </c>
      <c r="F65" s="19">
        <v>4</v>
      </c>
      <c r="G65" s="20">
        <v>0</v>
      </c>
      <c r="H65" s="80" t="str">
        <f>AE26</f>
        <v>United States</v>
      </c>
      <c r="I65" s="69"/>
      <c r="J65" s="33" t="str">
        <f>VLOOKUP(3,AD62:AN65,2,FALSE)</f>
        <v>Algeria</v>
      </c>
      <c r="K65" s="23">
        <f>L65+M65+N65</f>
        <v>3</v>
      </c>
      <c r="L65" s="23">
        <f>VLOOKUP(3,AD62:AN65,3,FALSE)</f>
        <v>1</v>
      </c>
      <c r="M65" s="23">
        <f>VLOOKUP(3,AD62:AN65,4,FALSE)</f>
        <v>0</v>
      </c>
      <c r="N65" s="23">
        <f>VLOOKUP(3,AD62:AN65,5,FALSE)</f>
        <v>2</v>
      </c>
      <c r="O65" s="23" t="str">
        <f>VLOOKUP(3,AD62:AN65,6,FALSE) &amp; " - " &amp; VLOOKUP(3,AD62:AN65,7,FALSE)</f>
        <v>2 - 6</v>
      </c>
      <c r="P65" s="34">
        <f>L65*3+M65</f>
        <v>3</v>
      </c>
      <c r="R65" s="123">
        <f>DATE(2026,6,25)+TIME(15,0,0)+gmt_delta</f>
        <v>46199.083333333336</v>
      </c>
      <c r="S65" s="127" t="str">
        <f t="shared" si="19"/>
        <v>Turkey_win</v>
      </c>
      <c r="T65" s="127" t="str">
        <f t="shared" si="20"/>
        <v>United States_lose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1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0</v>
      </c>
      <c r="AH65" s="123">
        <f>COUNTIF($S$7:$T$78,"=" &amp; AE65 &amp; "_lose")</f>
        <v>3</v>
      </c>
      <c r="AI65" s="123">
        <f>SUMIF($E$7:$E$78,$AE65,$F$7:$F$78) + SUMIF($H$7:$H$78,$AE65,$G$7:$G$78)</f>
        <v>0</v>
      </c>
      <c r="AJ65" s="123">
        <f>SUMIF($E$7:$E$78,$AE65,$G$7:$G$78) + SUMIF($H$7:$H$78,$AE65,$F$7:$F$78)</f>
        <v>7</v>
      </c>
      <c r="AL65" s="123">
        <f>AI65-AJ65</f>
        <v>-7</v>
      </c>
      <c r="AM65" s="123">
        <f>AL65-AL66</f>
        <v>0</v>
      </c>
      <c r="AN65" s="123">
        <f>AF65*3+AG65</f>
        <v>0</v>
      </c>
      <c r="AO65" s="123">
        <f>AN65/AN66*10+BA65</f>
        <v>0</v>
      </c>
      <c r="AP65" s="123">
        <f>AO65*10000000+BI65*100+AM65/AM66*10+AI65/AI66*1++IF(AQ65=0,ROW(),AQ65)/2000000</f>
        <v>6.9572500000000001E-4</v>
      </c>
      <c r="AQ65" s="126">
        <f>VLOOKUP(AE65,db_fifarank,2,FALSE)</f>
        <v>1391.45</v>
      </c>
      <c r="AR65" s="125">
        <f>AP65/AP66</f>
        <v>7.7302768092653601E-12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03:00</v>
      </c>
      <c r="BL65" s="21"/>
      <c r="BM65" s="21"/>
      <c r="BN65" s="21"/>
      <c r="BO65" s="28"/>
      <c r="BP65" s="112">
        <f>DATE(2026,7,2)+TIME(16,0,0)+gmt_delta</f>
        <v>46206.125</v>
      </c>
      <c r="BQ65" s="112"/>
      <c r="BR65" s="21"/>
      <c r="BS65" s="21"/>
      <c r="BT65" s="21"/>
      <c r="BU65" s="21"/>
      <c r="BV65" s="21"/>
      <c r="BW65" s="114"/>
      <c r="BX65" s="115"/>
      <c r="BY65" s="142"/>
      <c r="BZ65" s="26" t="str">
        <f>IF(BW68&gt;BW69,BS68,IF(BW68&lt;BW69,BS69,""))</f>
        <v>Portugal</v>
      </c>
      <c r="CA65" s="62">
        <v>1</v>
      </c>
      <c r="CB65" s="64"/>
      <c r="CC65" s="27"/>
      <c r="CD65" s="112">
        <f>IF(CD64="","",CA65*1000+CB65*10+CC65)</f>
        <v>1000</v>
      </c>
    </row>
    <row r="66" spans="1:95" x14ac:dyDescent="0.35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8.3333333333333329E-2</v>
      </c>
      <c r="E66" s="78" t="str">
        <f>AE27</f>
        <v>Paraguay</v>
      </c>
      <c r="F66" s="19">
        <v>2</v>
      </c>
      <c r="G66" s="20">
        <v>1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0</v>
      </c>
      <c r="N66" s="36">
        <f>VLOOKUP(4,AD62:AN65,5,FALSE)</f>
        <v>3</v>
      </c>
      <c r="O66" s="36" t="str">
        <f>VLOOKUP(4,AD62:AN65,6,FALSE) &amp; " - " &amp; VLOOKUP(4,AD62:AN65,7,FALSE)</f>
        <v>0 - 7</v>
      </c>
      <c r="P66" s="37">
        <f>L66*3+M66</f>
        <v>0</v>
      </c>
      <c r="R66" s="123">
        <f>DATE(2026,6,25)+TIME(15,0,0)+gmt_delta</f>
        <v>46199.083333333336</v>
      </c>
      <c r="S66" s="127" t="str">
        <f t="shared" si="19"/>
        <v>Paraguay_win</v>
      </c>
      <c r="T66" s="127" t="str">
        <f t="shared" si="20"/>
        <v>Australia_lose</v>
      </c>
      <c r="U66" s="123">
        <f t="shared" si="8"/>
        <v>1</v>
      </c>
      <c r="V66" s="123">
        <f t="shared" si="21"/>
        <v>2</v>
      </c>
      <c r="W66" s="123">
        <f t="shared" si="22"/>
        <v>1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1</v>
      </c>
      <c r="AF66" s="123">
        <f t="shared" ref="AF66:AH66" si="28">MAX(AF62:AF65)-MIN(AF62:AF65)+1</f>
        <v>4</v>
      </c>
      <c r="AG66" s="123">
        <f t="shared" si="28"/>
        <v>1</v>
      </c>
      <c r="AH66" s="123">
        <f t="shared" si="28"/>
        <v>4</v>
      </c>
      <c r="AI66" s="123">
        <f>MAX(AI62:AI65)+1</f>
        <v>10</v>
      </c>
      <c r="AL66" s="123">
        <f>MIN(AL62:AL65)</f>
        <v>-7</v>
      </c>
      <c r="AM66" s="123">
        <f>MAX(AM62:AM65)+1</f>
        <v>16</v>
      </c>
      <c r="AN66" s="123">
        <f>MAX(AN62:AN65)+1</f>
        <v>10</v>
      </c>
      <c r="AO66" s="123">
        <f>MAX(AO62:AO65)+1</f>
        <v>10</v>
      </c>
      <c r="AP66" s="123">
        <f>MAX(AP62:AP65)+1</f>
        <v>90000011.275937423</v>
      </c>
      <c r="AT66" s="126">
        <f>MAX(AT62:AT65)-MIN(AT62:AT65)+1</f>
        <v>1</v>
      </c>
      <c r="AU66" s="126">
        <f>MAX(AU62:AU65)-MIN(AU62:AU65)+1</f>
        <v>1</v>
      </c>
      <c r="AV66" s="126">
        <f>MAX(AV62:AV65)-MIN(AV62:AV65)+1</f>
        <v>1</v>
      </c>
      <c r="AW66" s="126">
        <f>MAX(AW62:AW65)-MIN(AW62:AW65)+1</f>
        <v>1</v>
      </c>
      <c r="AY66" s="126">
        <f>MAX(AY62:AY65)-MIN(AY62:AY65)+1</f>
        <v>1</v>
      </c>
      <c r="AZ66" s="126">
        <f>MAX(AZ62:AZ65)+1</f>
        <v>1</v>
      </c>
      <c r="BB66" s="126">
        <f>MAX(BB62:BB65)-MIN(BB62:BB65)+1</f>
        <v>1</v>
      </c>
      <c r="BC66" s="126">
        <f>MAX(BC62:BC65)-MIN(BC62:BC65)+1</f>
        <v>1</v>
      </c>
      <c r="BD66" s="126">
        <f>MAX(BD62:BD65)-MIN(BD62:BD65)+1</f>
        <v>1</v>
      </c>
      <c r="BE66" s="126">
        <f>MAX(BE62:BE65)-MIN(BE62:BE65)+1</f>
        <v>1</v>
      </c>
      <c r="BG66" s="126">
        <f>MAX(BG62:BG65)-MIN(BG62:BG65)+1</f>
        <v>1</v>
      </c>
      <c r="BH66" s="126">
        <f>MAX(BH62:BH65)+1</f>
        <v>1</v>
      </c>
      <c r="BK66" s="141">
        <v>85</v>
      </c>
      <c r="BL66" s="24" t="str">
        <f>AS14</f>
        <v>Switzerland</v>
      </c>
      <c r="BM66" s="61">
        <v>2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2000</v>
      </c>
      <c r="BQ66" s="112"/>
      <c r="BR66" s="21"/>
      <c r="BS66" s="21"/>
      <c r="BT66" s="21"/>
      <c r="BU66" s="21"/>
      <c r="BV66" s="21"/>
      <c r="BW66" s="114"/>
    </row>
    <row r="67" spans="1:95" x14ac:dyDescent="0.35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0.79166666666666663</v>
      </c>
      <c r="E67" s="78" t="str">
        <f>AE59</f>
        <v>Norway</v>
      </c>
      <c r="F67" s="19">
        <v>2</v>
      </c>
      <c r="G67" s="20">
        <v>1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46199.791666666672</v>
      </c>
      <c r="S67" s="127" t="str">
        <f t="shared" si="19"/>
        <v>Norway_win</v>
      </c>
      <c r="T67" s="127" t="str">
        <f t="shared" si="20"/>
        <v>France_lose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1</v>
      </c>
      <c r="BK67" s="142"/>
      <c r="BL67" s="26" t="str">
        <f>IF(group_round_completed,VLOOKUP('3rd places'!E3,AK80:AS91,9,FALSE),"3rd Group E/F/G/I/J")</f>
        <v>Algeria</v>
      </c>
      <c r="BM67" s="62">
        <v>1</v>
      </c>
      <c r="BN67" s="64"/>
      <c r="BO67" s="27"/>
      <c r="BP67" s="113">
        <f>IF(BP66="","",BM67*1000+BN67*10+BO67)</f>
        <v>1000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20:00</v>
      </c>
      <c r="BS67" s="21"/>
      <c r="BT67" s="21"/>
      <c r="BU67" s="21"/>
      <c r="BV67" s="28"/>
      <c r="BW67" s="114">
        <f>DATE(2026,7,7)+TIME(9,0,0)+gmt_delta</f>
        <v>46210.833333333336</v>
      </c>
    </row>
    <row r="68" spans="1:95" x14ac:dyDescent="0.35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0.79166666666666663</v>
      </c>
      <c r="E68" s="78" t="str">
        <f>AE57</f>
        <v>Senegal</v>
      </c>
      <c r="F68" s="19">
        <v>2</v>
      </c>
      <c r="G68" s="20">
        <v>0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46199.791666666672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3</v>
      </c>
      <c r="AG68" s="123">
        <f>COUNTIF($S$7:$T$78,"=" &amp; AE68 &amp; "_draw")</f>
        <v>0</v>
      </c>
      <c r="AH68" s="123">
        <f>COUNTIF($S$7:$T$78,"=" &amp; AE68 &amp; "_lose")</f>
        <v>0</v>
      </c>
      <c r="AI68" s="123">
        <f>SUMIF($E$7:$E$78,$AE68,$F$7:$F$78) + SUMIF($H$7:$H$78,$AE68,$G$7:$G$78)</f>
        <v>9</v>
      </c>
      <c r="AJ68" s="123">
        <f>SUMIF($E$7:$E$78,$AE68,$G$7:$G$78) + SUMIF($H$7:$H$78,$AE68,$F$7:$F$78)</f>
        <v>2</v>
      </c>
      <c r="AL68" s="123">
        <f>AI68-AJ68</f>
        <v>7</v>
      </c>
      <c r="AM68" s="123">
        <f>AL68-AL72</f>
        <v>13</v>
      </c>
      <c r="AN68" s="123">
        <f>AF68*3+AG68</f>
        <v>9</v>
      </c>
      <c r="AO68" s="123">
        <f>AN68/AN72*10+BA68</f>
        <v>9</v>
      </c>
      <c r="AP68" s="123">
        <f>AO68*10000000+BI68*100+AM68/AM72*10+AI68/AI72*1++IF(AQ68=0,ROW(),AQ68)/2000000</f>
        <v>90000010.1865962</v>
      </c>
      <c r="AQ68" s="126">
        <f>VLOOKUP(AE68,db_fifarank,2,FALSE)</f>
        <v>1763.83</v>
      </c>
      <c r="AR68" s="125">
        <f>AP68/AP72</f>
        <v>0.9999999888888903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0</v>
      </c>
      <c r="AV68" s="126" cm="1">
        <f t="array" ref="AV68">SUMPRODUCT(($E$7:$E$78=AE68)*($U$7:$U$78)*($F$7:$F$78))+SUMPRODUCT(($H$7:$H$78=AE68)*($U$7:$U$78)*($G$7:$G$78))</f>
        <v>0</v>
      </c>
      <c r="AW68" s="126" cm="1">
        <f t="array" ref="AW68">SUMPRODUCT(($E$7:$E$78=AE68)*($U$7:$U$78)*($G$7:$G$78))+SUMPRODUCT(($H$7:$H$78=AE68)*($U$7:$U$78)*($F$7:$F$78))</f>
        <v>0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0</v>
      </c>
      <c r="BA68" s="126">
        <f>AZ68/AZ72</f>
        <v>0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0</v>
      </c>
      <c r="BD68" s="126" cm="1">
        <f t="array" ref="BD68">SUMPRODUCT(($E$7:$E$78=AE68)*($X$7:$X$78)*($F$7:$F$78))+SUMPRODUCT(($H$7:$H$78=AE68)*($X$7:$X$78)*($G$7:$G$78))</f>
        <v>0</v>
      </c>
      <c r="BE68" s="126" cm="1">
        <f t="array" ref="BE68">SUMPRODUCT(($E$7:$E$78=AE68)*($X$7:$X$78)*($G$7:$G$78))+SUMPRODUCT(($H$7:$H$78=AE68)*($X$7:$X$78)*($F$7:$F$78))</f>
        <v>0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0</v>
      </c>
      <c r="BI68" s="126">
        <f>BH68/BH72</f>
        <v>0</v>
      </c>
      <c r="BK68" s="21"/>
      <c r="BL68" s="21"/>
      <c r="BM68" s="21"/>
      <c r="BN68" s="21"/>
      <c r="BO68" s="21"/>
      <c r="BP68" s="114"/>
      <c r="BQ68" s="112"/>
      <c r="BR68" s="141">
        <v>96</v>
      </c>
      <c r="BS68" s="24" t="str">
        <f>IF(BP66&gt;BP67,BL66,IF(BP66&lt;BP67,BL67,""))</f>
        <v>Switzerland</v>
      </c>
      <c r="BT68" s="61">
        <v>1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1000</v>
      </c>
      <c r="CE68" s="143" t="str">
        <f>INDEX(T,144,lang)</f>
        <v>World Champion 2026</v>
      </c>
      <c r="CF68" s="143"/>
      <c r="CG68" s="143"/>
      <c r="CH68" s="143"/>
      <c r="CI68" s="143"/>
      <c r="CJ68" s="143"/>
      <c r="CK68" s="131" t="str">
        <f>IF(CR37&gt;CR38,CN37,IF(CR37&lt;CR38,CN38,""))</f>
        <v>Spain</v>
      </c>
      <c r="CL68" s="131"/>
      <c r="CM68" s="131"/>
      <c r="CN68" s="131"/>
      <c r="CO68" s="131"/>
      <c r="CP68" s="131"/>
      <c r="CQ68" s="131"/>
    </row>
    <row r="69" spans="1:95" x14ac:dyDescent="0.35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0.125</v>
      </c>
      <c r="E69" s="78" t="str">
        <f>AE45</f>
        <v>Egypt</v>
      </c>
      <c r="F69" s="19">
        <v>1</v>
      </c>
      <c r="G69" s="20">
        <v>1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3</v>
      </c>
      <c r="M69" s="31">
        <f>VLOOKUP(1,AD68:AN71,4,FALSE)</f>
        <v>0</v>
      </c>
      <c r="N69" s="31">
        <f>VLOOKUP(1,AD68:AN71,5,FALSE)</f>
        <v>0</v>
      </c>
      <c r="O69" s="31" t="str">
        <f>VLOOKUP(1,AD68:AN71,6,FALSE) &amp; " - " &amp; VLOOKUP(1,AD68:AN71,7,FALSE)</f>
        <v>9 - 2</v>
      </c>
      <c r="P69" s="32">
        <f>L69*3+M69</f>
        <v>9</v>
      </c>
      <c r="R69" s="123">
        <f>DATE(2026,6,26)+TIME(16,0,0)+gmt_delta</f>
        <v>46200.125</v>
      </c>
      <c r="S69" s="127" t="str">
        <f t="shared" si="19"/>
        <v>Egypt_draw</v>
      </c>
      <c r="T69" s="127" t="str">
        <f t="shared" si="20"/>
        <v>Iran_draw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0</v>
      </c>
      <c r="AD69" s="123">
        <f>COUNTIF(AR68:AR71,CONCATENATE("&gt;=",AR69))</f>
        <v>4</v>
      </c>
      <c r="AE69" s="124" t="str">
        <f>VLOOKUP("DR Congo",T,lang,FALSE)</f>
        <v>DR Congo</v>
      </c>
      <c r="AF69" s="123">
        <f>COUNTIF($S$7:$T$78,"=" &amp; AE69 &amp; "_win")</f>
        <v>0</v>
      </c>
      <c r="AG69" s="123">
        <f>COUNTIF($S$7:$T$78,"=" &amp; AE69 &amp; "_draw")</f>
        <v>1</v>
      </c>
      <c r="AH69" s="123">
        <f>COUNTIF($S$7:$T$78,"=" &amp; AE69 &amp; "_lose")</f>
        <v>2</v>
      </c>
      <c r="AI69" s="123">
        <f>SUMIF($E$7:$E$78,$AE69,$F$7:$F$78) + SUMIF($H$7:$H$78,$AE69,$G$7:$G$78)</f>
        <v>0</v>
      </c>
      <c r="AJ69" s="123">
        <f>SUMIF($E$7:$E$78,$AE69,$G$7:$G$78) + SUMIF($H$7:$H$78,$AE69,$F$7:$F$78)</f>
        <v>6</v>
      </c>
      <c r="AL69" s="123">
        <f>AI69-AJ69</f>
        <v>-6</v>
      </c>
      <c r="AM69" s="123">
        <f>AL69-AL72</f>
        <v>0</v>
      </c>
      <c r="AN69" s="123">
        <f>AF69*3+AG69</f>
        <v>1</v>
      </c>
      <c r="AO69" s="123">
        <f>AN69/AN72*10+BA69</f>
        <v>1.9803921568627452</v>
      </c>
      <c r="AP69" s="123">
        <f>AO69*10000000+BI69*100+AM69/AM72*10+AI69/AI72*1++IF(AQ69=0,ROW(),AQ69)/2000000</f>
        <v>19804019.608582314</v>
      </c>
      <c r="AQ69" s="126">
        <f>VLOOKUP(AE69,db_fifarank,2,FALSE)</f>
        <v>1478.35</v>
      </c>
      <c r="AR69" s="125">
        <f>AP69/AP72</f>
        <v>0.2200446349670204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1</v>
      </c>
      <c r="AV69" s="126" cm="1">
        <f t="array" ref="AV69">SUMPRODUCT(($E$7:$E$78=AE69)*($U$7:$U$78)*($F$7:$F$78))+SUMPRODUCT(($H$7:$H$78=AE69)*($U$7:$U$78)*($G$7:$G$78))</f>
        <v>0</v>
      </c>
      <c r="AW69" s="126" cm="1">
        <f t="array" ref="AW69">SUMPRODUCT(($E$7:$E$78=AE69)*($U$7:$U$78)*($G$7:$G$78))+SUMPRODUCT(($H$7:$H$78=AE69)*($U$7:$U$78)*($F$7:$F$78))</f>
        <v>0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50</v>
      </c>
      <c r="BA69" s="126">
        <f>AZ69/AZ72</f>
        <v>0.98039215686274506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1</v>
      </c>
      <c r="BD69" s="126" cm="1">
        <f t="array" ref="BD69">SUMPRODUCT(($E$7:$E$78=AE69)*($X$7:$X$78)*($F$7:$F$78))+SUMPRODUCT(($H$7:$H$78=AE69)*($X$7:$X$78)*($G$7:$G$78))</f>
        <v>0</v>
      </c>
      <c r="BE69" s="126" cm="1">
        <f t="array" ref="BE69">SUMPRODUCT(($E$7:$E$78=AE69)*($X$7:$X$78)*($G$7:$G$78))+SUMPRODUCT(($H$7:$H$78=AE69)*($X$7:$X$78)*($F$7:$F$78))</f>
        <v>0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50</v>
      </c>
      <c r="BI69" s="126">
        <f>BH69/BH72</f>
        <v>0.98039215686274506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01:30</v>
      </c>
      <c r="BL69" s="21"/>
      <c r="BM69" s="21"/>
      <c r="BN69" s="21"/>
      <c r="BO69" s="28"/>
      <c r="BP69" s="114">
        <f>DATE(2026,7,3)+TIME(14,30,0)+gmt_delta</f>
        <v>46207.0625</v>
      </c>
      <c r="BQ69" s="115"/>
      <c r="BR69" s="142"/>
      <c r="BS69" s="26" t="str">
        <f>IF(BP70&gt;BP71,BL70,IF(BP70&lt;BP71,BL71,""))</f>
        <v>Portugal</v>
      </c>
      <c r="BT69" s="62">
        <v>3</v>
      </c>
      <c r="BU69" s="64"/>
      <c r="BV69" s="27"/>
      <c r="BW69" s="112">
        <f>IF(BW68="","",BT69*1000+BU69*10+BV69)</f>
        <v>3000</v>
      </c>
      <c r="CE69" s="143"/>
      <c r="CF69" s="143"/>
      <c r="CG69" s="143"/>
      <c r="CH69" s="143"/>
      <c r="CI69" s="143"/>
      <c r="CJ69" s="143"/>
      <c r="CK69" s="131"/>
      <c r="CL69" s="131"/>
      <c r="CM69" s="131"/>
      <c r="CN69" s="131"/>
      <c r="CO69" s="131"/>
      <c r="CP69" s="131"/>
      <c r="CQ69" s="131"/>
    </row>
    <row r="70" spans="1:95" x14ac:dyDescent="0.35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0.125</v>
      </c>
      <c r="E70" s="78" t="str">
        <f>AE47</f>
        <v>New Zealand</v>
      </c>
      <c r="F70" s="19">
        <v>0</v>
      </c>
      <c r="G70" s="20">
        <v>3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0</v>
      </c>
      <c r="N70" s="23">
        <f>VLOOKUP(2,AD68:AN71,5,FALSE)</f>
        <v>1</v>
      </c>
      <c r="O70" s="23" t="str">
        <f>VLOOKUP(2,AD68:AN71,6,FALSE) &amp; " - " &amp; VLOOKUP(2,AD68:AN71,7,FALSE)</f>
        <v>7 - 3</v>
      </c>
      <c r="P70" s="34">
        <f>L70*3+M70</f>
        <v>6</v>
      </c>
      <c r="R70" s="123">
        <f>DATE(2026,6,26)+TIME(16,0,0)+gmt_delta</f>
        <v>46200.125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3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1</v>
      </c>
      <c r="AH70" s="123">
        <f>COUNTIF($S$7:$T$78,"=" &amp; AE70 &amp; "_lose")</f>
        <v>2</v>
      </c>
      <c r="AI70" s="123">
        <f>SUMIF($E$7:$E$78,$AE70,$F$7:$F$78) + SUMIF($H$7:$H$78,$AE70,$G$7:$G$78)</f>
        <v>0</v>
      </c>
      <c r="AJ70" s="123">
        <f>SUMIF($E$7:$E$78,$AE70,$G$7:$G$78) + SUMIF($H$7:$H$78,$AE70,$F$7:$F$78)</f>
        <v>5</v>
      </c>
      <c r="AL70" s="123">
        <f>AI70-AJ70</f>
        <v>-5</v>
      </c>
      <c r="AM70" s="123">
        <f>AL70-AL72</f>
        <v>1</v>
      </c>
      <c r="AN70" s="123">
        <f>AF70*3+AG70</f>
        <v>1</v>
      </c>
      <c r="AO70" s="123">
        <f>AN70/AN72*10+BA70</f>
        <v>1.9803921568627452</v>
      </c>
      <c r="AP70" s="123">
        <f>AO70*10000000+BI70*100+AM70/AM72*10+AI70/AI72*1++IF(AQ70=0,ROW(),AQ70)/2000000</f>
        <v>19804020.322861522</v>
      </c>
      <c r="AQ70" s="126">
        <f>VLOOKUP(AE70,db_fifarank,2,FALSE)</f>
        <v>1465.34</v>
      </c>
      <c r="AR70" s="125">
        <f>AP70/AP72</f>
        <v>0.22004464290345507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1</v>
      </c>
      <c r="AV70" s="126" cm="1">
        <f t="array" ref="AV70">SUMPRODUCT(($E$7:$E$78=AE70)*($U$7:$U$78)*($F$7:$F$78))+SUMPRODUCT(($H$7:$H$78=AE70)*($U$7:$U$78)*($G$7:$G$78))</f>
        <v>0</v>
      </c>
      <c r="AW70" s="126" cm="1">
        <f t="array" ref="AW70">SUMPRODUCT(($E$7:$E$78=AE70)*($U$7:$U$78)*($G$7:$G$78))+SUMPRODUCT(($H$7:$H$78=AE70)*($U$7:$U$78)*($F$7:$F$78))</f>
        <v>0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50</v>
      </c>
      <c r="BA70" s="126">
        <f>AZ70/AZ72</f>
        <v>0.98039215686274506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1</v>
      </c>
      <c r="BD70" s="126" cm="1">
        <f t="array" ref="BD70">SUMPRODUCT(($E$7:$E$78=AE70)*($X$7:$X$78)*($F$7:$F$78))+SUMPRODUCT(($H$7:$H$78=AE70)*($X$7:$X$78)*($G$7:$G$78))</f>
        <v>0</v>
      </c>
      <c r="BE70" s="126" cm="1">
        <f t="array" ref="BE70">SUMPRODUCT(($E$7:$E$78=AE70)*($X$7:$X$78)*($G$7:$G$78))+SUMPRODUCT(($H$7:$H$78=AE70)*($X$7:$X$78)*($F$7:$F$78))</f>
        <v>0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50</v>
      </c>
      <c r="BI70" s="126">
        <f>BH70/BH72</f>
        <v>0.98039215686274506</v>
      </c>
      <c r="BK70" s="141">
        <v>87</v>
      </c>
      <c r="BL70" s="24" t="str">
        <f>AS68</f>
        <v>Portugal</v>
      </c>
      <c r="BM70" s="61">
        <v>3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3000</v>
      </c>
      <c r="BQ70" s="112"/>
      <c r="BW70" s="112"/>
    </row>
    <row r="71" spans="1:95" x14ac:dyDescent="0.35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0</v>
      </c>
      <c r="E71" s="78" t="str">
        <f>AE51</f>
        <v>Cape Verde</v>
      </c>
      <c r="F71" s="19">
        <v>0</v>
      </c>
      <c r="G71" s="20">
        <v>1</v>
      </c>
      <c r="H71" s="80" t="str">
        <f>AE52</f>
        <v>Saudi Arabia</v>
      </c>
      <c r="I71" s="69"/>
      <c r="J71" s="33" t="str">
        <f>VLOOKUP(3,AD68:AN71,2,FALSE)</f>
        <v>Uzbekistan</v>
      </c>
      <c r="K71" s="23">
        <f>L71+M71+N71</f>
        <v>3</v>
      </c>
      <c r="L71" s="23">
        <f>VLOOKUP(3,AD68:AN71,3,FALSE)</f>
        <v>0</v>
      </c>
      <c r="M71" s="23">
        <f>VLOOKUP(3,AD68:AN71,4,FALSE)</f>
        <v>1</v>
      </c>
      <c r="N71" s="23">
        <f>VLOOKUP(3,AD68:AN71,5,FALSE)</f>
        <v>2</v>
      </c>
      <c r="O71" s="23" t="str">
        <f>VLOOKUP(3,AD68:AN71,6,FALSE) &amp; " - " &amp; VLOOKUP(3,AD68:AN71,7,FALSE)</f>
        <v>0 - 5</v>
      </c>
      <c r="P71" s="34">
        <f>L71*3+M71</f>
        <v>1</v>
      </c>
      <c r="R71" s="123">
        <f>DATE(2026,6,26)+TIME(13,0,0)+gmt_delta</f>
        <v>46200</v>
      </c>
      <c r="S71" s="127" t="str">
        <f t="shared" si="19"/>
        <v>Cape Verde_lose</v>
      </c>
      <c r="T71" s="127" t="str">
        <f t="shared" si="20"/>
        <v>Saudi Arabia_win</v>
      </c>
      <c r="U71" s="123">
        <f t="shared" si="8"/>
        <v>0</v>
      </c>
      <c r="V71" s="123">
        <f t="shared" si="21"/>
        <v>0</v>
      </c>
      <c r="W71" s="123">
        <f t="shared" si="22"/>
        <v>0</v>
      </c>
      <c r="X71" s="123">
        <f t="shared" si="9"/>
        <v>0</v>
      </c>
      <c r="Y71" s="123">
        <f t="shared" si="10"/>
        <v>0</v>
      </c>
      <c r="Z71" s="123">
        <f t="shared" si="11"/>
        <v>0</v>
      </c>
      <c r="AA71" s="123">
        <f t="shared" ref="AA71:AA78" si="29">IF(OR(E71=my_team,H71=my_team),1,IF(INT(MATCH(E71,$AE$8:$AE$78,0)/6)=$AA$6,1,0))</f>
        <v>0</v>
      </c>
      <c r="AB71" s="123">
        <f t="shared" si="23"/>
        <v>-1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0</v>
      </c>
      <c r="AH71" s="123">
        <f>COUNTIF($S$7:$T$78,"=" &amp; AE71 &amp; "_lose")</f>
        <v>1</v>
      </c>
      <c r="AI71" s="123">
        <f>SUMIF($E$7:$E$78,$AE71,$F$7:$F$78) + SUMIF($H$7:$H$78,$AE71,$G$7:$G$78)</f>
        <v>7</v>
      </c>
      <c r="AJ71" s="123">
        <f>SUMIF($E$7:$E$78,$AE71,$G$7:$G$78) + SUMIF($H$7:$H$78,$AE71,$F$7:$F$78)</f>
        <v>3</v>
      </c>
      <c r="AL71" s="123">
        <f>AI71-AJ71</f>
        <v>4</v>
      </c>
      <c r="AM71" s="123">
        <f>AL71-AL72</f>
        <v>10</v>
      </c>
      <c r="AN71" s="123">
        <f>AF71*3+AG71</f>
        <v>6</v>
      </c>
      <c r="AO71" s="123">
        <f>AN71/AN72*10+BA71</f>
        <v>6</v>
      </c>
      <c r="AP71" s="123">
        <f>AO71*10000000+BI71*100+AM71/AM72*10+AI71/AI72*1++IF(AQ71=0,ROW(),AQ71)/2000000</f>
        <v>60000007.843703687</v>
      </c>
      <c r="AQ71" s="126">
        <f>VLOOKUP(AE71,db_fifarank,2,FALSE)</f>
        <v>1693.09</v>
      </c>
      <c r="AR71" s="125">
        <f>AP71/AP72</f>
        <v>0.66666667095525378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0</v>
      </c>
      <c r="AV71" s="126" cm="1">
        <f t="array" ref="AV71">SUMPRODUCT(($E$7:$E$78=AE71)*($U$7:$U$78)*($F$7:$F$78))+SUMPRODUCT(($H$7:$H$78=AE71)*($U$7:$U$78)*($G$7:$G$78))</f>
        <v>0</v>
      </c>
      <c r="AW71" s="126" cm="1">
        <f t="array" ref="AW71">SUMPRODUCT(($E$7:$E$78=AE71)*($U$7:$U$78)*($G$7:$G$78))+SUMPRODUCT(($H$7:$H$78=AE71)*($U$7:$U$78)*($F$7:$F$78))</f>
        <v>0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0</v>
      </c>
      <c r="BA71" s="126">
        <f>AZ71/AZ72</f>
        <v>0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0</v>
      </c>
      <c r="BD71" s="126" cm="1">
        <f t="array" ref="BD71">SUMPRODUCT(($E$7:$E$78=AE71)*($X$7:$X$78)*($F$7:$F$78))+SUMPRODUCT(($H$7:$H$78=AE71)*($X$7:$X$78)*($G$7:$G$78))</f>
        <v>0</v>
      </c>
      <c r="BE71" s="126" cm="1">
        <f t="array" ref="BE71">SUMPRODUCT(($E$7:$E$78=AE71)*($X$7:$X$78)*($G$7:$G$78))+SUMPRODUCT(($H$7:$H$78=AE71)*($X$7:$X$78)*($F$7:$F$78))</f>
        <v>0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0</v>
      </c>
      <c r="BI71" s="126">
        <f>BH71/BH72</f>
        <v>0</v>
      </c>
      <c r="BK71" s="142"/>
      <c r="BL71" s="26" t="str">
        <f>IF(group_round_completed,VLOOKUP('3rd places'!J3,AK80:AS91,9,FALSE),"3rd Group D/E/I/J/L")</f>
        <v>Ghana</v>
      </c>
      <c r="BM71" s="62">
        <v>1</v>
      </c>
      <c r="BN71" s="64"/>
      <c r="BO71" s="27"/>
      <c r="BP71" s="112">
        <f>IF(BP70="","",BM71*1000+BN71*10+BO71)</f>
        <v>1000</v>
      </c>
      <c r="BQ71" s="112"/>
    </row>
    <row r="72" spans="1:95" x14ac:dyDescent="0.35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0</v>
      </c>
      <c r="E72" s="78" t="str">
        <f>AE53</f>
        <v>Uruguay</v>
      </c>
      <c r="F72" s="19">
        <v>2</v>
      </c>
      <c r="G72" s="20">
        <v>3</v>
      </c>
      <c r="H72" s="80" t="str">
        <f>AE50</f>
        <v>Spain</v>
      </c>
      <c r="I72" s="69"/>
      <c r="J72" s="35" t="str">
        <f>VLOOKUP(4,AD68:AN71,2,FALSE)</f>
        <v>DR Congo</v>
      </c>
      <c r="K72" s="36">
        <f>L72+M72+N72</f>
        <v>3</v>
      </c>
      <c r="L72" s="36">
        <f>VLOOKUP(4,AD68:AN71,3,FALSE)</f>
        <v>0</v>
      </c>
      <c r="M72" s="36">
        <f>VLOOKUP(4,AD68:AN71,4,FALSE)</f>
        <v>1</v>
      </c>
      <c r="N72" s="36">
        <f>VLOOKUP(4,AD68:AN71,5,FALSE)</f>
        <v>2</v>
      </c>
      <c r="O72" s="36" t="str">
        <f>VLOOKUP(4,AD68:AN71,6,FALSE) &amp; " - " &amp; VLOOKUP(4,AD68:AN71,7,FALSE)</f>
        <v>0 - 6</v>
      </c>
      <c r="P72" s="37">
        <f>L72*3+M72</f>
        <v>1</v>
      </c>
      <c r="R72" s="123">
        <f>DATE(2026,6,26)+TIME(13,0,0)+gmt_delta</f>
        <v>46200</v>
      </c>
      <c r="S72" s="127" t="str">
        <f t="shared" si="19"/>
        <v>Uruguay_lose</v>
      </c>
      <c r="T72" s="127" t="str">
        <f t="shared" si="20"/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4</v>
      </c>
      <c r="AG72" s="123">
        <f t="shared" si="35"/>
        <v>2</v>
      </c>
      <c r="AH72" s="123">
        <f t="shared" si="35"/>
        <v>3</v>
      </c>
      <c r="AI72" s="123">
        <f>MAX(AI68:AI71)+1</f>
        <v>10</v>
      </c>
      <c r="AL72" s="123">
        <f>MIN(AL68:AL71)</f>
        <v>-6</v>
      </c>
      <c r="AM72" s="123">
        <f>MAX(AM68:AM71)+1</f>
        <v>14</v>
      </c>
      <c r="AN72" s="123">
        <f>MAX(AN68:AN71)+1</f>
        <v>10</v>
      </c>
      <c r="AO72" s="123">
        <f>MAX(AO68:AO71)+1</f>
        <v>10</v>
      </c>
      <c r="AP72" s="123">
        <f>MAX(AP68:AP71)+1</f>
        <v>90000011.1865962</v>
      </c>
      <c r="AT72" s="126">
        <f>MAX(AT68:AT71)-MIN(AT68:AT71)+1</f>
        <v>1</v>
      </c>
      <c r="AU72" s="126">
        <f>MAX(AU68:AU71)-MIN(AU68:AU71)+1</f>
        <v>2</v>
      </c>
      <c r="AV72" s="126">
        <f>MAX(AV68:AV71)-MIN(AV68:AV71)+1</f>
        <v>1</v>
      </c>
      <c r="AW72" s="126">
        <f>MAX(AW68:AW71)-MIN(AW68:AW71)+1</f>
        <v>1</v>
      </c>
      <c r="AY72" s="126">
        <f>MAX(AY68:AY71)-MIN(AY68:AY71)+1</f>
        <v>1</v>
      </c>
      <c r="AZ72" s="126">
        <f>MAX(AZ68:AZ71)+1</f>
        <v>51</v>
      </c>
      <c r="BB72" s="126">
        <f>MAX(BB68:BB71)-MIN(BB68:BB71)+1</f>
        <v>1</v>
      </c>
      <c r="BC72" s="126">
        <f>MAX(BC68:BC71)-MIN(BC68:BC71)+1</f>
        <v>2</v>
      </c>
      <c r="BD72" s="126">
        <f>MAX(BD68:BD71)-MIN(BD68:BD71)+1</f>
        <v>1</v>
      </c>
      <c r="BE72" s="126">
        <f>MAX(BE68:BE71)-MIN(BE68:BE71)+1</f>
        <v>1</v>
      </c>
      <c r="BG72" s="126">
        <f>MAX(BG68:BG71)-MIN(BG68:BG71)+1</f>
        <v>1</v>
      </c>
      <c r="BH72" s="126">
        <f>MAX(BH68:BH71)+1</f>
        <v>51</v>
      </c>
    </row>
    <row r="73" spans="1:95" x14ac:dyDescent="0.35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0.875</v>
      </c>
      <c r="E73" s="78" t="str">
        <f>AE77</f>
        <v>Panama</v>
      </c>
      <c r="F73" s="19">
        <v>1</v>
      </c>
      <c r="G73" s="20">
        <v>3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46200.875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35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0.875</v>
      </c>
      <c r="E74" s="78" t="str">
        <f>AE75</f>
        <v>Croatia</v>
      </c>
      <c r="F74" s="19">
        <v>2</v>
      </c>
      <c r="G74" s="20">
        <v>1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46200.875</v>
      </c>
      <c r="S74" s="127" t="str">
        <f t="shared" si="19"/>
        <v>Croatia_win</v>
      </c>
      <c r="T74" s="127" t="str">
        <f t="shared" si="20"/>
        <v>Ghana_lose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1</v>
      </c>
      <c r="AD74" s="123">
        <f>COUNTIF(AR74:AR77,CONCATENATE("&gt;=",AR74))</f>
        <v>2</v>
      </c>
      <c r="AE74" s="124" t="str">
        <f>VLOOKUP("England",T,lang,FALSE)</f>
        <v>England</v>
      </c>
      <c r="AF74" s="123">
        <f>COUNTIF($S$7:$T$78,"=" &amp; AE74 &amp; "_win")</f>
        <v>2</v>
      </c>
      <c r="AG74" s="123">
        <f>COUNTIF($S$7:$T$78,"=" &amp; AE74 &amp; "_draw")</f>
        <v>0</v>
      </c>
      <c r="AH74" s="123">
        <f>COUNTIF($S$7:$T$78,"=" &amp; AE74 &amp; "_lose")</f>
        <v>1</v>
      </c>
      <c r="AI74" s="123">
        <f>SUMIF($E$7:$E$78,$AE74,$F$7:$F$78) + SUMIF($H$7:$H$78,$AE74,$G$7:$G$78)</f>
        <v>8</v>
      </c>
      <c r="AJ74" s="123">
        <f>SUMIF($E$7:$E$78,$AE74,$G$7:$G$78) + SUMIF($H$7:$H$78,$AE74,$F$7:$F$78)</f>
        <v>5</v>
      </c>
      <c r="AL74" s="123">
        <f>AI74-AJ74</f>
        <v>3</v>
      </c>
      <c r="AM74" s="123">
        <f>AL74-AL78</f>
        <v>9</v>
      </c>
      <c r="AN74" s="123">
        <f>AF74*3+AG74</f>
        <v>6</v>
      </c>
      <c r="AO74" s="123">
        <f>AN74/AN78*10+BA74</f>
        <v>6</v>
      </c>
      <c r="AP74" s="123">
        <f>AO74*10000000+BI74*100+AM74/AM78*10+AI74/AI78*1++IF(AQ74=0,ROW(),AQ74)/2000000</f>
        <v>60000009.071620055</v>
      </c>
      <c r="AQ74" s="126">
        <f>VLOOKUP(AE74,db_fifarank,2,FALSE)</f>
        <v>1825.97</v>
      </c>
      <c r="AR74" s="125">
        <f>AP74/AP78</f>
        <v>0.66666668612424629</v>
      </c>
      <c r="AS74" s="125" t="str">
        <f>IF(SUM(AF74:AH77)=12,J75,"1L")</f>
        <v>Croatia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35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8.3333333333333329E-2</v>
      </c>
      <c r="E75" s="78" t="str">
        <f>AE63</f>
        <v>Algeria</v>
      </c>
      <c r="F75" s="19">
        <v>0</v>
      </c>
      <c r="G75" s="20">
        <v>2</v>
      </c>
      <c r="H75" s="80" t="str">
        <f>AE64</f>
        <v>Austria</v>
      </c>
      <c r="I75" s="69"/>
      <c r="J75" s="30" t="str">
        <f>VLOOKUP(1,AD74:AN77,2,FALSE)</f>
        <v>Croatia</v>
      </c>
      <c r="K75" s="31">
        <f>L75+M75+N75</f>
        <v>3</v>
      </c>
      <c r="L75" s="31">
        <f>VLOOKUP(1,AD74:AN77,3,FALSE)</f>
        <v>3</v>
      </c>
      <c r="M75" s="31">
        <f>VLOOKUP(1,AD74:AN77,4,FALSE)</f>
        <v>0</v>
      </c>
      <c r="N75" s="31">
        <f>VLOOKUP(1,AD74:AN77,5,FALSE)</f>
        <v>0</v>
      </c>
      <c r="O75" s="31" t="str">
        <f>VLOOKUP(1,AD74:AN77,6,FALSE) &amp; " - " &amp; VLOOKUP(1,AD74:AN77,7,FALSE)</f>
        <v>8 - 4</v>
      </c>
      <c r="P75" s="32">
        <f>L75*3+M75</f>
        <v>9</v>
      </c>
      <c r="R75" s="123">
        <f>DATE(2026,6,27)+TIME(15,0,0)+gmt_delta</f>
        <v>46201.083333333336</v>
      </c>
      <c r="S75" s="127" t="str">
        <f t="shared" si="19"/>
        <v>Algeria_lose</v>
      </c>
      <c r="T75" s="127" t="str">
        <f t="shared" si="20"/>
        <v>Austria_win</v>
      </c>
      <c r="U75" s="123">
        <f t="shared" si="31"/>
        <v>0</v>
      </c>
      <c r="V75" s="123">
        <f t="shared" si="21"/>
        <v>0</v>
      </c>
      <c r="W75" s="123">
        <f t="shared" si="22"/>
        <v>0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1</v>
      </c>
      <c r="AB75" s="123">
        <f t="shared" si="23"/>
        <v>-1</v>
      </c>
      <c r="AD75" s="123">
        <f>COUNTIF(AR74:AR77,CONCATENATE("&gt;=",AR75))</f>
        <v>1</v>
      </c>
      <c r="AE75" s="124" t="str">
        <f>VLOOKUP("Croatia",T,lang,FALSE)</f>
        <v>Croatia</v>
      </c>
      <c r="AF75" s="123">
        <f>COUNTIF($S$7:$T$78,"=" &amp; AE75 &amp; "_win")</f>
        <v>3</v>
      </c>
      <c r="AG75" s="123">
        <f>COUNTIF($S$7:$T$78,"=" &amp; AE75 &amp; "_draw")</f>
        <v>0</v>
      </c>
      <c r="AH75" s="123">
        <f>COUNTIF($S$7:$T$78,"=" &amp; AE75 &amp; "_lose")</f>
        <v>0</v>
      </c>
      <c r="AI75" s="123">
        <f>SUMIF($E$7:$E$78,$AE75,$F$7:$F$78) + SUMIF($H$7:$H$78,$AE75,$G$7:$G$78)</f>
        <v>8</v>
      </c>
      <c r="AJ75" s="123">
        <f>SUMIF($E$7:$E$78,$AE75,$G$7:$G$78) + SUMIF($H$7:$H$78,$AE75,$F$7:$F$78)</f>
        <v>4</v>
      </c>
      <c r="AL75" s="123">
        <f>AI75-AJ75</f>
        <v>4</v>
      </c>
      <c r="AM75" s="123">
        <f>AL75-AL78</f>
        <v>10</v>
      </c>
      <c r="AN75" s="123">
        <f>AF75*3+AG75</f>
        <v>9</v>
      </c>
      <c r="AO75" s="123">
        <f>AN75/AN78*10+BA75</f>
        <v>9</v>
      </c>
      <c r="AP75" s="123">
        <f>AO75*10000000+BI75*100+AM75/AM78*10+AI75/AI78*1++IF(AQ75=0,ROW(),AQ75)/2000000</f>
        <v>90000009.98065652</v>
      </c>
      <c r="AQ75" s="126">
        <f>VLOOKUP(AE75,db_fifarank,2,FALSE)</f>
        <v>1717.07</v>
      </c>
      <c r="AR75" s="125">
        <f>AP75/AP78</f>
        <v>0.99999998888889019</v>
      </c>
      <c r="AS75" s="125" t="str">
        <f>IF(SUM(AF74:AH77)=12,J76,"2L")</f>
        <v>England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0</v>
      </c>
      <c r="AV75" s="126" cm="1">
        <f t="array" ref="AV75">SUMPRODUCT(($E$7:$E$78=AE75)*($U$7:$U$78)*($F$7:$F$78))+SUMPRODUCT(($H$7:$H$78=AE75)*($U$7:$U$78)*($G$7:$G$78))</f>
        <v>0</v>
      </c>
      <c r="AW75" s="126" cm="1">
        <f t="array" ref="AW75">SUMPRODUCT(($E$7:$E$78=AE75)*($U$7:$U$78)*($G$7:$G$78))+SUMPRODUCT(($H$7:$H$78=AE75)*($U$7:$U$78)*($F$7:$F$78))</f>
        <v>0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0</v>
      </c>
      <c r="BA75" s="126">
        <f>AZ75/AZ78</f>
        <v>0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0</v>
      </c>
      <c r="BD75" s="126" cm="1">
        <f t="array" ref="BD75">SUMPRODUCT(($E$7:$E$78=AE75)*($X$7:$X$78)*($F$7:$F$78))+SUMPRODUCT(($H$7:$H$78=AE75)*($X$7:$X$78)*($G$7:$G$78))</f>
        <v>0</v>
      </c>
      <c r="BE75" s="126" cm="1">
        <f t="array" ref="BE75">SUMPRODUCT(($E$7:$E$78=AE75)*($X$7:$X$78)*($G$7:$G$78))+SUMPRODUCT(($H$7:$H$78=AE75)*($X$7:$X$78)*($F$7:$F$78))</f>
        <v>0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0</v>
      </c>
      <c r="BI75" s="126">
        <f>BH75/BH78</f>
        <v>0</v>
      </c>
    </row>
    <row r="76" spans="1:95" x14ac:dyDescent="0.35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8.3333333333333329E-2</v>
      </c>
      <c r="E76" s="78" t="str">
        <f>AE65</f>
        <v>Jordan</v>
      </c>
      <c r="F76" s="19">
        <v>0</v>
      </c>
      <c r="G76" s="20">
        <v>3</v>
      </c>
      <c r="H76" s="80" t="str">
        <f>AE62</f>
        <v>Argentina</v>
      </c>
      <c r="I76" s="69"/>
      <c r="J76" s="33" t="str">
        <f>VLOOKUP(2,AD74:AN77,2,FALSE)</f>
        <v>England</v>
      </c>
      <c r="K76" s="23">
        <f>L76+M76+N76</f>
        <v>3</v>
      </c>
      <c r="L76" s="23">
        <f>VLOOKUP(2,AD74:AN77,3,FALSE)</f>
        <v>2</v>
      </c>
      <c r="M76" s="23">
        <f>VLOOKUP(2,AD74:AN77,4,FALSE)</f>
        <v>0</v>
      </c>
      <c r="N76" s="23">
        <f>VLOOKUP(2,AD74:AN77,5,FALSE)</f>
        <v>1</v>
      </c>
      <c r="O76" s="23" t="str">
        <f>VLOOKUP(2,AD74:AN77,6,FALSE) &amp; " - " &amp; VLOOKUP(2,AD74:AN77,7,FALSE)</f>
        <v>8 - 5</v>
      </c>
      <c r="P76" s="34">
        <f>L76*3+M76</f>
        <v>6</v>
      </c>
      <c r="R76" s="123">
        <f>DATE(2026,6,27)+TIME(15,0,0)+gmt_delta</f>
        <v>46201.083333333336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3</v>
      </c>
      <c r="AE76" s="124" t="str">
        <f>VLOOKUP("Ghana",T,lang,FALSE)</f>
        <v>Ghana</v>
      </c>
      <c r="AF76" s="123">
        <f>COUNTIF($S$7:$T$78,"=" &amp; AE76 &amp; "_win")</f>
        <v>1</v>
      </c>
      <c r="AG76" s="123">
        <f>COUNTIF($S$7:$T$78,"=" &amp; AE76 &amp; "_draw")</f>
        <v>0</v>
      </c>
      <c r="AH76" s="123">
        <f>COUNTIF($S$7:$T$78,"=" &amp; AE76 &amp; "_lose")</f>
        <v>2</v>
      </c>
      <c r="AI76" s="123">
        <f>SUMIF($E$7:$E$78,$AE76,$F$7:$F$78) + SUMIF($H$7:$H$78,$AE76,$G$7:$G$78)</f>
        <v>5</v>
      </c>
      <c r="AJ76" s="123">
        <f>SUMIF($E$7:$E$78,$AE76,$G$7:$G$78) + SUMIF($H$7:$H$78,$AE76,$F$7:$F$78)</f>
        <v>6</v>
      </c>
      <c r="AL76" s="123">
        <f>AI76-AJ76</f>
        <v>-1</v>
      </c>
      <c r="AM76" s="123">
        <f>AL76-AL78</f>
        <v>5</v>
      </c>
      <c r="AN76" s="123">
        <f>AF76*3+AG76</f>
        <v>3</v>
      </c>
      <c r="AO76" s="123">
        <f>AN76/AN78*10+BA76</f>
        <v>3</v>
      </c>
      <c r="AP76" s="123">
        <f>AO76*10000000+BI76*100+AM76/AM78*10+AI76/AI78*1++IF(AQ76=0,ROW(),AQ76)/2000000</f>
        <v>30000005.101683259</v>
      </c>
      <c r="AQ76" s="126">
        <f>VLOOKUP(AE76,db_fifarank,2,FALSE)</f>
        <v>1346.31</v>
      </c>
      <c r="AR76" s="125">
        <f>AP76/AP78</f>
        <v>0.33333334934960268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0</v>
      </c>
      <c r="AV76" s="126" cm="1">
        <f t="array" ref="AV76">SUMPRODUCT(($E$7:$E$78=AE76)*($U$7:$U$78)*($F$7:$F$78))+SUMPRODUCT(($H$7:$H$78=AE76)*($U$7:$U$78)*($G$7:$G$78))</f>
        <v>0</v>
      </c>
      <c r="AW76" s="126" cm="1">
        <f t="array" ref="AW76">SUMPRODUCT(($E$7:$E$78=AE76)*($U$7:$U$78)*($G$7:$G$78))+SUMPRODUCT(($H$7:$H$78=AE76)*($U$7:$U$78)*($F$7:$F$78))</f>
        <v>0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0</v>
      </c>
      <c r="BA76" s="126">
        <f>AZ76/AZ78</f>
        <v>0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0</v>
      </c>
      <c r="BD76" s="126" cm="1">
        <f t="array" ref="BD76">SUMPRODUCT(($E$7:$E$78=AE76)*($X$7:$X$78)*($F$7:$F$78))+SUMPRODUCT(($H$7:$H$78=AE76)*($X$7:$X$78)*($G$7:$G$78))</f>
        <v>0</v>
      </c>
      <c r="BE76" s="126" cm="1">
        <f t="array" ref="BE76">SUMPRODUCT(($E$7:$E$78=AE76)*($X$7:$X$78)*($G$7:$G$78))+SUMPRODUCT(($H$7:$H$78=AE76)*($X$7:$X$78)*($F$7:$F$78))</f>
        <v>0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0</v>
      </c>
      <c r="BI76" s="126">
        <f>BH76/BH78</f>
        <v>0</v>
      </c>
    </row>
    <row r="77" spans="1:95" x14ac:dyDescent="0.35">
      <c r="A77" s="16">
        <v>71</v>
      </c>
      <c r="B77" s="17" t="str" cm="1">
        <f t="array" ref="B77">INDEX(T,18+INT(MOD(R77-1,7)),lang)</f>
        <v>Sat</v>
      </c>
      <c r="C77" s="18" t="str" cm="1">
        <f t="array" ref="C77">INDEX(T,24+MONTH(R77),lang) &amp; " " &amp; DAY(R77) &amp; ", " &amp; YEAR(R77)</f>
        <v>Jun 27, 2026</v>
      </c>
      <c r="D77" s="120">
        <f t="shared" si="30"/>
        <v>0.97916666666666663</v>
      </c>
      <c r="E77" s="78" t="str">
        <f>AE71</f>
        <v>Colombia</v>
      </c>
      <c r="F77" s="19">
        <v>2</v>
      </c>
      <c r="G77" s="20">
        <v>3</v>
      </c>
      <c r="H77" s="80" t="str">
        <f>AE68</f>
        <v>Portugal</v>
      </c>
      <c r="I77" s="69"/>
      <c r="J77" s="33" t="str">
        <f>VLOOKUP(3,AD74:AN77,2,FALSE)</f>
        <v>Ghana</v>
      </c>
      <c r="K77" s="23">
        <f>L77+M77+N77</f>
        <v>3</v>
      </c>
      <c r="L77" s="23">
        <f>VLOOKUP(3,AD74:AN77,3,FALSE)</f>
        <v>1</v>
      </c>
      <c r="M77" s="23">
        <f>VLOOKUP(3,AD74:AN77,4,FALSE)</f>
        <v>0</v>
      </c>
      <c r="N77" s="23">
        <f>VLOOKUP(3,AD74:AN77,5,FALSE)</f>
        <v>2</v>
      </c>
      <c r="O77" s="23" t="str">
        <f>VLOOKUP(3,AD74:AN77,6,FALSE) &amp; " - " &amp; VLOOKUP(3,AD74:AN77,7,FALSE)</f>
        <v>5 - 6</v>
      </c>
      <c r="P77" s="34">
        <f>L77*3+M77</f>
        <v>3</v>
      </c>
      <c r="R77" s="123">
        <f>DATE(2026,6,27)+TIME(12,30,0)+gmt_delta</f>
        <v>46200.979166666672</v>
      </c>
      <c r="S77" s="127" t="str">
        <f t="shared" si="19"/>
        <v>Colombia_lose</v>
      </c>
      <c r="T77" s="127" t="str">
        <f t="shared" si="20"/>
        <v>Portugal_win</v>
      </c>
      <c r="U77" s="123">
        <f t="shared" si="31"/>
        <v>0</v>
      </c>
      <c r="V77" s="123">
        <f t="shared" si="21"/>
        <v>0</v>
      </c>
      <c r="W77" s="123">
        <f t="shared" si="22"/>
        <v>0</v>
      </c>
      <c r="X77" s="123">
        <f t="shared" si="32"/>
        <v>0</v>
      </c>
      <c r="Y77" s="123">
        <f t="shared" si="33"/>
        <v>0</v>
      </c>
      <c r="Z77" s="123">
        <f t="shared" si="34"/>
        <v>0</v>
      </c>
      <c r="AA77" s="123">
        <f t="shared" si="29"/>
        <v>0</v>
      </c>
      <c r="AB77" s="123">
        <f t="shared" si="23"/>
        <v>-1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0</v>
      </c>
      <c r="AH77" s="123">
        <f>COUNTIF($S$7:$T$78,"=" &amp; AE77 &amp; "_lose")</f>
        <v>3</v>
      </c>
      <c r="AI77" s="123">
        <f>SUMIF($E$7:$E$78,$AE77,$F$7:$F$78) + SUMIF($H$7:$H$78,$AE77,$G$7:$G$78)</f>
        <v>3</v>
      </c>
      <c r="AJ77" s="123">
        <f>SUMIF($E$7:$E$78,$AE77,$G$7:$G$78) + SUMIF($H$7:$H$78,$AE77,$F$7:$F$78)</f>
        <v>9</v>
      </c>
      <c r="AL77" s="123">
        <f>AI77-AJ77</f>
        <v>-6</v>
      </c>
      <c r="AM77" s="123">
        <f>AL77-AL78</f>
        <v>0</v>
      </c>
      <c r="AN77" s="123">
        <f>AF77*3+AG77</f>
        <v>0</v>
      </c>
      <c r="AO77" s="123">
        <f>AN77/AN78*10+BA77</f>
        <v>0</v>
      </c>
      <c r="AP77" s="123">
        <f>AO77*10000000+BI77*100+AM77/AM78*10+AI77/AI78*1++IF(AQ77=0,ROW(),AQ77)/2000000</f>
        <v>0.33410365333333331</v>
      </c>
      <c r="AQ77" s="126">
        <f>VLOOKUP(AE77,db_fifarank,2,FALSE)</f>
        <v>1540.64</v>
      </c>
      <c r="AR77" s="125">
        <f>AP77/AP78</f>
        <v>3.7122623618917268E-9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 x14ac:dyDescent="0.35">
      <c r="A78" s="16">
        <v>72</v>
      </c>
      <c r="B78" s="17" t="str" cm="1">
        <f t="array" ref="B78">INDEX(T,18+INT(MOD(R78-1,7)),lang)</f>
        <v>Sat</v>
      </c>
      <c r="C78" s="18" t="str" cm="1">
        <f t="array" ref="C78">INDEX(T,24+MONTH(R78),lang) &amp; " " &amp; DAY(R78) &amp; ", " &amp; YEAR(R78)</f>
        <v>Jun 27, 2026</v>
      </c>
      <c r="D78" s="120">
        <f t="shared" si="30"/>
        <v>0.97916666666666663</v>
      </c>
      <c r="E78" s="78" t="str">
        <f>AE69</f>
        <v>DR Congo</v>
      </c>
      <c r="F78" s="19">
        <v>0</v>
      </c>
      <c r="G78" s="20">
        <v>0</v>
      </c>
      <c r="H78" s="80" t="str">
        <f>AE70</f>
        <v>Uzbekistan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0</v>
      </c>
      <c r="M78" s="36">
        <f>VLOOKUP(4,AD74:AN77,4,FALSE)</f>
        <v>0</v>
      </c>
      <c r="N78" s="36">
        <f>VLOOKUP(4,AD74:AN77,5,FALSE)</f>
        <v>3</v>
      </c>
      <c r="O78" s="36" t="str">
        <f>VLOOKUP(4,AD74:AN77,6,FALSE) &amp; " - " &amp; VLOOKUP(4,AD74:AN77,7,FALSE)</f>
        <v>3 - 9</v>
      </c>
      <c r="P78" s="37">
        <f>L78*3+M78</f>
        <v>0</v>
      </c>
      <c r="R78" s="123">
        <f>DATE(2026,6,27)+TIME(12,30,0)+gmt_delta</f>
        <v>46200.979166666672</v>
      </c>
      <c r="S78" s="127" t="str">
        <f t="shared" si="19"/>
        <v>DR Congo_draw</v>
      </c>
      <c r="T78" s="127" t="str">
        <f t="shared" si="20"/>
        <v>Uzbekistan_draw</v>
      </c>
      <c r="U78" s="123">
        <f t="shared" si="31"/>
        <v>1</v>
      </c>
      <c r="V78" s="123">
        <f t="shared" si="21"/>
        <v>0</v>
      </c>
      <c r="W78" s="123">
        <f t="shared" si="22"/>
        <v>0</v>
      </c>
      <c r="X78" s="123">
        <f t="shared" si="32"/>
        <v>1</v>
      </c>
      <c r="Y78" s="123">
        <f t="shared" si="33"/>
        <v>0</v>
      </c>
      <c r="Z78" s="123">
        <f t="shared" si="34"/>
        <v>0</v>
      </c>
      <c r="AA78" s="123">
        <f t="shared" si="29"/>
        <v>0</v>
      </c>
      <c r="AB78" s="123">
        <f t="shared" si="23"/>
        <v>0</v>
      </c>
      <c r="AF78" s="123">
        <f t="shared" ref="AF78:AH78" si="36">MAX(AF74:AF77)-MIN(AF74:AF77)+1</f>
        <v>4</v>
      </c>
      <c r="AG78" s="123">
        <f t="shared" si="36"/>
        <v>1</v>
      </c>
      <c r="AH78" s="123">
        <f t="shared" si="36"/>
        <v>4</v>
      </c>
      <c r="AI78" s="123">
        <f>MAX(AI74:AI77)+1</f>
        <v>9</v>
      </c>
      <c r="AL78" s="123">
        <f>MIN(AL74:AL77)</f>
        <v>-6</v>
      </c>
      <c r="AM78" s="123">
        <f>MAX(AM74:AM77)+1</f>
        <v>11</v>
      </c>
      <c r="AN78" s="123">
        <f>MAX(AN74:AN77)+1</f>
        <v>10</v>
      </c>
      <c r="AO78" s="123">
        <f>MAX(AO74:AO77)+1</f>
        <v>10</v>
      </c>
      <c r="AP78" s="123">
        <f>MAX(AP74:AP77)+1</f>
        <v>90000010.98065652</v>
      </c>
      <c r="AT78" s="126">
        <f>MAX(AT74:AT77)-MIN(AT74:AT77)+1</f>
        <v>1</v>
      </c>
      <c r="AU78" s="126">
        <f>MAX(AU74:AU77)-MIN(AU74:AU77)+1</f>
        <v>1</v>
      </c>
      <c r="AV78" s="126">
        <f>MAX(AV74:AV77)-MIN(AV74:AV77)+1</f>
        <v>1</v>
      </c>
      <c r="AW78" s="126">
        <f>MAX(AW74:AW77)-MIN(AW74:AW77)+1</f>
        <v>1</v>
      </c>
      <c r="AY78" s="126">
        <f>MAX(AY74:AY77)-MIN(AY74:AY77)+1</f>
        <v>1</v>
      </c>
      <c r="AZ78" s="126">
        <f>MAX(AZ74:AZ77)+1</f>
        <v>1</v>
      </c>
      <c r="BB78" s="126">
        <f>MAX(BB74:BB77)-MIN(BB74:BB77)+1</f>
        <v>1</v>
      </c>
      <c r="BC78" s="126">
        <f>MAX(BC74:BC77)-MIN(BC74:BC77)+1</f>
        <v>1</v>
      </c>
      <c r="BD78" s="126">
        <f>MAX(BD74:BD77)-MIN(BD74:BD77)+1</f>
        <v>1</v>
      </c>
      <c r="BE78" s="126">
        <f>MAX(BE74:BE77)-MIN(BE74:BE77)+1</f>
        <v>1</v>
      </c>
      <c r="BG78" s="126">
        <f>MAX(BG74:BG77)-MIN(BG74:BG77)+1</f>
        <v>1</v>
      </c>
      <c r="BH78" s="126">
        <f>MAX(BH74:BH77)+1</f>
        <v>1</v>
      </c>
    </row>
    <row r="79" spans="1:95" x14ac:dyDescent="0.35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35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3</v>
      </c>
      <c r="AE80" s="124" t="str">
        <f>J11</f>
        <v>Czech Republic</v>
      </c>
      <c r="AF80" s="123">
        <f>VLOOKUP($AE80,$AE$8:$AQ$78,2,FALSE)</f>
        <v>1</v>
      </c>
      <c r="AG80" s="123">
        <f>VLOOKUP($AE80,$AE$8:$AQ$78,3,FALSE)</f>
        <v>0</v>
      </c>
      <c r="AH80" s="123">
        <f>VLOOKUP($AE80,$AE$8:$AQ$78,4,FALSE)</f>
        <v>2</v>
      </c>
      <c r="AI80" s="123">
        <f>VLOOKUP($AE80,$AE$8:$AQ$78,5,FALSE)</f>
        <v>6</v>
      </c>
      <c r="AJ80" s="123">
        <f>VLOOKUP($AE80,$AE$8:$AQ$78,6,FALSE)</f>
        <v>5</v>
      </c>
      <c r="AK80" s="123" t="s">
        <v>3180</v>
      </c>
      <c r="AL80" s="123">
        <f>VLOOKUP($AE80,$AE$8:$AQ$78,8,FALSE)</f>
        <v>1</v>
      </c>
      <c r="AM80" s="123">
        <f>AL80-$AL$92</f>
        <v>7</v>
      </c>
      <c r="AN80" s="123">
        <f>VLOOKUP($AE80,$AE$8:$AQ$78,10,FALSE)</f>
        <v>3</v>
      </c>
      <c r="AP80" s="123">
        <f>AN80/AN92*10000+AM80/AM92*1000+AI80/AI92*100+IF(AQ80=0,ROW(),AQ80)/2000000</f>
        <v>6554.5462052354551</v>
      </c>
      <c r="AQ80" s="126">
        <f t="shared" ref="AQ80:AQ91" si="37">VLOOKUP($AE80,$AE$8:$AQ$78,13,FALSE)</f>
        <v>1501.38</v>
      </c>
      <c r="AR80" s="125" t="str">
        <f>IF(AD80&lt;=8,RIGHT(AK80,1),"")</f>
        <v>A</v>
      </c>
      <c r="AS80" s="129" t="str">
        <f>IF(AD80&lt;=8,AE80,"")</f>
        <v>Czech Republic</v>
      </c>
      <c r="AT80" s="130" t="str">
        <f>"Ⓐ "&amp;AE80</f>
        <v>Ⓐ Czech Republic</v>
      </c>
    </row>
    <row r="81" spans="1:46" ht="15" customHeight="1" x14ac:dyDescent="0.35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Ⓓ Australia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10 - 3</v>
      </c>
      <c r="P81" s="98">
        <f>L81*3+M81</f>
        <v>4</v>
      </c>
      <c r="AD81" s="123">
        <f t="shared" ref="AD81:AD91" si="38">COUNTIF($AP$80:$AP$91,CONCATENATE("&gt;=",AP81))</f>
        <v>11</v>
      </c>
      <c r="AE81" s="124" t="str">
        <f>J17</f>
        <v>Canada</v>
      </c>
      <c r="AF81" s="123">
        <f t="shared" ref="AF81:AF91" si="39">VLOOKUP($AE81,$AE$8:$AQ$78,2,FALSE)</f>
        <v>0</v>
      </c>
      <c r="AG81" s="123">
        <f>VLOOKUP($AE81,$AE$8:$AQ$78,3,FALSE)</f>
        <v>1</v>
      </c>
      <c r="AH81" s="123">
        <f t="shared" ref="AH81:AH90" si="40">VLOOKUP($AE81,$AE$8:$AQ$78,4,FALSE)</f>
        <v>2</v>
      </c>
      <c r="AI81" s="123">
        <f t="shared" ref="AI81:AI90" si="41">VLOOKUP($AE81,$AE$8:$AQ$78,5,FALSE)</f>
        <v>4</v>
      </c>
      <c r="AJ81" s="123">
        <f t="shared" ref="AJ81:AJ90" si="42">VLOOKUP($AE81,$AE$8:$AQ$78,6,FALSE)</f>
        <v>8</v>
      </c>
      <c r="AK81" s="123" t="s">
        <v>3181</v>
      </c>
      <c r="AL81" s="123">
        <f t="shared" ref="AL81:AL90" si="43">VLOOKUP($AE81,$AE$8:$AQ$78,8,FALSE)</f>
        <v>-4</v>
      </c>
      <c r="AM81" s="123">
        <f t="shared" ref="AM81:AM91" si="44">AL81-$AL$92</f>
        <v>2</v>
      </c>
      <c r="AN81" s="123">
        <f t="shared" ref="AN81:AN90" si="45">VLOOKUP($AE81,$AE$8:$AQ$78,10,FALSE)</f>
        <v>1</v>
      </c>
      <c r="AP81" s="123">
        <f>AN81/AN92*10000+AM81/AM92*1000+AI81/AI92*100+IF(AQ81=0,ROW(),AQ81)/2000000</f>
        <v>2179.221557460779</v>
      </c>
      <c r="AQ81" s="126">
        <f t="shared" si="37"/>
        <v>1556.48</v>
      </c>
      <c r="AR81" s="125" t="str">
        <f>AR80&amp;IF(AD81&lt;=8,RIGHT(AK81,1),"")</f>
        <v>A</v>
      </c>
      <c r="AS81" s="129" t="str">
        <f t="shared" ref="AS81:AS91" si="46">IF(AD81&lt;=8,AE81,"")</f>
        <v/>
      </c>
      <c r="AT81" s="130" t="str">
        <f>"Ⓑ "&amp;AE81</f>
        <v>Ⓑ Canada</v>
      </c>
    </row>
    <row r="82" spans="1:46" ht="15" customHeight="1" x14ac:dyDescent="0.35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Ⓕ Tunisia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10 - 4</v>
      </c>
      <c r="P82" s="101">
        <f t="shared" ref="P82:P92" si="48">L82*3+M82</f>
        <v>4</v>
      </c>
      <c r="AD82" s="123">
        <f t="shared" si="38"/>
        <v>5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0</v>
      </c>
      <c r="AH82" s="123">
        <f t="shared" si="40"/>
        <v>2</v>
      </c>
      <c r="AI82" s="123">
        <f t="shared" si="41"/>
        <v>5</v>
      </c>
      <c r="AJ82" s="123">
        <f t="shared" si="42"/>
        <v>6</v>
      </c>
      <c r="AK82" s="123" t="s">
        <v>3182</v>
      </c>
      <c r="AL82" s="123">
        <f t="shared" si="43"/>
        <v>-1</v>
      </c>
      <c r="AM82" s="123">
        <f t="shared" si="44"/>
        <v>5</v>
      </c>
      <c r="AN82" s="123">
        <f t="shared" si="45"/>
        <v>3</v>
      </c>
      <c r="AP82" s="123">
        <f>AN82/AN92*10000+AM82/AM92*1000+AI82/AI92*100+IF(AQ82=0,ROW(),AQ82)/2000000</f>
        <v>6402.5981517724022</v>
      </c>
      <c r="AQ82" s="126">
        <f t="shared" si="37"/>
        <v>1498.35</v>
      </c>
      <c r="AR82" s="125" t="str">
        <f t="shared" ref="AR82:AR91" si="50">AR81&amp;IF(AD82&lt;=8,RIGHT(AK82,1),"")</f>
        <v>AC</v>
      </c>
      <c r="AS82" s="129" t="str">
        <f t="shared" si="46"/>
        <v>Scotland</v>
      </c>
      <c r="AT82" s="130" t="str">
        <f>"Ⓒ "&amp;AE82</f>
        <v>Ⓒ Scotland</v>
      </c>
    </row>
    <row r="83" spans="1:46" ht="15" customHeight="1" x14ac:dyDescent="0.35">
      <c r="A83" s="73"/>
      <c r="B83" s="73"/>
      <c r="C83" s="132" t="s">
        <v>3183</v>
      </c>
      <c r="D83" s="133"/>
      <c r="E83" s="133"/>
      <c r="F83" s="133"/>
      <c r="G83" s="134"/>
      <c r="H83" s="75"/>
      <c r="I83" s="69"/>
      <c r="J83" s="99" t="str">
        <f>VLOOKUP(3,$AD$80:$AT$91,17,FALSE)</f>
        <v>Ⓐ Czech Republic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0</v>
      </c>
      <c r="N83" s="100">
        <f>VLOOKUP(3,$AD$80:$AN$91,5,FALSE)</f>
        <v>2</v>
      </c>
      <c r="O83" s="100" t="str">
        <f>VLOOKUP(3,$AD$80:$AN$91,6,FALSE) &amp; " - " &amp; VLOOKUP(3,$AD$80:$AN$91,7,FALSE)</f>
        <v>6 - 5</v>
      </c>
      <c r="P83" s="101">
        <f t="shared" si="48"/>
        <v>3</v>
      </c>
      <c r="AD83" s="123">
        <f t="shared" si="38"/>
        <v>1</v>
      </c>
      <c r="AE83" s="124" t="str">
        <f>J29</f>
        <v>Australia</v>
      </c>
      <c r="AF83" s="123">
        <f t="shared" si="39"/>
        <v>1</v>
      </c>
      <c r="AG83" s="123">
        <f t="shared" si="49"/>
        <v>1</v>
      </c>
      <c r="AH83" s="123">
        <f t="shared" si="40"/>
        <v>1</v>
      </c>
      <c r="AI83" s="123">
        <f t="shared" si="41"/>
        <v>10</v>
      </c>
      <c r="AJ83" s="123">
        <f t="shared" si="42"/>
        <v>3</v>
      </c>
      <c r="AK83" s="123" t="s">
        <v>3184</v>
      </c>
      <c r="AL83" s="123">
        <f t="shared" si="43"/>
        <v>7</v>
      </c>
      <c r="AM83" s="123">
        <f t="shared" si="44"/>
        <v>13</v>
      </c>
      <c r="AN83" s="123">
        <f t="shared" si="45"/>
        <v>4</v>
      </c>
      <c r="AP83" s="123">
        <f>AN83/AN92*10000+AM83/AM92*1000+AI83/AI92*100+IF(AQ83=0,ROW(),AQ83)/2000000</f>
        <v>9019.4813098155191</v>
      </c>
      <c r="AQ83" s="126">
        <f t="shared" si="37"/>
        <v>1580.67</v>
      </c>
      <c r="AR83" s="125" t="str">
        <f t="shared" si="50"/>
        <v>ACD</v>
      </c>
      <c r="AS83" s="129" t="str">
        <f t="shared" si="46"/>
        <v>Australia</v>
      </c>
      <c r="AT83" s="130" t="str">
        <f>"Ⓓ "&amp;AE83</f>
        <v>Ⓓ Australia</v>
      </c>
    </row>
    <row r="84" spans="1:46" ht="15" customHeight="1" x14ac:dyDescent="0.35">
      <c r="A84" s="73"/>
      <c r="B84" s="73"/>
      <c r="C84" s="135"/>
      <c r="D84" s="136"/>
      <c r="E84" s="136"/>
      <c r="F84" s="136"/>
      <c r="G84" s="137"/>
      <c r="H84" s="75"/>
      <c r="I84" s="69"/>
      <c r="J84" s="99" t="str">
        <f>VLOOKUP(4,$AD$80:$AT$91,17,FALSE)</f>
        <v>Ⓔ Ivory Coast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0</v>
      </c>
      <c r="N84" s="100">
        <f>VLOOKUP(4,$AD$80:$AN$91,5,FALSE)</f>
        <v>2</v>
      </c>
      <c r="O84" s="100" t="str">
        <f>VLOOKUP(4,$AD$80:$AN$91,6,FALSE) &amp; " - " &amp; VLOOKUP(4,$AD$80:$AN$91,7,FALSE)</f>
        <v>5 - 5</v>
      </c>
      <c r="P84" s="101">
        <f t="shared" si="48"/>
        <v>3</v>
      </c>
      <c r="R84" s="123">
        <f>DATE(2026,12,3)+TIME(4,0,0)+gmt_delta</f>
        <v>46359.625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4</v>
      </c>
      <c r="AE84" s="124" t="str">
        <f>J35</f>
        <v>Ivory Coast</v>
      </c>
      <c r="AF84" s="123">
        <f t="shared" si="39"/>
        <v>1</v>
      </c>
      <c r="AG84" s="123">
        <f t="shared" si="49"/>
        <v>0</v>
      </c>
      <c r="AH84" s="123">
        <f t="shared" si="40"/>
        <v>2</v>
      </c>
      <c r="AI84" s="123">
        <f t="shared" si="41"/>
        <v>5</v>
      </c>
      <c r="AJ84" s="123">
        <f t="shared" si="42"/>
        <v>5</v>
      </c>
      <c r="AK84" s="123" t="s">
        <v>3185</v>
      </c>
      <c r="AL84" s="123">
        <f t="shared" si="43"/>
        <v>0</v>
      </c>
      <c r="AM84" s="123">
        <f t="shared" si="44"/>
        <v>6</v>
      </c>
      <c r="AN84" s="123">
        <f t="shared" si="45"/>
        <v>3</v>
      </c>
      <c r="AP84" s="123">
        <f>AN84/AN92*10000+AM84/AM92*1000+AI84/AI92*100+IF(AQ84=0,ROW(),AQ84)/2000000</f>
        <v>6474.0267405159739</v>
      </c>
      <c r="AQ84" s="126">
        <f t="shared" si="37"/>
        <v>1532.98</v>
      </c>
      <c r="AR84" s="125" t="str">
        <f t="shared" si="50"/>
        <v>ACDE</v>
      </c>
      <c r="AS84" s="129" t="str">
        <f t="shared" si="46"/>
        <v>Ivory Coast</v>
      </c>
      <c r="AT84" s="130" t="str">
        <f>"Ⓔ "&amp;AE84</f>
        <v>Ⓔ Ivory Coast</v>
      </c>
    </row>
    <row r="85" spans="1:46" ht="15" customHeight="1" x14ac:dyDescent="0.35">
      <c r="A85" s="73"/>
      <c r="B85" s="73"/>
      <c r="C85" s="135"/>
      <c r="D85" s="136"/>
      <c r="E85" s="136"/>
      <c r="F85" s="136"/>
      <c r="G85" s="137"/>
      <c r="H85" s="75"/>
      <c r="I85" s="69"/>
      <c r="J85" s="99" t="str">
        <f>VLOOKUP(5,$AD$80:$AT$91,17,FALSE)</f>
        <v>Ⓒ Scotland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0</v>
      </c>
      <c r="N85" s="100">
        <f>VLOOKUP(5,$AD$80:$AN$91,5,FALSE)</f>
        <v>2</v>
      </c>
      <c r="O85" s="100" t="str">
        <f>VLOOKUP(5,$AD$80:$AN$91,6,FALSE) &amp; " - " &amp; VLOOKUP(5,$AD$80:$AN$91,7,FALSE)</f>
        <v>5 - 6</v>
      </c>
      <c r="P85" s="101">
        <f t="shared" si="48"/>
        <v>3</v>
      </c>
      <c r="R85" s="123">
        <f>DATE(2026,12,3)+TIME(8,0,0)+gmt_delta</f>
        <v>46359.791666666672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Norway</v>
      </c>
      <c r="T85" s="127" t="str" cm="1">
        <f t="array" ref="T85">IF(OR(S85="",S85="draw"),INDEX(T,87,lang),S85)</f>
        <v>Norway</v>
      </c>
      <c r="AD85" s="123">
        <f t="shared" si="38"/>
        <v>2</v>
      </c>
      <c r="AE85" s="124" t="str">
        <f>J41</f>
        <v>Tunisia</v>
      </c>
      <c r="AF85" s="123">
        <f t="shared" si="39"/>
        <v>1</v>
      </c>
      <c r="AG85" s="123">
        <f t="shared" si="49"/>
        <v>1</v>
      </c>
      <c r="AH85" s="123">
        <f t="shared" si="40"/>
        <v>1</v>
      </c>
      <c r="AI85" s="123">
        <f t="shared" si="41"/>
        <v>10</v>
      </c>
      <c r="AJ85" s="123">
        <f t="shared" si="42"/>
        <v>4</v>
      </c>
      <c r="AK85" s="123" t="s">
        <v>3186</v>
      </c>
      <c r="AL85" s="123">
        <f t="shared" si="43"/>
        <v>6</v>
      </c>
      <c r="AM85" s="123">
        <f t="shared" si="44"/>
        <v>12</v>
      </c>
      <c r="AN85" s="123">
        <f t="shared" si="45"/>
        <v>4</v>
      </c>
      <c r="AP85" s="123">
        <f>AN85/AN92*10000+AM85/AM92*1000+AI85/AI92*100+IF(AQ85=0,ROW(),AQ85)/2000000</f>
        <v>8948.0526895769472</v>
      </c>
      <c r="AQ85" s="126">
        <f t="shared" si="37"/>
        <v>1483.05</v>
      </c>
      <c r="AR85" s="125" t="str">
        <f t="shared" si="50"/>
        <v>ACDEF</v>
      </c>
      <c r="AS85" s="129" t="str">
        <f t="shared" si="46"/>
        <v>Tunisia</v>
      </c>
      <c r="AT85" s="130" t="str">
        <f>"Ⓕ "&amp;AE85</f>
        <v>Ⓕ Tunisia</v>
      </c>
    </row>
    <row r="86" spans="1:46" ht="15" customHeight="1" x14ac:dyDescent="0.35">
      <c r="A86" s="73"/>
      <c r="B86" s="73"/>
      <c r="C86" s="135"/>
      <c r="D86" s="136"/>
      <c r="E86" s="136"/>
      <c r="F86" s="136"/>
      <c r="G86" s="137"/>
      <c r="H86" s="75"/>
      <c r="I86" s="69"/>
      <c r="J86" s="99" t="str">
        <f>VLOOKUP(6,$AD$80:$AT$91,17,FALSE)</f>
        <v>Ⓛ Ghana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0</v>
      </c>
      <c r="N86" s="100">
        <f>VLOOKUP(6,$AD$80:$AN$91,5,FALSE)</f>
        <v>2</v>
      </c>
      <c r="O86" s="100" t="str">
        <f>VLOOKUP(6,$AD$80:$AN$91,6,FALSE) &amp; " - " &amp; VLOOKUP(6,$AD$80:$AN$91,7,FALSE)</f>
        <v>5 - 6</v>
      </c>
      <c r="P86" s="101">
        <f t="shared" si="48"/>
        <v>3</v>
      </c>
      <c r="R86" s="123">
        <f>DATE(2026,12,4)+TIME(8,0,0)+gmt_delta</f>
        <v>46360.791666666672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England</v>
      </c>
      <c r="T86" s="127" t="str" cm="1">
        <f t="array" ref="T86">IF(OR(S86="",S86="draw"),INDEX(T,88,lang),S86)</f>
        <v>England</v>
      </c>
      <c r="AD86" s="123">
        <f t="shared" si="38"/>
        <v>10</v>
      </c>
      <c r="AE86" s="124" t="str">
        <f>J47</f>
        <v>Iran</v>
      </c>
      <c r="AF86" s="123">
        <f t="shared" si="39"/>
        <v>0</v>
      </c>
      <c r="AG86" s="123">
        <f t="shared" si="49"/>
        <v>2</v>
      </c>
      <c r="AH86" s="123">
        <f t="shared" si="40"/>
        <v>1</v>
      </c>
      <c r="AI86" s="123">
        <f t="shared" si="41"/>
        <v>3</v>
      </c>
      <c r="AJ86" s="123">
        <f t="shared" si="42"/>
        <v>5</v>
      </c>
      <c r="AK86" s="123" t="s">
        <v>3187</v>
      </c>
      <c r="AL86" s="123">
        <f t="shared" si="43"/>
        <v>-2</v>
      </c>
      <c r="AM86" s="123">
        <f t="shared" si="44"/>
        <v>4</v>
      </c>
      <c r="AN86" s="123">
        <f t="shared" si="45"/>
        <v>2</v>
      </c>
      <c r="AP86" s="123">
        <f>AN86/AN92*10000+AM86/AM92*1000+AI86/AI92*100+IF(AQ86=0,ROW(),AQ86)/2000000</f>
        <v>4312.9878206370122</v>
      </c>
      <c r="AQ86" s="126">
        <f t="shared" si="37"/>
        <v>1615.3</v>
      </c>
      <c r="AR86" s="125" t="str">
        <f t="shared" si="50"/>
        <v>ACDEF</v>
      </c>
      <c r="AS86" s="129" t="str">
        <f t="shared" si="46"/>
        <v/>
      </c>
      <c r="AT86" s="130" t="str">
        <f>"Ⓖ "&amp;AE86</f>
        <v>Ⓖ Iran</v>
      </c>
    </row>
    <row r="87" spans="1:46" ht="15" customHeight="1" x14ac:dyDescent="0.35">
      <c r="A87" s="73"/>
      <c r="B87" s="73"/>
      <c r="C87" s="135"/>
      <c r="D87" s="136"/>
      <c r="E87" s="136"/>
      <c r="F87" s="136"/>
      <c r="G87" s="137"/>
      <c r="H87" s="75"/>
      <c r="I87" s="69"/>
      <c r="J87" s="99" t="str">
        <f>VLOOKUP(7,$AD$80:$AT$91,17,FALSE)</f>
        <v>Ⓘ Senegal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3 - 7</v>
      </c>
      <c r="P87" s="101">
        <f t="shared" si="48"/>
        <v>3</v>
      </c>
      <c r="R87" s="123">
        <f>DATE(2026,12,4)+TIME(4,0,0)+gmt_delta</f>
        <v>46360.625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9</v>
      </c>
      <c r="AE87" s="124" t="str">
        <f>J53</f>
        <v>Saudi Arabia</v>
      </c>
      <c r="AF87" s="123">
        <f t="shared" si="39"/>
        <v>1</v>
      </c>
      <c r="AG87" s="123">
        <f t="shared" si="49"/>
        <v>0</v>
      </c>
      <c r="AH87" s="123">
        <f t="shared" si="40"/>
        <v>2</v>
      </c>
      <c r="AI87" s="123">
        <f t="shared" si="41"/>
        <v>1</v>
      </c>
      <c r="AJ87" s="123">
        <f t="shared" si="42"/>
        <v>7</v>
      </c>
      <c r="AK87" s="123" t="s">
        <v>3188</v>
      </c>
      <c r="AL87" s="123">
        <f t="shared" si="43"/>
        <v>-6</v>
      </c>
      <c r="AM87" s="123">
        <f t="shared" si="44"/>
        <v>0</v>
      </c>
      <c r="AN87" s="123">
        <f t="shared" si="45"/>
        <v>3</v>
      </c>
      <c r="AP87" s="123">
        <f>AN87/AN92*10000+AM87/AM92*1000+AI87/AI92*100+IF(AQ87=0,ROW(),AQ87)/2000000</f>
        <v>6009.0916198059094</v>
      </c>
      <c r="AQ87" s="126">
        <f t="shared" si="37"/>
        <v>1421.43</v>
      </c>
      <c r="AR87" s="125" t="str">
        <f t="shared" si="50"/>
        <v>ACDEF</v>
      </c>
      <c r="AS87" s="129" t="str">
        <f t="shared" si="46"/>
        <v/>
      </c>
      <c r="AT87" s="130" t="str">
        <f>"Ⓗ "&amp;AE87</f>
        <v>Ⓗ Saudi Arabia</v>
      </c>
    </row>
    <row r="88" spans="1:46" ht="15" customHeight="1" x14ac:dyDescent="0.35">
      <c r="A88" s="73"/>
      <c r="B88" s="73"/>
      <c r="C88" s="138"/>
      <c r="D88" s="139"/>
      <c r="E88" s="139"/>
      <c r="F88" s="139"/>
      <c r="G88" s="140"/>
      <c r="H88" s="75"/>
      <c r="I88" s="69"/>
      <c r="J88" s="99" t="str">
        <f>VLOOKUP(8,$AD$80:$AT$91,17,FALSE)</f>
        <v>Ⓙ Algeria</v>
      </c>
      <c r="K88" s="100">
        <f t="shared" si="47"/>
        <v>3</v>
      </c>
      <c r="L88" s="100">
        <f>VLOOKUP(8,$AD$80:$AN$91,3,FALSE)</f>
        <v>1</v>
      </c>
      <c r="M88" s="100">
        <f>VLOOKUP(8,$AD$80:$AN$91,4,FALSE)</f>
        <v>0</v>
      </c>
      <c r="N88" s="100">
        <f>VLOOKUP(8,$AD$80:$AN$91,5,FALSE)</f>
        <v>2</v>
      </c>
      <c r="O88" s="100" t="str">
        <f>VLOOKUP(8,$AD$80:$AN$91,6,FALSE) &amp; " - " &amp; VLOOKUP(8,$AD$80:$AN$91,7,FALSE)</f>
        <v>2 - 6</v>
      </c>
      <c r="P88" s="101">
        <f t="shared" si="48"/>
        <v>3</v>
      </c>
      <c r="R88" s="123">
        <f>DATE(2026,12,5)+TIME(4,0,0)+gmt_delta</f>
        <v>46361.625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Korea Republic</v>
      </c>
      <c r="T88" s="127" t="str" cm="1">
        <f t="array" ref="T88">IF(OR(S88="",S88="draw"),INDEX(T,90,lang),S88)</f>
        <v>Korea Republic</v>
      </c>
      <c r="AD88" s="123">
        <f t="shared" si="38"/>
        <v>7</v>
      </c>
      <c r="AE88" s="124" t="str">
        <f>J59</f>
        <v>Senegal</v>
      </c>
      <c r="AF88" s="123">
        <f t="shared" si="39"/>
        <v>1</v>
      </c>
      <c r="AG88" s="123">
        <f t="shared" si="49"/>
        <v>0</v>
      </c>
      <c r="AH88" s="123">
        <f t="shared" si="40"/>
        <v>2</v>
      </c>
      <c r="AI88" s="123">
        <f t="shared" si="41"/>
        <v>3</v>
      </c>
      <c r="AJ88" s="123">
        <f t="shared" si="42"/>
        <v>7</v>
      </c>
      <c r="AK88" s="123" t="s">
        <v>3189</v>
      </c>
      <c r="AL88" s="123">
        <f t="shared" si="43"/>
        <v>-4</v>
      </c>
      <c r="AM88" s="123">
        <f t="shared" si="44"/>
        <v>2</v>
      </c>
      <c r="AN88" s="123">
        <f t="shared" si="45"/>
        <v>3</v>
      </c>
      <c r="AP88" s="123">
        <f>AN88/AN92*10000+AM88/AM92*1000+AI88/AI92*100+IF(AQ88=0,ROW(),AQ88)/2000000</f>
        <v>6170.1307146248701</v>
      </c>
      <c r="AQ88" s="126">
        <f t="shared" si="37"/>
        <v>1688.99</v>
      </c>
      <c r="AR88" s="125" t="str">
        <f t="shared" si="50"/>
        <v>ACDEFI</v>
      </c>
      <c r="AS88" s="129" t="str">
        <f t="shared" si="46"/>
        <v>Senegal</v>
      </c>
      <c r="AT88" s="130" t="str">
        <f>"Ⓘ "&amp;AE88</f>
        <v>Ⓘ Senegal</v>
      </c>
    </row>
    <row r="89" spans="1:46" ht="15" customHeight="1" x14ac:dyDescent="0.35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Ⓗ Saudi Arabia</v>
      </c>
      <c r="K89" s="103">
        <f t="shared" si="47"/>
        <v>3</v>
      </c>
      <c r="L89" s="103">
        <f>VLOOKUP(9,$AD$80:$AN$91,3,FALSE)</f>
        <v>1</v>
      </c>
      <c r="M89" s="103">
        <f>VLOOKUP(9,$AD$80:$AN$91,4,FALSE)</f>
        <v>0</v>
      </c>
      <c r="N89" s="103">
        <f>VLOOKUP(9,$AD$80:$AN$91,5,FALSE)</f>
        <v>2</v>
      </c>
      <c r="O89" s="103" t="str">
        <f>VLOOKUP(9,$AD$80:$AN$91,6,FALSE) &amp; " - " &amp; VLOOKUP(9,$AD$80:$AN$91,7,FALSE)</f>
        <v>1 - 7</v>
      </c>
      <c r="P89" s="104">
        <f t="shared" si="48"/>
        <v>3</v>
      </c>
      <c r="R89" s="123">
        <f>DATE(2026,12,5)+TIME(8,0,0)+gmt_delta</f>
        <v>46361.791666666672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Netherlands</v>
      </c>
      <c r="T89" s="127" t="str" cm="1">
        <f t="array" ref="T89">IF(OR(S89="",S89="draw"),INDEX(T,91,lang),S89)</f>
        <v>Netherlands</v>
      </c>
      <c r="AD89" s="123">
        <f t="shared" si="38"/>
        <v>8</v>
      </c>
      <c r="AE89" s="124" t="str">
        <f>J65</f>
        <v>Algeria</v>
      </c>
      <c r="AF89" s="123">
        <f t="shared" si="39"/>
        <v>1</v>
      </c>
      <c r="AG89" s="123">
        <f t="shared" si="49"/>
        <v>0</v>
      </c>
      <c r="AH89" s="123">
        <f t="shared" si="40"/>
        <v>2</v>
      </c>
      <c r="AI89" s="123">
        <f t="shared" si="41"/>
        <v>2</v>
      </c>
      <c r="AJ89" s="123">
        <f t="shared" si="42"/>
        <v>6</v>
      </c>
      <c r="AK89" s="123" t="s">
        <v>3190</v>
      </c>
      <c r="AL89" s="123">
        <f t="shared" si="43"/>
        <v>-4</v>
      </c>
      <c r="AM89" s="123">
        <f t="shared" si="44"/>
        <v>2</v>
      </c>
      <c r="AN89" s="123">
        <f t="shared" si="45"/>
        <v>3</v>
      </c>
      <c r="AP89" s="123">
        <f>AN89/AN92*10000+AM89/AM92*1000+AI89/AI92*100+IF(AQ89=0,ROW(),AQ89)/2000000</f>
        <v>6161.0397431689607</v>
      </c>
      <c r="AQ89" s="126">
        <f t="shared" si="37"/>
        <v>1564.26</v>
      </c>
      <c r="AR89" s="125" t="str">
        <f t="shared" si="50"/>
        <v>ACDEFIJ</v>
      </c>
      <c r="AS89" s="129" t="str">
        <f t="shared" si="46"/>
        <v>Algeria</v>
      </c>
      <c r="AT89" s="130" t="str">
        <f>"Ⓙ "&amp;AE89</f>
        <v>Ⓙ Algeria</v>
      </c>
    </row>
    <row r="90" spans="1:46" ht="15" customHeight="1" x14ac:dyDescent="0.35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Ⓖ Iran</v>
      </c>
      <c r="K90" s="103">
        <f t="shared" si="47"/>
        <v>3</v>
      </c>
      <c r="L90" s="103">
        <f>VLOOKUP(10,$AD$80:$AN$91,3,FALSE)</f>
        <v>0</v>
      </c>
      <c r="M90" s="103">
        <f>VLOOKUP(10,$AD$80:$AN$91,4,FALSE)</f>
        <v>2</v>
      </c>
      <c r="N90" s="103">
        <f>VLOOKUP(10,$AD$80:$AN$91,5,FALSE)</f>
        <v>1</v>
      </c>
      <c r="O90" s="103" t="str">
        <f>VLOOKUP(10,$AD$80:$AN$91,6,FALSE) &amp; " - " &amp; VLOOKUP(10,$AD$80:$AN$91,7,FALSE)</f>
        <v>3 - 5</v>
      </c>
      <c r="P90" s="104">
        <f t="shared" si="48"/>
        <v>2</v>
      </c>
      <c r="R90" s="123">
        <f>DATE(2026,12,6)+TIME(4,0,0)+gmt_delta</f>
        <v>46362.625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Ivory Coast</v>
      </c>
      <c r="T90" s="127" t="str" cm="1">
        <f t="array" ref="T90">IF(OR(S90="",S90="draw"),INDEX(T,92,lang),S90)</f>
        <v>Ivory Coast</v>
      </c>
      <c r="AD90" s="123">
        <f t="shared" si="38"/>
        <v>12</v>
      </c>
      <c r="AE90" s="124" t="str">
        <f>J71</f>
        <v>Uzbekistan</v>
      </c>
      <c r="AF90" s="123">
        <f t="shared" si="39"/>
        <v>0</v>
      </c>
      <c r="AG90" s="123">
        <f t="shared" si="49"/>
        <v>1</v>
      </c>
      <c r="AH90" s="123">
        <f t="shared" si="40"/>
        <v>2</v>
      </c>
      <c r="AI90" s="123">
        <f t="shared" si="41"/>
        <v>0</v>
      </c>
      <c r="AJ90" s="123">
        <f t="shared" si="42"/>
        <v>5</v>
      </c>
      <c r="AK90" s="123" t="s">
        <v>3191</v>
      </c>
      <c r="AL90" s="123">
        <f t="shared" si="43"/>
        <v>-5</v>
      </c>
      <c r="AM90" s="123">
        <f t="shared" si="44"/>
        <v>1</v>
      </c>
      <c r="AN90" s="123">
        <f t="shared" si="45"/>
        <v>1</v>
      </c>
      <c r="AP90" s="123">
        <f>AN90/AN92*10000+AM90/AM92*1000+AI90/AI92*100+IF(AQ90=0,ROW(),AQ90)/2000000</f>
        <v>2071.4293040985717</v>
      </c>
      <c r="AQ90" s="126">
        <f t="shared" si="37"/>
        <v>1465.34</v>
      </c>
      <c r="AR90" s="125" t="str">
        <f t="shared" si="50"/>
        <v>ACDEFIJ</v>
      </c>
      <c r="AS90" s="129" t="str">
        <f t="shared" si="46"/>
        <v/>
      </c>
      <c r="AT90" s="130" t="str">
        <f>"Ⓚ "&amp;AE90</f>
        <v>Ⓚ Uzbekistan</v>
      </c>
    </row>
    <row r="91" spans="1:46" ht="15" customHeight="1" x14ac:dyDescent="0.35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Ⓑ Canada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1</v>
      </c>
      <c r="N91" s="103">
        <f>VLOOKUP(11,$AD$80:$AN$91,5,FALSE)</f>
        <v>2</v>
      </c>
      <c r="O91" s="103" t="str">
        <f>VLOOKUP(11,$AD$80:$AN$91,6,FALSE) &amp; " - " &amp; VLOOKUP(11,$AD$80:$AN$91,7,FALSE)</f>
        <v>4 - 8</v>
      </c>
      <c r="P91" s="104">
        <f t="shared" si="48"/>
        <v>1</v>
      </c>
      <c r="R91" s="123">
        <f>DATE(2026,12,6)+TIME(8,0,0)+gmt_delta</f>
        <v>46362.791666666672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7" t="str" cm="1">
        <f t="array" ref="T91">IF(OR(S91="",S91="draw"),INDEX(T,93,lang),S91)</f>
        <v>Belgium</v>
      </c>
      <c r="AD91" s="123">
        <f t="shared" si="38"/>
        <v>6</v>
      </c>
      <c r="AE91" s="124" t="str">
        <f>J77</f>
        <v>Ghana</v>
      </c>
      <c r="AF91" s="123">
        <f t="shared" si="39"/>
        <v>1</v>
      </c>
      <c r="AG91" s="123">
        <f t="shared" si="49"/>
        <v>0</v>
      </c>
      <c r="AH91" s="123">
        <f>VLOOKUP($AE91,$AE$8:$AQ$78,4,FALSE)</f>
        <v>2</v>
      </c>
      <c r="AI91" s="123">
        <f>VLOOKUP($AE91,$AE$8:$AQ$78,5,FALSE)</f>
        <v>5</v>
      </c>
      <c r="AJ91" s="123">
        <f>VLOOKUP($AE91,$AE$8:$AQ$78,6,FALSE)</f>
        <v>6</v>
      </c>
      <c r="AK91" s="123" t="s">
        <v>3192</v>
      </c>
      <c r="AL91" s="123">
        <f>VLOOKUP($AE91,$AE$8:$AQ$78,8,FALSE)</f>
        <v>-1</v>
      </c>
      <c r="AM91" s="123">
        <f t="shared" si="44"/>
        <v>5</v>
      </c>
      <c r="AN91" s="123">
        <f>VLOOKUP($AE91,$AE$8:$AQ$78,10,FALSE)</f>
        <v>3</v>
      </c>
      <c r="AP91" s="123">
        <f>AN91/AN92*10000+AM91/AM92*1000+AI91/AI92*100+IF(AQ91=0,ROW(),AQ91)/2000000</f>
        <v>6402.5980757524021</v>
      </c>
      <c r="AQ91" s="126">
        <f t="shared" si="37"/>
        <v>1346.31</v>
      </c>
      <c r="AR91" s="125" t="str">
        <f t="shared" si="50"/>
        <v>ACDEFIJL</v>
      </c>
      <c r="AS91" s="129" t="str">
        <f t="shared" si="46"/>
        <v>Ghana</v>
      </c>
      <c r="AT91" s="130" t="str">
        <f>"Ⓛ "&amp;AE91</f>
        <v>Ⓛ Ghana</v>
      </c>
    </row>
    <row r="92" spans="1:46" ht="15" customHeight="1" x14ac:dyDescent="0.35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Ⓚ Uzbekistan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0 - 5</v>
      </c>
      <c r="P92" s="107">
        <f t="shared" si="48"/>
        <v>1</v>
      </c>
      <c r="AF92" s="123">
        <f>MAX(AF80:AF91)+1</f>
        <v>2</v>
      </c>
      <c r="AG92" s="123">
        <f>MAX(AG80:AG91)+1</f>
        <v>3</v>
      </c>
      <c r="AH92" s="123">
        <f>MAX(AH80:AH91)+1</f>
        <v>3</v>
      </c>
      <c r="AI92" s="123">
        <f>MAX(AI80:AI91)+1</f>
        <v>11</v>
      </c>
      <c r="AJ92" s="123">
        <f>MAX(AJ80:AJ91)+1</f>
        <v>9</v>
      </c>
      <c r="AL92" s="123">
        <f>MIN(AL80:AL91)</f>
        <v>-6</v>
      </c>
      <c r="AM92" s="123">
        <f>MAX(AM80:AM91)+1</f>
        <v>14</v>
      </c>
      <c r="AN92" s="123">
        <f>MAX(AN80:AN91)+1</f>
        <v>5</v>
      </c>
      <c r="AS92" s="126" t="b">
        <f>SUM(K9:K78)=144</f>
        <v>1</v>
      </c>
    </row>
    <row r="93" spans="1:46" x14ac:dyDescent="0.35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35">
      <c r="R95" s="123">
        <f>DATE(2026,12,9)+TIME(8,0,0)+gmt_delta</f>
        <v>46365.791666666672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Norway</v>
      </c>
      <c r="T95" s="127" t="str" cm="1">
        <f t="array" ref="T95">IF(OR(S95="",S95="draw"),INDEX(T,94,lang),S95)</f>
        <v>Norway</v>
      </c>
    </row>
    <row r="96" spans="1:46" ht="12.75" customHeight="1" x14ac:dyDescent="0.35">
      <c r="R96" s="123">
        <f>DATE(2026,12,9)+TIME(4,0,0)+gmt_delta</f>
        <v>46365.625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Netherlands</v>
      </c>
      <c r="T96" s="127" t="str" cm="1">
        <f t="array" ref="T96">IF(OR(S96="",S96="draw"),INDEX(T,95,lang),S96)</f>
        <v>Netherlands</v>
      </c>
    </row>
    <row r="97" spans="18:29" ht="12.75" customHeight="1" x14ac:dyDescent="0.35">
      <c r="R97" s="123">
        <f>DATE(2026,12,10)+TIME(8,0,0)+gmt_delta</f>
        <v>46366.791666666672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35">
      <c r="R98" s="123">
        <f>DATE(2026,12,10)+TIME(4,0,0)+gmt_delta</f>
        <v>46366.625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Belgium</v>
      </c>
      <c r="T98" s="127" t="str" cm="1">
        <f t="array" ref="T98">IF(OR(S98="",S98="draw"),INDEX(T,97,lang),S98)</f>
        <v>Belgium</v>
      </c>
    </row>
    <row r="102" spans="18:29" x14ac:dyDescent="0.35">
      <c r="R102" s="123">
        <f>DATE(2026,12,13)+TIME(8,0,0)+gmt_delta</f>
        <v>46369.791666666672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Norway</v>
      </c>
      <c r="T102" s="127" t="str" cm="1">
        <f t="array" ref="T102">IF(OR(S102="",S102="draw"),INDEX(T,98,lang),S102)</f>
        <v>Norway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Netherlands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Netherlands</v>
      </c>
    </row>
    <row r="103" spans="18:29" x14ac:dyDescent="0.35">
      <c r="R103" s="123">
        <f>DATE(2026,12,14)+TIME(8,0,0)+gmt_delta</f>
        <v>46370.791666666672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Belgium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Belgium</v>
      </c>
    </row>
    <row r="107" spans="18:29" x14ac:dyDescent="0.35">
      <c r="R107" s="123">
        <f>DATE(2026,12,17)+TIME(8,0,0)+gmt_delta</f>
        <v>46373.791666666672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35">
      <c r="R111" s="123">
        <f>DATE(2026,12,18)+TIME(8,0,0)+gmt_delta</f>
        <v>46374.791666666672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Spain</v>
      </c>
      <c r="T111" s="127" t="str">
        <f>S111</f>
        <v>Spain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BK14:BK15"/>
    <mergeCell ref="BY16:BY17"/>
    <mergeCell ref="BK26:BK27"/>
    <mergeCell ref="BR28:BR29"/>
    <mergeCell ref="BK22:BK23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0:BK11"/>
    <mergeCell ref="BR12:BR13"/>
    <mergeCell ref="BK6:BO7"/>
    <mergeCell ref="BR6:BV7"/>
    <mergeCell ref="BY6:CC7"/>
    <mergeCell ref="CF6:CJ7"/>
    <mergeCell ref="A1:P1"/>
    <mergeCell ref="O3:P3"/>
    <mergeCell ref="A5:H6"/>
    <mergeCell ref="J5:P6"/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8" scale="55" orientation="landscape" r:id="rId4"/>
  <headerFoot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defaultColWidth="9.1796875" defaultRowHeight="14.5" x14ac:dyDescent="0.35"/>
  <cols>
    <col min="1" max="1" width="2.453125" style="82" customWidth="1"/>
    <col min="2" max="2" width="9.1796875" style="81"/>
    <col min="3" max="3" width="13.7265625" style="81" customWidth="1"/>
    <col min="4" max="11" width="9.453125" style="81" customWidth="1"/>
    <col min="12" max="16384" width="9.1796875" style="82"/>
  </cols>
  <sheetData>
    <row r="1" spans="2:11" ht="8.25" customHeight="1" x14ac:dyDescent="0.35"/>
    <row r="2" spans="2:11" ht="21" x14ac:dyDescent="0.35">
      <c r="B2" s="108" t="s">
        <v>3193</v>
      </c>
    </row>
    <row r="3" spans="2:11" x14ac:dyDescent="0.35">
      <c r="B3" s="109">
        <f>MATCH(C3,C6:C500,0)</f>
        <v>268</v>
      </c>
      <c r="C3" s="121" t="str">
        <f>'2026 World Cup'!AR91</f>
        <v>ACDEFIJL</v>
      </c>
      <c r="D3" s="121" t="str">
        <f>VLOOKUP($C3,$C$6:$K$500,2,FALSE)</f>
        <v>3C</v>
      </c>
      <c r="E3" s="121" t="str">
        <f>VLOOKUP($C3,$C$6:$K$500,3,FALSE)</f>
        <v>3J</v>
      </c>
      <c r="F3" s="121" t="str">
        <f>VLOOKUP($C3,$C$6:$K$500,4,FALSE)</f>
        <v>3E</v>
      </c>
      <c r="G3" s="121" t="str">
        <f>VLOOKUP($C3,$C$6:$K$500,5,FALSE)</f>
        <v>3D</v>
      </c>
      <c r="H3" s="121" t="str">
        <f>VLOOKUP($C3,$C$6:$K$500,6,FALSE)</f>
        <v>3A</v>
      </c>
      <c r="I3" s="121" t="str">
        <f>VLOOKUP($C3,$C$6:$K$500,7,FALSE)</f>
        <v>3F</v>
      </c>
      <c r="J3" s="121" t="str">
        <f>VLOOKUP($C3,$C$6:$K$500,8,FALSE)</f>
        <v>3L</v>
      </c>
      <c r="K3" s="122" t="str">
        <f>VLOOKUP($C3,$C$6:$K$500,9,FALSE)</f>
        <v>3I</v>
      </c>
    </row>
    <row r="5" spans="2:11" ht="19.5" customHeight="1" x14ac:dyDescent="0.35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35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35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35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35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35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35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35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35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35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35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35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35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35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35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35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35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35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35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35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35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35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35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35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35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35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35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35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35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35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35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35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35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35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35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35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35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35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35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35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35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35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35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35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35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35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35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35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35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35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35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35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35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35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35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35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35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35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35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35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35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35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35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35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35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35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35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35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35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35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35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35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35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35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35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35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35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35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35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35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35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35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35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35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35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35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35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35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35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35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35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35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35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35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35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35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35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35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35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35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35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35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35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35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35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35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35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35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35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35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35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35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35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35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35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35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35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35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35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35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35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35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35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35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35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35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35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35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35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35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35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35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35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35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35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35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35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35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35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35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35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35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35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35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35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35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35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35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35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35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35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35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35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35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35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35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35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35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35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35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35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35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35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35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35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35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35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35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35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35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35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35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35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35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35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35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35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35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35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35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35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35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35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35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35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35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35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35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35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35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35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35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35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35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35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35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35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35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35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35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35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35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35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35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35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35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35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35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35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35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35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35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35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35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35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35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35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35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35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35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35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35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35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35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35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35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35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35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35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35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35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35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35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35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35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35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35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35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35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35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35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35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35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35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35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35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35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35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35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35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35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35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35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35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35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35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35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35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35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35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35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35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35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35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35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35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35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35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35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35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35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35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35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35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35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35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35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35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35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35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35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35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35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35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35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35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35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35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35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35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35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35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35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35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35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35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35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35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35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35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35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35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35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35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35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35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35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35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35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35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35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35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35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35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35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35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35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35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35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35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35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35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35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35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35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35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35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35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35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35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35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35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35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35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35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35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35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35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35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35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35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35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35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35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35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35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35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35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35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35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35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35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35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35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35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35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35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35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35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35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35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35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35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35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35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35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35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35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35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35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35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35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35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35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35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35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35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35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35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35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35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35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35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35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35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35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35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35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35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35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35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35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35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35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35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35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35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35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35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35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35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35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35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35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35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35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35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35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35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35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35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35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35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35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35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35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35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35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35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35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35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35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35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35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35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35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35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35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35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35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35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35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35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35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35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35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35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35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35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35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35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35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35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35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35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35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35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35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35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35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35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35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35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35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35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35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35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35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35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35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35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35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35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35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35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35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35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35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35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35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35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35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35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35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35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35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35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35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35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35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35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35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35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35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35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35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35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35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35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35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35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35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35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35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35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35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463b6811-b0a4-4b2a-b932-72c4c970c5d2}" enabled="0" method="" siteId="{463b6811-b0a4-4b2a-b932-72c4c970c5d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Jacob Nyrup</cp:lastModifiedBy>
  <cp:revision/>
  <cp:lastPrinted>2026-06-10T09:43:17Z</cp:lastPrinted>
  <dcterms:created xsi:type="dcterms:W3CDTF">2017-12-27T19:32:51Z</dcterms:created>
  <dcterms:modified xsi:type="dcterms:W3CDTF">2026-06-11T16:34:44Z</dcterms:modified>
  <cp:category>Sports</cp:category>
  <cp:contentStatus/>
</cp:coreProperties>
</file>
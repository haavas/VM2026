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koll/Desktop/"/>
    </mc:Choice>
  </mc:AlternateContent>
  <xr:revisionPtr revIDLastSave="0" documentId="13_ncr:1_{6040FB43-9B6F-F447-BAED-189723BDC6B8}" xr6:coauthVersionLast="47" xr6:coauthVersionMax="47" xr10:uidLastSave="{00000000-0000-0000-0000-000000000000}"/>
  <bookViews>
    <workbookView xWindow="4820" yWindow="740" windowWidth="25180" windowHeight="1614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AA36" i="3" s="1"/>
  <c r="H77" i="3"/>
  <c r="E53" i="3"/>
  <c r="E29" i="3"/>
  <c r="AA29" i="3" s="1"/>
  <c r="H59" i="3"/>
  <c r="E34" i="3"/>
  <c r="E7" i="3"/>
  <c r="E60" i="3"/>
  <c r="AA60" i="3" s="1"/>
  <c r="H31" i="3"/>
  <c r="H7" i="3"/>
  <c r="H57" i="3"/>
  <c r="E33" i="3"/>
  <c r="AA33" i="3" s="1"/>
  <c r="E9" i="3"/>
  <c r="H60" i="3"/>
  <c r="H34" i="3"/>
  <c r="E8" i="3"/>
  <c r="H58" i="3"/>
  <c r="H33" i="3"/>
  <c r="E14" i="3"/>
  <c r="AA14" i="3" s="1"/>
  <c r="E57" i="3"/>
  <c r="AA57" i="3" s="1"/>
  <c r="E32" i="3"/>
  <c r="AA32" i="3" s="1"/>
  <c r="H14" i="3"/>
  <c r="H55" i="3"/>
  <c r="E13" i="3"/>
  <c r="AA13" i="3" s="1"/>
  <c r="E56" i="3"/>
  <c r="H13" i="3"/>
  <c r="H56" i="3"/>
  <c r="E11" i="3"/>
  <c r="AA11" i="3" s="1"/>
  <c r="E55" i="3"/>
  <c r="AA55" i="3" s="1"/>
  <c r="H11" i="3"/>
  <c r="H65" i="3"/>
  <c r="E37" i="3"/>
  <c r="AA37" i="3" s="1"/>
  <c r="E10" i="3"/>
  <c r="E66" i="3"/>
  <c r="H38" i="3"/>
  <c r="H10" i="3"/>
  <c r="H66" i="3"/>
  <c r="H37" i="3"/>
  <c r="E65" i="3"/>
  <c r="AA65" i="3" s="1"/>
  <c r="E38" i="3"/>
  <c r="H62" i="3"/>
  <c r="E39" i="3"/>
  <c r="E16" i="3"/>
  <c r="AA16" i="3" s="1"/>
  <c r="E61" i="3"/>
  <c r="AA61" i="3" s="1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AA18" i="3" s="1"/>
  <c r="E64" i="3"/>
  <c r="E42" i="3"/>
  <c r="H18" i="3"/>
  <c r="H70" i="3"/>
  <c r="E45" i="3"/>
  <c r="H69" i="3"/>
  <c r="H45" i="3"/>
  <c r="E21" i="3"/>
  <c r="AA21" i="3" s="1"/>
  <c r="E70" i="3"/>
  <c r="E46" i="3"/>
  <c r="H21" i="3"/>
  <c r="H72" i="3"/>
  <c r="E44" i="3"/>
  <c r="E20" i="3"/>
  <c r="AA20" i="3" s="1"/>
  <c r="H71" i="3"/>
  <c r="H44" i="3"/>
  <c r="E19" i="3"/>
  <c r="E72" i="3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AA25" i="3" s="1"/>
  <c r="E75" i="3"/>
  <c r="H50" i="3"/>
  <c r="H25" i="3"/>
  <c r="H75" i="3"/>
  <c r="H49" i="3"/>
  <c r="E26" i="3"/>
  <c r="AA26" i="3" s="1"/>
  <c r="E76" i="3"/>
  <c r="AA76" i="3" s="1"/>
  <c r="E50" i="3"/>
  <c r="AA50" i="3" s="1"/>
  <c r="H26" i="3"/>
  <c r="E78" i="3"/>
  <c r="H54" i="3"/>
  <c r="H29" i="3"/>
  <c r="H78" i="3"/>
  <c r="H53" i="3"/>
  <c r="E30" i="3"/>
  <c r="AA30" i="3" s="1"/>
  <c r="E77" i="3"/>
  <c r="AA77" i="3" s="1"/>
  <c r="E54" i="3"/>
  <c r="H30" i="3"/>
  <c r="H73" i="3"/>
  <c r="E51" i="3"/>
  <c r="AA51" i="3" s="1"/>
  <c r="E28" i="3"/>
  <c r="E74" i="3"/>
  <c r="AA74" i="3" s="1"/>
  <c r="H52" i="3"/>
  <c r="H28" i="3"/>
  <c r="H74" i="3"/>
  <c r="H51" i="3"/>
  <c r="E27" i="3"/>
  <c r="E73" i="3"/>
  <c r="AA73" i="3" s="1"/>
  <c r="E52" i="3"/>
  <c r="H27" i="3"/>
  <c r="E71" i="3"/>
  <c r="AA71" i="3" s="1"/>
  <c r="H43" i="3"/>
  <c r="H20" i="3"/>
  <c r="E59" i="3"/>
  <c r="E31" i="3"/>
  <c r="E58" i="3"/>
  <c r="AA58" i="3" s="1"/>
  <c r="H32" i="3"/>
  <c r="E69" i="3"/>
  <c r="AA69" i="3" s="1"/>
  <c r="H46" i="3"/>
  <c r="H68" i="3"/>
  <c r="H48" i="3"/>
  <c r="E24" i="3"/>
  <c r="E12" i="3"/>
  <c r="H8" i="3"/>
  <c r="H22" i="3"/>
  <c r="H12" i="3"/>
  <c r="E22" i="3"/>
  <c r="AA22" i="3" s="1"/>
  <c r="H9" i="3"/>
  <c r="D7" i="3"/>
  <c r="AA9" i="3" l="1"/>
  <c r="AA53" i="3"/>
  <c r="AA68" i="3"/>
  <c r="AA52" i="3"/>
  <c r="AA28" i="3"/>
  <c r="AA44" i="3"/>
  <c r="AA45" i="3"/>
  <c r="AA62" i="3"/>
  <c r="AA39" i="3"/>
  <c r="AA66" i="3"/>
  <c r="AA40" i="3"/>
  <c r="AA10" i="3"/>
  <c r="AA12" i="3"/>
  <c r="AA27" i="3"/>
  <c r="AA15" i="3"/>
  <c r="AA56" i="3"/>
  <c r="AA31" i="3"/>
  <c r="AA43" i="3"/>
  <c r="AA8" i="3"/>
  <c r="AA24" i="3"/>
  <c r="AA59" i="3"/>
  <c r="AA78" i="3"/>
  <c r="AA72" i="3"/>
  <c r="AA46" i="3"/>
  <c r="AA42" i="3"/>
  <c r="AA17" i="3"/>
  <c r="AA7" i="3"/>
  <c r="AA63" i="3"/>
  <c r="AA38" i="3"/>
  <c r="AA54" i="3"/>
  <c r="AA75" i="3"/>
  <c r="AA19" i="3"/>
  <c r="AA70" i="3"/>
  <c r="AA64" i="3"/>
  <c r="AA41" i="3"/>
  <c r="AA34" i="3"/>
  <c r="AA35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T44" i="3"/>
  <c r="T46" i="3"/>
  <c r="S70" i="3"/>
  <c r="S42" i="3"/>
  <c r="S64" i="3"/>
  <c r="S40" i="3"/>
  <c r="S62" i="3"/>
  <c r="T61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P41" i="3" s="1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BZ17" i="3" l="1"/>
  <c r="U102" i="3" s="1"/>
  <c r="AC102" i="3" s="1" a="1"/>
  <c r="AC102" i="3" s="1"/>
  <c r="S96" i="3"/>
  <c r="T96" i="3" s="1" a="1"/>
  <c r="T96" i="3" s="1"/>
  <c r="S97" i="3"/>
  <c r="T97" i="3" s="1" a="1"/>
  <c r="T97" i="3" s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S90" i="3" l="1"/>
  <c r="T90" i="3" s="1" a="1"/>
  <c r="T90" i="3" s="1"/>
  <c r="BS36" i="3"/>
  <c r="K89" i="3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BS52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69" i="3"/>
  <c r="BZ65" i="3" s="1"/>
  <c r="CG56" i="3" s="1"/>
  <c r="CN49" i="3" s="1"/>
  <c r="BS68" i="3"/>
  <c r="BZ49" i="3" l="1"/>
  <c r="CG55" i="3" s="1"/>
  <c r="CN38" i="3" s="1"/>
  <c r="CK68" i="3" s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<sst xmlns="http://schemas.openxmlformats.org/spreadsheetml/2006/main" count="9786" uniqueCount="3698">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</sst>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M46" zoomScaleNormal="100" workbookViewId="0">
      <selection activeCell="CT28" sqref="CT28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3</v>
      </c>
      <c r="AN8" s="123">
        <f>AF8*3+AG8</f>
        <v>5</v>
      </c>
      <c r="AO8" s="123">
        <f>AN8/AN12*10+BA8</f>
        <v>9.3139158576051777</v>
      </c>
      <c r="AP8" s="123">
        <f>AO8*10000000+BI8*100+AM8/AM12*10+AI8/AI12*1++IF(AQ8=0,ROW(),AQ8)/2000000</f>
        <v>93139264.801811382</v>
      </c>
      <c r="AQ8" s="126">
        <f>VLOOKUP(AE8,db_fifarank,2,FALSE)</f>
        <v>1681.03</v>
      </c>
      <c r="AR8" s="125">
        <f>AP8/AP12</f>
        <v>0.99999998747445062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5 - 4</v>
      </c>
      <c r="P9" s="32">
        <f>L9*3+M9</f>
        <v>5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1.6666666666666665</v>
      </c>
      <c r="AP9" s="123">
        <f>AO9*10000000+BI9*100+AM9/AM12*10+AI9/AI12*1++IF(AQ9=0,ROW(),AQ9)/2000000</f>
        <v>16666667.167381531</v>
      </c>
      <c r="AQ9" s="126">
        <f>VLOOKUP(AE9,db_fifarank,2,FALSE)</f>
        <v>1429.73</v>
      </c>
      <c r="AR9" s="125">
        <f>AP9/AP12</f>
        <v>0.17894350995884425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3</v>
      </c>
      <c r="AN10" s="123">
        <f>AF10*3+AG10</f>
        <v>5</v>
      </c>
      <c r="AO10" s="123">
        <f>AN10/AN12*10+BA10</f>
        <v>9.3139158576051777</v>
      </c>
      <c r="AP10" s="123">
        <f>AO10*10000000+BI10*100+AM10/AM12*10+AI10/AI12*1++IF(AQ10=0,ROW(),AQ10)/2000000</f>
        <v>93139264.96843186</v>
      </c>
      <c r="AQ10" s="126">
        <f>VLOOKUP(AE10,db_fifarank,2,FALSE)</f>
        <v>1588.66</v>
      </c>
      <c r="AR10" s="125">
        <f>AP10/AP12</f>
        <v>0.99999998926338973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2 - 2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2</v>
      </c>
      <c r="AN11" s="123">
        <f>AF11*3+AG11</f>
        <v>3</v>
      </c>
      <c r="AO11" s="123">
        <f>AN11/AN12*10+BA11</f>
        <v>5</v>
      </c>
      <c r="AP11" s="123">
        <f>AO11*10000000+BI11*100+AM11/AM12*10+AI11/AI12*1++IF(AQ11=0,ROW(),AQ11)/2000000</f>
        <v>50000005.334084027</v>
      </c>
      <c r="AQ11" s="126">
        <f>VLOOKUP(AE11,db_fifarank,2,FALSE)</f>
        <v>1501.38</v>
      </c>
      <c r="AR11" s="125">
        <f>AP11/AP12</f>
        <v>0.53683057101857312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2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4</v>
      </c>
      <c r="AN12" s="123">
        <f>MAX(AN8:AN11)+1</f>
        <v>6</v>
      </c>
      <c r="AO12" s="123">
        <f>MAX(AO8:AO11)+1</f>
        <v>10.313915857605178</v>
      </c>
      <c r="AP12" s="123">
        <f>MAX(AP8:AP11)+1</f>
        <v>93139265.96843186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4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9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60000006.125778243</v>
      </c>
      <c r="AQ14" s="126">
        <f>VLOOKUP(AE14,db_fifarank,2,FALSE)</f>
        <v>1556.48</v>
      </c>
      <c r="AR14" s="125">
        <f>AP14/AP18</f>
        <v>0.6666666512062438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9 - 1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4</v>
      </c>
      <c r="AN15" s="123">
        <f>AF15*3+AG15</f>
        <v>1</v>
      </c>
      <c r="AO15" s="123">
        <f>AN15/AN18*10+BA15</f>
        <v>1.9803921568627452</v>
      </c>
      <c r="AP15" s="123">
        <f>AO15*10000000+BI15*100+AM15/AM18*10+AI15/AI18*1++IF(AQ15=0,ROW(),AQ15)/2000000</f>
        <v>19804022.308536056</v>
      </c>
      <c r="AQ15" s="126">
        <f>VLOOKUP(AE15,db_fifarank,2,FALSE)</f>
        <v>1385.84</v>
      </c>
      <c r="AR15" s="125">
        <f>AP15/AP18</f>
        <v>0.2200446647483443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4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19804019.608570617</v>
      </c>
      <c r="AQ16" s="126">
        <f>VLOOKUP(AE16,db_fifarank,2,FALSE)</f>
        <v>1454.96</v>
      </c>
      <c r="AR16" s="125">
        <f>AP16/AP18</f>
        <v>0.22004463474873207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9</v>
      </c>
      <c r="AJ17" s="123">
        <f>SUMIF($E$7:$E$78,$AE17,$G$7:$G$78) + SUMIF($H$7:$H$78,$AE17,$F$7:$F$78)</f>
        <v>1</v>
      </c>
      <c r="AL17" s="123">
        <f>AI17-AJ17</f>
        <v>8</v>
      </c>
      <c r="AM17" s="123">
        <f>AL17-AL18</f>
        <v>15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90000010.275824711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0 - 7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10</v>
      </c>
      <c r="AL18" s="123">
        <f>MIN(AL14:AL17)</f>
        <v>-7</v>
      </c>
      <c r="AM18" s="123">
        <f>MAX(AM14:AM17)+1</f>
        <v>16</v>
      </c>
      <c r="AN18" s="123">
        <f>MAX(AN14:AN17)+1</f>
        <v>10</v>
      </c>
      <c r="AO18" s="123">
        <f>MAX(AO14:AO17)+1</f>
        <v>10</v>
      </c>
      <c r="AP18" s="123">
        <f>MAX(AP14:AP17)+1</f>
        <v>90000011.275824711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41">
        <v>73</v>
      </c>
      <c r="BL18" s="24" t="str">
        <f>AS9</f>
        <v>Mexico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90000010.354415938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10</v>
      </c>
      <c r="AN21" s="123">
        <f>AF21*3+AG21</f>
        <v>4</v>
      </c>
      <c r="AO21" s="123">
        <f>AN21/AN24*10+BA21</f>
        <v>4.9803921568627452</v>
      </c>
      <c r="AP21" s="123">
        <f>AO21*10000000+BI21*100+AM21/AM24*10+AI21/AI24*1++IF(AQ21=0,ROW(),AQ21)/2000000</f>
        <v>49804025.527912989</v>
      </c>
      <c r="AQ21" s="126">
        <f>VLOOKUP(AE21,db_fifarank,2,FALSE)</f>
        <v>1755.87</v>
      </c>
      <c r="AR21" s="125">
        <f>AP21/AP24</f>
        <v>0.55337799160698997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</v>
      </c>
      <c r="BA21" s="126">
        <f>AZ21/AZ24</f>
        <v>0.98039215686274506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</v>
      </c>
      <c r="BI21" s="126">
        <f>BH21/BH24</f>
        <v>0.98039215686274506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7.1761657613203234E-12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3 - 3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9</v>
      </c>
      <c r="AN23" s="123">
        <f>AF23*3+AG23</f>
        <v>4</v>
      </c>
      <c r="AO23" s="123">
        <f>AN23/AN24*10+BA23</f>
        <v>4.9803921568627452</v>
      </c>
      <c r="AP23" s="123">
        <f>AO23*10000000+BI23*100+AM23/AM24*10+AI23/AI24*1++IF(AQ23=0,ROW(),AQ23)/2000000</f>
        <v>49804024.88131959</v>
      </c>
      <c r="AQ23" s="126">
        <f>VLOOKUP(AE23,db_fifarank,2,FALSE)</f>
        <v>1498.35</v>
      </c>
      <c r="AR23" s="125">
        <f>AP23/AP24</f>
        <v>0.55337798442261987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</v>
      </c>
      <c r="BA23" s="126">
        <f>AZ23/AZ24</f>
        <v>0.98039215686274506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</v>
      </c>
      <c r="BI23" s="126">
        <f>BH23/BH24</f>
        <v>0.98039215686274506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6</v>
      </c>
      <c r="CK23" s="112">
        <f>IF(OR(CH23="",CH24="",AND(CI23="",CI24&lt;&gt;""),AND(CI24="",CI23&lt;&gt;""),AND(CJ23="",CJ24&lt;&gt;""),AND(CJ24="",CJ23&lt;&gt;"")),"",CH23*1000+CI23*10+CJ23)</f>
        <v>2026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-9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90000011.354415938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51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51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2</v>
      </c>
      <c r="CJ24" s="27">
        <v>5</v>
      </c>
      <c r="CK24" s="113">
        <f>IF(CK23="","",CH24*1000+CI24*10+CJ24)</f>
        <v>2025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5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6</v>
      </c>
      <c r="AN26" s="123">
        <f>AF26*3+AG26</f>
        <v>6</v>
      </c>
      <c r="AO26" s="123">
        <f>AN26/AN30*10+BA26</f>
        <v>8.5714285714285712</v>
      </c>
      <c r="AP26" s="123">
        <f>AO26*10000000+BI26*100+AM26/AM30*10+AI26/AI30*1++IF(AQ26=0,ROW(),AQ26)/2000000</f>
        <v>85714295.000836566</v>
      </c>
      <c r="AQ26" s="126">
        <f>VLOOKUP(AE26,db_fifarank,2,FALSE)</f>
        <v>1673.13</v>
      </c>
      <c r="AR26" s="125">
        <f>AP26/AP30</f>
        <v>0.9999999883333347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5 - 2</v>
      </c>
      <c r="P27" s="32">
        <f>L27*3+M27</f>
        <v>6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2</v>
      </c>
      <c r="W27" s="123">
        <f t="shared" si="4"/>
        <v>2</v>
      </c>
      <c r="X27" s="123">
        <f t="shared" si="9"/>
        <v>1</v>
      </c>
      <c r="Y27" s="123">
        <f t="shared" si="10"/>
        <v>2</v>
      </c>
      <c r="Z27" s="123">
        <f t="shared" si="11"/>
        <v>2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2</v>
      </c>
      <c r="AN27" s="123">
        <f>AF27*3+AG27</f>
        <v>4</v>
      </c>
      <c r="AO27" s="123">
        <f>AN27/AN30*10+BA27</f>
        <v>5.7142857142857135</v>
      </c>
      <c r="AP27" s="123">
        <f>AO27*10000000+BI27*100+AM27/AM30*10+AI27/AI30*1++IF(AQ27=0,ROW(),AQ27)/2000000</f>
        <v>57142860.429323167</v>
      </c>
      <c r="AQ27" s="126">
        <f>VLOOKUP(AE27,db_fifarank,2,FALSE)</f>
        <v>1503.5</v>
      </c>
      <c r="AR27" s="125">
        <f>AP27/AP30</f>
        <v>0.6666666250022687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3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6 - 5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1.4285714285714284</v>
      </c>
      <c r="AP28" s="123">
        <f>AO28*10000000+BI28*100+AM28/AM30*10+AI28/AI30*1++IF(AQ28=0,ROW(),AQ28)/2000000</f>
        <v>14285714.572218904</v>
      </c>
      <c r="AQ28" s="126">
        <f>VLOOKUP(AE28,db_fifarank,2,FALSE)</f>
        <v>1580.67</v>
      </c>
      <c r="AR28" s="125">
        <f>AP28/AP30</f>
        <v>0.1666666500075959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5</v>
      </c>
      <c r="AL29" s="123">
        <f>AI29-AJ29</f>
        <v>1</v>
      </c>
      <c r="AM29" s="123">
        <f>AL29-AL30</f>
        <v>4</v>
      </c>
      <c r="AN29" s="123">
        <f>AF29*3+AG29</f>
        <v>5</v>
      </c>
      <c r="AO29" s="123">
        <f>AN29/AN30*10+BA29</f>
        <v>7.1428571428571432</v>
      </c>
      <c r="AP29" s="123">
        <f>AO29*10000000+BI29*100+AM29/AM30*10+AI29/AI30*1++IF(AQ29=0,ROW(),AQ29)/2000000</f>
        <v>71428578.000799522</v>
      </c>
      <c r="AQ29" s="126">
        <f>VLOOKUP(AE29,db_fifarank,2,FALSE)</f>
        <v>1599.04</v>
      </c>
      <c r="AR29" s="125">
        <f>AP29/AP30</f>
        <v>0.83333331000119726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7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85714296.000836566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11</v>
      </c>
      <c r="AJ32" s="123">
        <f>SUMIF($E$7:$E$78,$AE32,$G$7:$G$78) + SUMIF($H$7:$H$78,$AE32,$F$7:$F$78)</f>
        <v>2</v>
      </c>
      <c r="AL32" s="123">
        <f>AI32-AJ32</f>
        <v>9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90000010.441341385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11 - 2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7.1924990856462505E-12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Ivory Coast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8 - 5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6</v>
      </c>
      <c r="AL34" s="123">
        <f>AI34-AJ34</f>
        <v>-1</v>
      </c>
      <c r="AM34" s="123">
        <f>AL34-AL36</f>
        <v>10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30000005.179337919</v>
      </c>
      <c r="AQ34" s="126">
        <f>VLOOKUP(AE34,db_fifarank,2,FALSE)</f>
        <v>1532.98</v>
      </c>
      <c r="AR34" s="125">
        <f>AP34/AP36</f>
        <v>0.33333334850619206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5 - 6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8</v>
      </c>
      <c r="AJ35" s="123">
        <f>SUMIF($E$7:$E$78,$AE35,$G$7:$G$78) + SUMIF($H$7:$H$78,$AE35,$F$7:$F$78)</f>
        <v>5</v>
      </c>
      <c r="AL35" s="123">
        <f>AI35-AJ35</f>
        <v>3</v>
      </c>
      <c r="AM35" s="123">
        <f>AL35-AL36</f>
        <v>14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60000007.334130719</v>
      </c>
      <c r="AQ35" s="126">
        <f>VLOOKUP(AE35,db_fifarank,2,FALSE)</f>
        <v>1594.78</v>
      </c>
      <c r="AR35" s="125">
        <f>AP35/AP36</f>
        <v>0.66666666340633152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Ivory Coast</v>
      </c>
      <c r="BM35" s="62">
        <v>2</v>
      </c>
      <c r="BN35" s="64"/>
      <c r="BO35" s="27"/>
      <c r="BP35" s="113">
        <f>IF(BP34="","",BM35*1000+BN35*10+BO35)</f>
        <v>2000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0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0</v>
      </c>
      <c r="W36" s="123">
        <f t="shared" si="4"/>
        <v>0</v>
      </c>
      <c r="X36" s="123">
        <f t="shared" si="9"/>
        <v>1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12</v>
      </c>
      <c r="AL36" s="123">
        <f>MIN(AL32:AL35)</f>
        <v>-11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90000011.441341385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Ivory Coast</v>
      </c>
      <c r="BT36" s="61">
        <v>1</v>
      </c>
      <c r="BU36" s="63">
        <v>1</v>
      </c>
      <c r="BV36" s="25">
        <v>6</v>
      </c>
      <c r="BW36" s="116">
        <f>IF(OR(BT36="",BT37="",AND(BU36="",BU37&lt;&gt;""),AND(BU37="",BU36&lt;&gt;""),AND(BV36="",BV37&lt;&gt;""),AND(BV37="",BV36&lt;&gt;"")),"",BT36*1000+BU36*10+BV36)</f>
        <v>1016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>
        <v>1</v>
      </c>
      <c r="BV37" s="27">
        <v>5</v>
      </c>
      <c r="BW37" s="112">
        <f>IF(BW36="","",BT37*1000+BU37*10+BV37)</f>
        <v>1015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10</v>
      </c>
      <c r="AJ38" s="123">
        <f>SUMIF($E$7:$E$78,$AE38,$G$7:$G$78) + SUMIF($H$7:$H$78,$AE38,$F$7:$F$78)</f>
        <v>3</v>
      </c>
      <c r="AL38" s="123">
        <f>AI38-AJ38</f>
        <v>7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90000010.076636508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10 - 3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3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40000002.682648398</v>
      </c>
      <c r="AQ39" s="126">
        <f>VLOOKUP(AE39,db_fifarank,2,FALSE)</f>
        <v>1660.43</v>
      </c>
      <c r="AR39" s="125">
        <f>AP39/AP42</f>
        <v>0.44444441955221237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4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2 - 3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7</v>
      </c>
      <c r="AL40" s="123">
        <f>AI40-AJ40</f>
        <v>-4</v>
      </c>
      <c r="AM40" s="123">
        <f>AL40-AL42</f>
        <v>0</v>
      </c>
      <c r="AN40" s="123">
        <f>AF40*3+AG40</f>
        <v>1</v>
      </c>
      <c r="AO40" s="123">
        <f>AN40/AN42*10+BA40</f>
        <v>1</v>
      </c>
      <c r="AP40" s="123">
        <f>AO40*10000000+BI40*100+AM40/AM42*10+AI40/AI42*1++IF(AQ40=0,ROW(),AQ40)/2000000</f>
        <v>10000000.273484658</v>
      </c>
      <c r="AQ40" s="126">
        <f>VLOOKUP(AE40,db_fifarank,2,FALSE)</f>
        <v>1514.77</v>
      </c>
      <c r="AR40" s="125">
        <f>AP40/AP42</f>
        <v>0.11111110047497096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4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2</v>
      </c>
      <c r="AN41" s="123">
        <f>AF41*3+AG41</f>
        <v>2</v>
      </c>
      <c r="AO41" s="123">
        <f>AN41/AN42*10+BA41</f>
        <v>2</v>
      </c>
      <c r="AP41" s="123">
        <f>AO41*10000000+BI41*100+AM41/AM42*10+AI41/AI42*1++IF(AQ41=0,ROW(),AQ41)/2000000</f>
        <v>20000001.940135468</v>
      </c>
      <c r="AQ41" s="126">
        <f>VLOOKUP(AE41,db_fifarank,2,FALSE)</f>
        <v>1483.05</v>
      </c>
      <c r="AR41" s="125">
        <f>AP41/AP42</f>
        <v>0.22222221642956391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11</v>
      </c>
      <c r="AL42" s="123">
        <f>MIN(AL38:AL41)</f>
        <v>-4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90000011.076636508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3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90000009.889756247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60000006.55633717</v>
      </c>
      <c r="AQ45" s="126">
        <f>VLOOKUP(AE45,db_fifarank,2,FALSE)</f>
        <v>1563.24</v>
      </c>
      <c r="AR45" s="125">
        <f>AP45/AP48</f>
        <v>0.66666665884999732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6</v>
      </c>
      <c r="AL46" s="123">
        <f>AI46-AJ46</f>
        <v>-4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0.2230298722222222</v>
      </c>
      <c r="AQ46" s="126">
        <f>VLOOKUP(AE46,db_fifarank,2,FALSE)</f>
        <v>1615.3</v>
      </c>
      <c r="AR46" s="125">
        <f>AP46/AP48</f>
        <v>2.4781093915134996E-9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1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30000001.222863007</v>
      </c>
      <c r="AQ47" s="126">
        <f>VLOOKUP(AE47,db_fifarank,2,FALSE)</f>
        <v>1281.57</v>
      </c>
      <c r="AR47" s="125">
        <f>AP47/AP48</f>
        <v>0.33333330658827276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9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90000010.889756247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4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2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90000010.195743397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2</v>
      </c>
      <c r="BN50" s="63">
        <v>2</v>
      </c>
      <c r="BO50" s="25"/>
      <c r="BP50" s="112">
        <f>IF(OR(BM50="",BM51="",AND(BN50="",BN51&lt;&gt;""),AND(BN51="",BN50&lt;&gt;""),AND(BO50="",BO51&lt;&gt;""),AND(BO51="",BO50&lt;&gt;"")),"",BM50*1000+BN50*10+BO50)</f>
        <v>2020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8</v>
      </c>
      <c r="AL51" s="123">
        <f>AI51-AJ51</f>
        <v>-5</v>
      </c>
      <c r="AM51" s="123">
        <f>AL51-AL54</f>
        <v>0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30000000.273410339</v>
      </c>
      <c r="AQ51" s="126">
        <f>VLOOKUP(AE51,db_fifarank,2,FALSE)</f>
        <v>1366.13</v>
      </c>
      <c r="AR51" s="125">
        <f>AP51/AP54</f>
        <v>0.3333332949055145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Cape Verde</v>
      </c>
      <c r="BM51" s="62">
        <v>2</v>
      </c>
      <c r="BN51" s="64">
        <v>3</v>
      </c>
      <c r="BO51" s="27"/>
      <c r="BP51" s="113">
        <f>IF(BP50="","",BM51*1000+BN51*10+BO51)</f>
        <v>2030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8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0.27343798772727268</v>
      </c>
      <c r="AQ52" s="126">
        <f>VLOOKUP(AE52,db_fifarank,2,FALSE)</f>
        <v>1421.43</v>
      </c>
      <c r="AR52" s="125">
        <f>AP52/AP54</f>
        <v>3.0381994856930096E-9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Cape Verde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3 - 8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60000005.546291083</v>
      </c>
      <c r="AQ53" s="126">
        <f>VLOOKUP(AE53,db_fifarank,2,FALSE)</f>
        <v>1673.07</v>
      </c>
      <c r="AR53" s="125">
        <f>AP53/AP54</f>
        <v>0.6666666453606932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3 - 8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90000011.195743397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90000010.234271988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6</v>
      </c>
      <c r="AL57" s="123">
        <f>AI57-AJ57</f>
        <v>-1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30000005.167511161</v>
      </c>
      <c r="AQ57" s="126">
        <f>VLOOKUP(AE57,db_fifarank,2,FALSE)</f>
        <v>1688.99</v>
      </c>
      <c r="AR57" s="125">
        <f>AP57/AP60</f>
        <v>0.33333334914170726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10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2.2302616104959387E-9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11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60000007.934108809</v>
      </c>
      <c r="AQ59" s="126">
        <f>VLOOKUP(AE59,db_fifarank,2,FALSE)</f>
        <v>1550.94</v>
      </c>
      <c r="AR59" s="125">
        <f>AP59/AP60</f>
        <v>0.66666667160660109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3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2 - 10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-8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90000011.234271988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0</v>
      </c>
      <c r="AL62" s="123">
        <f>AI62-AJ62</f>
        <v>11</v>
      </c>
      <c r="AM62" s="123">
        <f>AL62-AL66</f>
        <v>17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90000010.362048537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7</v>
      </c>
      <c r="AL63" s="123">
        <f>AI63-AJ63</f>
        <v>-6</v>
      </c>
      <c r="AM63" s="123">
        <f>AL63-AL66</f>
        <v>0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30000000.084115461</v>
      </c>
      <c r="AQ63" s="126">
        <f>VLOOKUP(AE63,db_fifarank,2,FALSE)</f>
        <v>1564.26</v>
      </c>
      <c r="AR63" s="125">
        <f>AP63/AP66</f>
        <v>0.33333329218629348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60000004.223018952</v>
      </c>
      <c r="AQ64" s="126">
        <f>VLOOKUP(AE64,db_fifarank,2,FALSE)</f>
        <v>1593.45</v>
      </c>
      <c r="AR64" s="125">
        <f>AP64/AP66</f>
        <v>0.6666666294257817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2030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1 - 7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7.7302768018691085E-12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/>
      <c r="CD65" s="112">
        <f>IF(CD64="","",CA65*1000+CB65*10+CC65)</f>
        <v>2020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12</v>
      </c>
      <c r="AL66" s="123">
        <f>MIN(AL62:AL65)</f>
        <v>-6</v>
      </c>
      <c r="AM66" s="123">
        <f>MAX(AM62:AM65)+1</f>
        <v>18</v>
      </c>
      <c r="AN66" s="123">
        <f>MAX(AN62:AN65)+1</f>
        <v>10</v>
      </c>
      <c r="AO66" s="123">
        <f>MAX(AO62:AO65)+1</f>
        <v>10</v>
      </c>
      <c r="AP66" s="123">
        <f>MAX(AP62:AP65)+1</f>
        <v>90000011.362048537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3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3000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90000010.223104134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5</v>
      </c>
      <c r="AL69" s="123">
        <f>AI69-AJ69</f>
        <v>-2</v>
      </c>
      <c r="AM69" s="123">
        <f>AL69-AL72</f>
        <v>6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30000004.334072508</v>
      </c>
      <c r="AQ69" s="126">
        <f>VLOOKUP(AE69,db_fifarank,2,FALSE)</f>
        <v>1478.35</v>
      </c>
      <c r="AR69" s="125">
        <f>AP69/AP72</f>
        <v>0.33333333992264136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8</v>
      </c>
      <c r="AL70" s="123">
        <f>AI70-AJ70</f>
        <v>-8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8.1407767626134959E-12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2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12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60000008.667513207</v>
      </c>
      <c r="AQ71" s="126">
        <f>VLOOKUP(AE71,db_fifarank,2,FALSE)</f>
        <v>1693.09</v>
      </c>
      <c r="AR71" s="125">
        <f>AP71/AP72</f>
        <v>0.66666667983826267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Senegal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0 - 8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-8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3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3</v>
      </c>
      <c r="AL74" s="123">
        <f>AI74-AJ74</f>
        <v>5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90000009.77869077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6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60000005.223080762</v>
      </c>
      <c r="AQ75" s="126">
        <f>VLOOKUP(AE75,db_fifarank,2,FALSE)</f>
        <v>1717.07</v>
      </c>
      <c r="AR75" s="125">
        <f>AP75/AP78</f>
        <v>0.66666664485874616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7 - 6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7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1.9806451612903224</v>
      </c>
      <c r="AP76" s="123">
        <f>AO76*10000000+BI76*100+AM76/AM78*10+AI76/AI78*1++IF(AQ76=0,ROW(),AQ76)/2000000</f>
        <v>19806550.122536954</v>
      </c>
      <c r="AQ76" s="126">
        <f>VLOOKUP(AE76,db_fifarank,2,FALSE)</f>
        <v>1346.31</v>
      </c>
      <c r="AR76" s="125">
        <f>AP76/AP78</f>
        <v>0.2200727527826756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4 - 7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7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1.9806451612903224</v>
      </c>
      <c r="AP77" s="123">
        <f>AO77*10000000+BI77*100+AM77/AM78*10+AI77/AI78*1++IF(AQ77=0,ROW(),AQ77)/2000000</f>
        <v>19806550.122634117</v>
      </c>
      <c r="AQ77" s="126">
        <f>VLOOKUP(AE77,db_fifarank,2,FALSE)</f>
        <v>1540.64</v>
      </c>
      <c r="AR77" s="125">
        <f>AP77/AP78</f>
        <v>0.22007275278375518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2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50.666666666666664</v>
      </c>
      <c r="BA77" s="126">
        <f>AZ77/AZ78</f>
        <v>0.98064516129032253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2</v>
      </c>
      <c r="BE77" s="126" cm="1">
        <f t="array" ref="BE77">SUMPRODUCT(($E$7:$E$78=AE77)*($X$7:$X$78)*($G$7:$G$78))+SUMPRODUCT(($H$7:$H$78=AE77)*($X$7:$X$78)*($F$7:$F$78))</f>
        <v>2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50.666666666666664</v>
      </c>
      <c r="BI77" s="126">
        <f>BH77/BH78</f>
        <v>0.98064516129032253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4 - 7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-3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90000010.77869077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6</v>
      </c>
      <c r="AN80" s="123">
        <f>VLOOKUP($AE80,$AE$8:$AQ$78,10,FALSE)</f>
        <v>3</v>
      </c>
      <c r="AP80" s="123">
        <f>AN80/AN92*10000+AM80/AM92*1000+AI80/AI92*100+IF(AQ80=0,ROW(),AQ80)/2000000</f>
        <v>6890.47694116619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12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2461.9054548247618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8907.1436063178571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2 - 2</v>
      </c>
      <c r="P83" s="101">
        <f t="shared" si="48"/>
        <v>3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4</v>
      </c>
      <c r="AP83" s="123">
        <f>AN83/AN92*10000+AM83/AM92*1000+AI83/AI92*100+IF(AQ83=0,ROW(),AQ83)/2000000</f>
        <v>8764.2864660357136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5 - 6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6</v>
      </c>
      <c r="AK84" s="123" t="s">
        <v>3185</v>
      </c>
      <c r="AL84" s="123">
        <f t="shared" si="43"/>
        <v>-1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6797.6198141090481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4621.4293129535718</v>
      </c>
      <c r="AQ85" s="126">
        <f t="shared" si="37"/>
        <v>1483.05</v>
      </c>
      <c r="AR85" s="125" t="str">
        <f t="shared" si="50"/>
        <v>ACDE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Ⓚ DR Congo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7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6461.9054026897611</v>
      </c>
      <c r="AQ86" s="126">
        <f t="shared" si="37"/>
        <v>1281.57</v>
      </c>
      <c r="AR86" s="125" t="str">
        <f t="shared" si="50"/>
        <v>ACDEG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Ⓖ New Zealand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8</v>
      </c>
      <c r="AK87" s="123" t="s">
        <v>3188</v>
      </c>
      <c r="AL87" s="123">
        <f t="shared" si="43"/>
        <v>-5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6192.8578259221431</v>
      </c>
      <c r="AQ87" s="126">
        <f t="shared" si="37"/>
        <v>1366.13</v>
      </c>
      <c r="AR87" s="125" t="str">
        <f t="shared" si="50"/>
        <v>ACDEGH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Cape Verde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3 - 8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6797.6198921140476</v>
      </c>
      <c r="AQ88" s="126">
        <f t="shared" si="37"/>
        <v>1688.99</v>
      </c>
      <c r="AR88" s="125" t="str">
        <f t="shared" si="50"/>
        <v>ACDEGHI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1 - 7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7</v>
      </c>
      <c r="AK89" s="123" t="s">
        <v>3190</v>
      </c>
      <c r="AL89" s="123">
        <f t="shared" si="43"/>
        <v>-6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6016.6674487966666</v>
      </c>
      <c r="AQ89" s="126">
        <f t="shared" si="37"/>
        <v>1564.26</v>
      </c>
      <c r="AR89" s="125" t="str">
        <f t="shared" si="50"/>
        <v>ACDEGHI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Tunisia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3 - 5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Ivory Coast</v>
      </c>
      <c r="T90" s="127" t="str" cm="1">
        <f t="array" ref="T90">IF(OR(S90="",S90="draw"),INDEX(T,92,lang),S90)</f>
        <v>Ivory Coast</v>
      </c>
      <c r="AD90" s="123">
        <f t="shared" si="38"/>
        <v>6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6621.4293106035711</v>
      </c>
      <c r="AQ90" s="126">
        <f t="shared" si="37"/>
        <v>1478.35</v>
      </c>
      <c r="AR90" s="125" t="str">
        <f t="shared" si="50"/>
        <v>ACDEGHIK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4 - 7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7</v>
      </c>
      <c r="AK91" s="123" t="s">
        <v>3192</v>
      </c>
      <c r="AL91" s="123">
        <f>VLOOKUP($AE91,$AE$8:$AQ$78,8,FALSE)</f>
        <v>-3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2495.2388655580949</v>
      </c>
      <c r="AQ91" s="126">
        <f t="shared" si="37"/>
        <v>1540.64</v>
      </c>
      <c r="AR91" s="125" t="str">
        <f t="shared" si="50"/>
        <v>ACDEGHIK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Ⓑ Bosnia and Herzegovina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Ivory Coast</v>
      </c>
      <c r="T98" s="127" t="str" cm="1">
        <f t="array" ref="T98">IF(OR(S98="",S98="draw"),INDEX(T,97,lang),S98)</f>
        <v>Ivory Coast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Ivory Coast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Ivory Coast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6">
      <formula>IF(AND(AA7=0,AB7=-1),1,0)</formula>
    </cfRule>
    <cfRule type="expression" dxfId="226" priority="347">
      <formula>IF(AND(AA7=1,AB7=-1),1,0)</formula>
    </cfRule>
    <cfRule type="expression" dxfId="225" priority="348">
      <formula>IF(AND(AA7=0,AB7=1),1,0)</formula>
    </cfRule>
    <cfRule type="expression" dxfId="224" priority="349">
      <formula>IF(AND(AA7=1,AB7=1),1,0)</formula>
    </cfRule>
    <cfRule type="expression" dxfId="223" priority="350">
      <formula>IF(AND(AA7=0,AB7=0),1,0)</formula>
    </cfRule>
    <cfRule type="expression" dxfId="222" priority="351">
      <formula>IF(AND(AA7=1,AB7=0),1,0)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40">
      <formula>IF(AND(AA7=0,AB7=-1),1,0)</formula>
    </cfRule>
    <cfRule type="expression" dxfId="218" priority="341">
      <formula>IF(AND(AA7=1,AB7=-1),1,0)</formula>
    </cfRule>
    <cfRule type="expression" dxfId="217" priority="342">
      <formula>IF(AND(AA7=0,AB7=1),1,0)</formula>
    </cfRule>
    <cfRule type="expression" dxfId="216" priority="343">
      <formula>IF(AND(AA7=1,AB7=1),1,0)</formula>
    </cfRule>
    <cfRule type="expression" dxfId="215" priority="344">
      <formula>IF(AND(AA7=0,AB7=0),1,0)</formula>
    </cfRule>
    <cfRule type="expression" dxfId="214" priority="345">
      <formula>IF(AND(AA7=1,AB7=0),1,0)</formula>
    </cfRule>
    <cfRule type="expression" dxfId="213" priority="352">
      <formula>IF(AND(AA7=1,AB7=""),1,0)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18">
      <formula>IF(BP10&lt;BP11,1,0)</formula>
    </cfRule>
    <cfRule type="expression" dxfId="191" priority="220">
      <formula>IF(BP10&gt;BP11,1,0)</formula>
    </cfRule>
  </conditionalFormatting>
  <conditionalFormatting sqref="BL11">
    <cfRule type="expression" dxfId="190" priority="217">
      <formula>IF(BP10&lt;BP11,1,0)</formula>
    </cfRule>
    <cfRule type="expression" dxfId="189" priority="219">
      <formula>IF(BP10&gt;BP11,1,0)</formula>
    </cfRule>
  </conditionalFormatting>
  <conditionalFormatting sqref="BL14">
    <cfRule type="expression" dxfId="188" priority="182">
      <formula>IF(BP14&lt;BP15,1,0)</formula>
    </cfRule>
    <cfRule type="expression" dxfId="187" priority="184">
      <formula>IF(BP14&gt;BP15,1,0)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5">
      <formula>IF(BP18&lt;BP19,1,0)</formula>
    </cfRule>
    <cfRule type="expression" dxfId="181" priority="177">
      <formula>IF(BP18&gt;BP19,1,0)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6">
      <formula>IF(BP38&lt;BP39,1,0)</formula>
    </cfRule>
    <cfRule type="expression" dxfId="163" priority="148">
      <formula>IF(BP38&gt;BP39,1,0)</formula>
    </cfRule>
  </conditionalFormatting>
  <conditionalFormatting sqref="BL39">
    <cfRule type="expression" dxfId="162" priority="145">
      <formula>IF(BP38&lt;BP39,1,0)</formula>
    </cfRule>
    <cfRule type="expression" dxfId="161" priority="147">
      <formula>IF(BP38&gt;BP39,1,0)</formula>
    </cfRule>
  </conditionalFormatting>
  <conditionalFormatting sqref="BL42">
    <cfRule type="expression" dxfId="160" priority="140">
      <formula>IF(BP42&lt;BP43,1,0)</formula>
    </cfRule>
    <cfRule type="expression" dxfId="159" priority="142">
      <formula>IF(BP42&gt;BP43,1,0)</formula>
    </cfRule>
  </conditionalFormatting>
  <conditionalFormatting sqref="BL43">
    <cfRule type="expression" dxfId="158" priority="139">
      <formula>IF(BP42&lt;BP43,1,0)</formula>
    </cfRule>
    <cfRule type="expression" dxfId="157" priority="141">
      <formula>IF(BP42&gt;BP43,1,0)</formula>
    </cfRule>
  </conditionalFormatting>
  <conditionalFormatting sqref="BL46">
    <cfRule type="expression" dxfId="156" priority="134">
      <formula>IF(BP46&lt;BP47,1,0)</formula>
    </cfRule>
    <cfRule type="expression" dxfId="155" priority="136">
      <formula>IF(BP46&gt;BP47,1,0)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6">
      <formula>IF(BP58&lt;BP59,1,0)</formula>
    </cfRule>
    <cfRule type="expression" dxfId="143" priority="118">
      <formula>IF(BP58&gt;BP59,1,0)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4">
      <formula>IF(BP66&lt;BP67,1,0)</formula>
    </cfRule>
    <cfRule type="expression" dxfId="135" priority="106">
      <formula>IF(BP66&gt;BP67,1,0)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68">
      <formula>IF(BW36&lt;BW37,1,0)</formula>
    </cfRule>
    <cfRule type="expression" dxfId="83" priority="70">
      <formula>IF(BW36&gt;BW37,1,0)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4">
      <formula>IF(CD16&lt;CD17,1,0)</formula>
    </cfRule>
    <cfRule type="expression" dxfId="47" priority="46">
      <formula>IF(CD16&gt;CD17,1,0)</formula>
    </cfRule>
  </conditionalFormatting>
  <conditionalFormatting sqref="BZ17">
    <cfRule type="expression" dxfId="46" priority="43">
      <formula>IF(CD16&lt;CD17,1,0)</formula>
    </cfRule>
    <cfRule type="expression" dxfId="45" priority="45">
      <formula>IF(CD16&gt;CD17,1,0)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2">
      <formula>IF(CD48&lt;CD49,1,0)</formula>
    </cfRule>
    <cfRule type="expression" dxfId="39" priority="34">
      <formula>IF(CD48&gt;CD49,1,0)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4">
      <formula>IF(CK23&lt;CK24,1,0)</formula>
    </cfRule>
    <cfRule type="expression" dxfId="23" priority="16">
      <formula>IF(CK23&gt;CK24,1,0)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19">
      <formula>IF(CK55&lt;CK56,1,0)</formula>
    </cfRule>
    <cfRule type="expression" dxfId="17" priority="21">
      <formula>IF(CK55&gt;CK56,1,0)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8">
      <formula>IF(CR37&lt;CR38,1,0)</formula>
    </cfRule>
    <cfRule type="expression" dxfId="11" priority="10">
      <formula>IF(CR37&gt;CR38,1,0)</formula>
    </cfRule>
  </conditionalFormatting>
  <conditionalFormatting sqref="CN38">
    <cfRule type="expression" dxfId="10" priority="7">
      <formula>IF(CR37&lt;CR38,1,0)</formula>
    </cfRule>
    <cfRule type="expression" dxfId="9" priority="9">
      <formula>IF(CR37&gt;CR38,1,0)</formula>
    </cfRule>
  </conditionalFormatting>
  <conditionalFormatting sqref="CN48">
    <cfRule type="expression" dxfId="8" priority="2">
      <formula>IF(CR48&lt;CR49,1,0)</formula>
    </cfRule>
    <cfRule type="expression" dxfId="7" priority="4">
      <formula>IF(CR48&gt;CR49,1,0)</formula>
    </cfRule>
  </conditionalFormatting>
  <conditionalFormatting sqref="CN49">
    <cfRule type="expression" dxfId="6" priority="1">
      <formula>IF(CR48&lt;CR49,1,0)</formula>
    </cfRule>
    <cfRule type="expression" dxfId="5" priority="3">
      <formula>IF(CR48&gt;CR49,1,0)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B1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264</v>
      </c>
      <c r="C3" s="121" t="str">
        <f>'2026 World Cup'!AR91</f>
        <v>ACDEGHIK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Kristoffer Kolltveit</cp:lastModifiedBy>
  <cp:revision/>
  <dcterms:created xsi:type="dcterms:W3CDTF">2017-12-27T19:32:51Z</dcterms:created>
  <dcterms:modified xsi:type="dcterms:W3CDTF">2026-06-11T11:15:03Z</dcterms:modified>
  <cp:category>Sports</cp:category>
  <cp:contentStatus/>
</cp:coreProperties>
</file>
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8960" windowHeight="17620" tabRatio="600" firstSheet="0" activeTab="2" autoFilterDateGrouping="1"/>
  </bookViews>
  <sheets>
    <sheet xmlns:r="http://schemas.openxmlformats.org/officeDocument/2006/relationships" name="T" sheetId="1" state="hidden" r:id="rId1"/>
    <sheet xmlns:r="http://schemas.openxmlformats.org/officeDocument/2006/relationships" name="Settings" sheetId="2" state="visible" r:id="rId2"/>
    <sheet xmlns:r="http://schemas.openxmlformats.org/officeDocument/2006/relationships" name="2026 World Cup" sheetId="3" state="visible" r:id="rId3"/>
    <sheet xmlns:r="http://schemas.openxmlformats.org/officeDocument/2006/relationships" name="3rd places" sheetId="4" state="visible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h:mm;@"/>
    <numFmt numFmtId="165" formatCode=";;;"/>
  </numFmts>
  <fonts count="24">
    <font>
      <name val="Calibri"/>
      <family val="2"/>
      <color theme="1"/>
      <sz val="11"/>
      <scheme val="minor"/>
    </font>
    <font>
      <name val="Calibri"/>
      <charset val="204"/>
      <family val="2"/>
      <sz val="10"/>
    </font>
    <font>
      <name val="Calibri"/>
      <family val="2"/>
      <color theme="10"/>
      <sz val="11"/>
      <u val="single"/>
      <scheme val="minor"/>
    </font>
    <font>
      <name val="Calibri"/>
      <charset val="204"/>
      <family val="2"/>
      <sz val="36"/>
    </font>
    <font>
      <name val="Calibri"/>
      <charset val="204"/>
      <family val="2"/>
      <color indexed="12"/>
      <sz val="10"/>
    </font>
    <font>
      <name val="Calibri"/>
      <charset val="204"/>
      <family val="2"/>
      <sz val="14"/>
      <scheme val="minor"/>
    </font>
    <font>
      <name val="Calibri"/>
      <charset val="204"/>
      <family val="2"/>
      <color indexed="12"/>
      <sz val="8"/>
      <u val="single"/>
    </font>
    <font>
      <name val="Calibri"/>
      <charset val="204"/>
      <family val="2"/>
      <color theme="0"/>
      <sz val="16"/>
      <scheme val="minor"/>
    </font>
    <font>
      <name val="Calibri"/>
      <charset val="204"/>
      <family val="2"/>
      <b val="1"/>
      <color theme="0"/>
      <sz val="10"/>
    </font>
    <font>
      <name val="Calibri"/>
      <charset val="204"/>
      <family val="2"/>
      <color theme="0"/>
      <sz val="16"/>
    </font>
    <font>
      <name val="Calibri"/>
      <family val="2"/>
      <color theme="1"/>
      <sz val="16"/>
      <scheme val="minor"/>
    </font>
    <font>
      <name val="Calibri"/>
      <family val="2"/>
      <color theme="1"/>
      <sz val="11"/>
      <scheme val="minor"/>
    </font>
    <font>
      <name val="Calibri"/>
      <charset val="204"/>
      <family val="2"/>
      <b val="1"/>
      <sz val="12"/>
    </font>
    <font>
      <name val="Calibri"/>
      <charset val="204"/>
      <family val="2"/>
      <sz val="8"/>
    </font>
    <font>
      <name val="Calibri"/>
      <charset val="204"/>
      <family val="2"/>
      <color theme="4"/>
      <sz val="16"/>
      <u val="single"/>
      <scheme val="minor"/>
    </font>
    <font>
      <name val="Calibri"/>
      <family val="2"/>
      <color rgb="FFFF0000"/>
      <sz val="10"/>
    </font>
    <font>
      <name val="Calibri"/>
      <family val="2"/>
      <color rgb="FFFF0000"/>
      <sz val="11"/>
      <scheme val="minor"/>
    </font>
    <font>
      <name val="Calibri"/>
      <charset val="204"/>
      <family val="2"/>
      <color rgb="FFFF0000"/>
      <sz val="10"/>
    </font>
    <font>
      <name val="Calibri"/>
      <family val="2"/>
      <color theme="0"/>
      <sz val="11"/>
      <scheme val="minor"/>
    </font>
    <font>
      <name val="Calibri"/>
      <family val="2"/>
      <color rgb="FF000000"/>
      <sz val="11"/>
      <scheme val="minor"/>
    </font>
    <font>
      <name val="Calibri"/>
      <charset val="204"/>
      <family val="2"/>
      <color theme="4"/>
      <sz val="14"/>
      <u val="single"/>
      <scheme val="minor"/>
    </font>
    <font>
      <name val="Calibri"/>
      <charset val="204"/>
      <family val="2"/>
      <b val="1"/>
      <sz val="16"/>
    </font>
    <font>
      <name val="Calibri"/>
      <charset val="204"/>
      <family val="2"/>
      <b val="1"/>
      <color rgb="FF0000FF"/>
      <sz val="16"/>
    </font>
    <font>
      <name val="Calibri"/>
      <family val="2"/>
      <color theme="0"/>
      <sz val="10"/>
    </font>
  </fonts>
  <fills count="11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99"/>
        <bgColor indexed="64"/>
      </patternFill>
    </fill>
  </fills>
  <borders count="106">
    <border>
      <left/>
      <right/>
      <top/>
      <bottom/>
      <diagonal/>
    </border>
    <border>
      <left style="thin">
        <color theme="3" tint="0.3999145481734672"/>
      </left>
      <right/>
      <top style="thin">
        <color theme="3" tint="0.3999145481734672"/>
      </top>
      <bottom/>
      <diagonal/>
    </border>
    <border>
      <left/>
      <right/>
      <top style="thin">
        <color theme="3" tint="0.3999145481734672"/>
      </top>
      <bottom/>
      <diagonal/>
    </border>
    <border>
      <left/>
      <right style="thin">
        <color theme="3" tint="0.3999145481734672"/>
      </right>
      <top style="thin">
        <color theme="3" tint="0.3999145481734672"/>
      </top>
      <bottom/>
      <diagonal/>
    </border>
    <border>
      <left style="thin">
        <color theme="3" tint="0.3999145481734672"/>
      </left>
      <right/>
      <top/>
      <bottom style="thin">
        <color theme="3" tint="0.3999145481734672"/>
      </bottom>
      <diagonal/>
    </border>
    <border>
      <left/>
      <right/>
      <top/>
      <bottom style="thin">
        <color theme="3" tint="0.3999145481734672"/>
      </bottom>
      <diagonal/>
    </border>
    <border>
      <left/>
      <right style="thin">
        <color theme="3" tint="0.3999145481734672"/>
      </right>
      <top/>
      <bottom style="thin">
        <color theme="3" tint="0.399914548173467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"/>
      </top>
      <bottom style="hair">
        <color indexed="48"/>
      </bottom>
      <diagonal/>
    </border>
    <border>
      <left/>
      <right/>
      <top style="thin">
        <color theme="3" tint="0.399914548173467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"/>
      </right>
      <top style="thin">
        <color theme="3" tint="0.3999450666829432"/>
      </top>
      <bottom/>
      <diagonal/>
    </border>
    <border>
      <left/>
      <right style="thin">
        <color theme="3" tint="0.3999450666829432"/>
      </right>
      <top/>
      <bottom/>
      <diagonal/>
    </border>
    <border>
      <left style="thin">
        <color theme="3" tint="0.3999450666829432"/>
      </left>
      <right/>
      <top style="thin">
        <color theme="3" tint="0.3999145481734672"/>
      </top>
      <bottom/>
      <diagonal/>
    </border>
    <border>
      <left/>
      <right style="thin">
        <color theme="3" tint="0.3999450666829432"/>
      </right>
      <top/>
      <bottom style="thin">
        <color theme="3" tint="0.3999450666829432"/>
      </bottom>
      <diagonal/>
    </border>
    <border>
      <left style="thin">
        <color theme="3" tint="0.3999450666829432"/>
      </left>
      <right/>
      <top/>
      <bottom/>
      <diagonal/>
    </border>
    <border>
      <left/>
      <right style="thin">
        <color theme="3" tint="0.3998840296639912"/>
      </right>
      <top style="thin">
        <color theme="3" tint="0.3999145481734672"/>
      </top>
      <bottom/>
      <diagonal/>
    </border>
    <border>
      <left/>
      <right style="thin">
        <color theme="3" tint="0.3998840296639912"/>
      </right>
      <top/>
      <bottom style="thin">
        <color theme="3" tint="0.3999145481734672"/>
      </bottom>
      <diagonal/>
    </border>
    <border>
      <left/>
      <right style="thin">
        <color theme="3" tint="0.3998840296639912"/>
      </right>
      <top/>
      <bottom style="hair">
        <color indexed="48"/>
      </bottom>
      <diagonal/>
    </border>
    <border>
      <left/>
      <right style="thin">
        <color theme="3" tint="0.3998840296639912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8"/>
      </left>
      <right/>
      <top/>
      <bottom/>
      <diagonal/>
    </border>
    <border>
      <left style="thin">
        <color indexed="48"/>
      </left>
      <right style="thin">
        <color indexed="48"/>
      </right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3" tint="0.3999145481734672"/>
      </left>
      <right style="thin">
        <color theme="3" tint="0.3998840296639912"/>
      </right>
      <top style="thin">
        <color theme="3" tint="0.3999145481734672"/>
      </top>
      <bottom style="thin">
        <color theme="3" tint="0.3999145481734672"/>
      </bottom>
      <diagonal/>
    </border>
    <border>
      <left style="thin">
        <color theme="3" tint="0.3999145481734672"/>
      </left>
      <right/>
      <top/>
      <bottom/>
      <diagonal/>
    </border>
    <border>
      <left/>
      <right style="thin">
        <color theme="3" tint="0.3998840296639912"/>
      </right>
      <top/>
      <bottom/>
      <diagonal/>
    </border>
    <border>
      <left style="thin">
        <color theme="3" tint="0.3999145481734672"/>
      </left>
      <right style="thin">
        <color theme="3" tint="0.3999145481734672"/>
      </right>
      <top style="thin">
        <color theme="3" tint="0.3999145481734672"/>
      </top>
      <bottom style="thin">
        <color theme="3" tint="0.3999145481734672"/>
      </bottom>
      <diagonal/>
    </border>
    <border>
      <left/>
      <right style="thin">
        <color theme="3" tint="0.3999145481734672"/>
      </right>
      <top/>
      <bottom/>
      <diagonal/>
    </border>
  </borders>
  <cellStyleXfs count="3">
    <xf numFmtId="0" fontId="11" fillId="0" borderId="0"/>
    <xf numFmtId="0" fontId="2" fillId="0" borderId="0"/>
    <xf numFmtId="0" fontId="11" fillId="6" borderId="51"/>
  </cellStyleXfs>
  <cellXfs count="185">
    <xf numFmtId="0" fontId="0" fillId="0" borderId="0" pivotButton="0" quotePrefix="0" xfId="0"/>
    <xf numFmtId="0" fontId="1" fillId="0" borderId="0" pivotButton="0" quotePrefix="0" xfId="0"/>
    <xf numFmtId="0" fontId="0" fillId="0" borderId="0" applyAlignment="1" applyProtection="1" pivotButton="0" quotePrefix="0" xfId="0">
      <alignment vertical="center"/>
      <protection locked="1" hidden="1"/>
    </xf>
    <xf numFmtId="0" fontId="0" fillId="0" borderId="0" applyAlignment="1" applyProtection="1" pivotButton="0" quotePrefix="0" xfId="0">
      <alignment horizontal="center" vertical="center"/>
      <protection locked="1" hidden="1"/>
    </xf>
    <xf numFmtId="164" fontId="0" fillId="0" borderId="0" applyAlignment="1" applyProtection="1" pivotButton="0" quotePrefix="0" xfId="0">
      <alignment horizontal="center" vertical="center"/>
      <protection locked="1" hidden="1"/>
    </xf>
    <xf numFmtId="0" fontId="0" fillId="0" borderId="0" applyAlignment="1" applyProtection="1" pivotButton="0" quotePrefix="0" xfId="0">
      <alignment horizontal="right" vertical="center"/>
      <protection locked="1" hidden="1"/>
    </xf>
    <xf numFmtId="0" fontId="4" fillId="0" borderId="0" applyAlignment="1" applyProtection="1" pivotButton="0" quotePrefix="0" xfId="0">
      <alignment horizontal="center" vertical="center"/>
      <protection locked="1" hidden="1"/>
    </xf>
    <xf numFmtId="0" fontId="0" fillId="0" borderId="0" applyAlignment="1" applyProtection="1" pivotButton="0" quotePrefix="0" xfId="0">
      <alignment horizontal="left" vertical="center"/>
      <protection locked="1" hidden="1"/>
    </xf>
    <xf numFmtId="0" fontId="0" fillId="0" borderId="0" applyAlignment="1" applyProtection="1" pivotButton="0" quotePrefix="0" xfId="0">
      <alignment vertical="center" shrinkToFit="1"/>
      <protection locked="1" hidden="1"/>
    </xf>
    <xf numFmtId="0" fontId="0" fillId="0" borderId="0" applyAlignment="1" applyProtection="1" pivotButton="0" quotePrefix="0" xfId="0">
      <alignment horizontal="center" vertical="center" shrinkToFit="1"/>
      <protection locked="1" hidden="1"/>
    </xf>
    <xf numFmtId="0" fontId="0" fillId="0" borderId="0" applyProtection="1" pivotButton="0" quotePrefix="0" xfId="0">
      <protection locked="1" hidden="1"/>
    </xf>
    <xf numFmtId="0" fontId="0" fillId="3" borderId="10" applyAlignment="1" applyProtection="1" pivotButton="0" quotePrefix="0" xfId="0">
      <alignment horizontal="center" vertical="center" shrinkToFit="1"/>
      <protection locked="1" hidden="1"/>
    </xf>
    <xf numFmtId="0" fontId="1" fillId="3" borderId="11" applyAlignment="1" applyProtection="1" pivotButton="0" quotePrefix="0" xfId="0">
      <alignment horizontal="center" vertical="center" shrinkToFit="1"/>
      <protection locked="1" hidden="1"/>
    </xf>
    <xf numFmtId="0" fontId="0" fillId="3" borderId="11" applyAlignment="1" applyProtection="1" pivotButton="0" quotePrefix="0" xfId="0">
      <alignment horizontal="center" vertical="center" shrinkToFit="1"/>
      <protection locked="1" hidden="1"/>
    </xf>
    <xf numFmtId="0" fontId="1" fillId="4" borderId="14" applyAlignment="1" applyProtection="1" pivotButton="0" quotePrefix="0" xfId="0">
      <alignment horizontal="center" vertical="center"/>
      <protection locked="0" hidden="0"/>
    </xf>
    <xf numFmtId="0" fontId="1" fillId="4" borderId="13" applyAlignment="1" applyProtection="1" pivotButton="0" quotePrefix="0" xfId="0">
      <alignment horizontal="center" vertical="center"/>
      <protection locked="0" hidden="0"/>
    </xf>
    <xf numFmtId="0" fontId="0" fillId="3" borderId="18" applyAlignment="1" applyProtection="1" pivotButton="0" quotePrefix="0" xfId="0">
      <alignment horizontal="center" vertical="center" shrinkToFit="1"/>
      <protection locked="1" hidden="1"/>
    </xf>
    <xf numFmtId="0" fontId="1" fillId="3" borderId="19" applyAlignment="1" applyProtection="1" pivotButton="0" quotePrefix="0" xfId="0">
      <alignment horizontal="center" vertical="center" shrinkToFit="1"/>
      <protection locked="1" hidden="1"/>
    </xf>
    <xf numFmtId="0" fontId="0" fillId="3" borderId="19" applyAlignment="1" applyProtection="1" pivotButton="0" quotePrefix="0" xfId="0">
      <alignment horizontal="center" vertical="center" shrinkToFit="1"/>
      <protection locked="1" hidden="1"/>
    </xf>
    <xf numFmtId="0" fontId="1" fillId="4" borderId="22" applyAlignment="1" applyProtection="1" pivotButton="0" quotePrefix="0" xfId="0">
      <alignment horizontal="center" vertical="center"/>
      <protection locked="0" hidden="0"/>
    </xf>
    <xf numFmtId="0" fontId="1" fillId="4" borderId="21" applyAlignment="1" applyProtection="1" pivotButton="0" quotePrefix="0" xfId="0">
      <alignment horizontal="center" vertical="center"/>
      <protection locked="0" hidden="0"/>
    </xf>
    <xf numFmtId="0" fontId="0" fillId="3" borderId="0" applyAlignment="1" applyProtection="1" pivotButton="0" quotePrefix="0" xfId="0">
      <alignment vertical="center"/>
      <protection locked="1" hidden="1"/>
    </xf>
    <xf numFmtId="0" fontId="1" fillId="3" borderId="23" applyAlignment="1" applyProtection="1" pivotButton="0" quotePrefix="0" xfId="0">
      <alignment horizontal="right" vertical="center"/>
      <protection locked="1" hidden="1"/>
    </xf>
    <xf numFmtId="0" fontId="0" fillId="0" borderId="24" applyAlignment="1" applyProtection="1" pivotButton="0" quotePrefix="0" xfId="0">
      <alignment horizontal="center" vertical="center" shrinkToFit="1"/>
      <protection locked="1" hidden="1"/>
    </xf>
    <xf numFmtId="0" fontId="0" fillId="3" borderId="26" applyAlignment="1" applyProtection="1" pivotButton="0" quotePrefix="0" xfId="0">
      <alignment horizontal="left" vertical="center" shrinkToFit="1"/>
      <protection locked="1" hidden="1"/>
    </xf>
    <xf numFmtId="0" fontId="1" fillId="4" borderId="27" applyAlignment="1" applyProtection="1" pivotButton="0" quotePrefix="0" xfId="0">
      <alignment horizontal="center" vertical="center"/>
      <protection locked="0" hidden="0"/>
    </xf>
    <xf numFmtId="0" fontId="0" fillId="3" borderId="29" applyAlignment="1" applyProtection="1" pivotButton="0" quotePrefix="0" xfId="0">
      <alignment horizontal="left" vertical="center" shrinkToFit="1"/>
      <protection locked="1" hidden="1"/>
    </xf>
    <xf numFmtId="0" fontId="1" fillId="4" borderId="30" applyAlignment="1" applyProtection="1" pivotButton="0" quotePrefix="0" xfId="0">
      <alignment horizontal="center" vertical="center"/>
      <protection locked="0" hidden="0"/>
    </xf>
    <xf numFmtId="0" fontId="1" fillId="3" borderId="0" applyAlignment="1" applyProtection="1" pivotButton="0" quotePrefix="0" xfId="0">
      <alignment horizontal="right" vertical="center"/>
      <protection locked="1" hidden="1"/>
    </xf>
    <xf numFmtId="0" fontId="0" fillId="3" borderId="0" applyAlignment="1" applyProtection="1" pivotButton="0" quotePrefix="0" xfId="0">
      <alignment horizontal="right" vertical="center"/>
      <protection locked="1" hidden="1"/>
    </xf>
    <xf numFmtId="0" fontId="0" fillId="0" borderId="41" applyAlignment="1" applyProtection="1" pivotButton="0" quotePrefix="0" xfId="0">
      <alignment vertical="center" shrinkToFit="1"/>
      <protection locked="1" hidden="1"/>
    </xf>
    <xf numFmtId="0" fontId="0" fillId="0" borderId="42" applyAlignment="1" applyProtection="1" pivotButton="0" quotePrefix="0" xfId="0">
      <alignment horizontal="center" vertical="center" shrinkToFit="1"/>
      <protection locked="1" hidden="1"/>
    </xf>
    <xf numFmtId="0" fontId="0" fillId="0" borderId="43" applyAlignment="1" applyProtection="1" pivotButton="0" quotePrefix="0" xfId="0">
      <alignment horizontal="center" vertical="center" shrinkToFit="1"/>
      <protection locked="1" hidden="1"/>
    </xf>
    <xf numFmtId="0" fontId="0" fillId="0" borderId="44" applyAlignment="1" applyProtection="1" pivotButton="0" quotePrefix="0" xfId="0">
      <alignment vertical="center" shrinkToFit="1"/>
      <protection locked="1" hidden="1"/>
    </xf>
    <xf numFmtId="0" fontId="0" fillId="0" borderId="45" applyAlignment="1" applyProtection="1" pivotButton="0" quotePrefix="0" xfId="0">
      <alignment horizontal="center" vertical="center" shrinkToFit="1"/>
      <protection locked="1" hidden="1"/>
    </xf>
    <xf numFmtId="0" fontId="0" fillId="0" borderId="46" applyAlignment="1" applyProtection="1" pivotButton="0" quotePrefix="0" xfId="0">
      <alignment vertical="center" shrinkToFit="1"/>
      <protection locked="1" hidden="1"/>
    </xf>
    <xf numFmtId="0" fontId="0" fillId="0" borderId="47" applyAlignment="1" applyProtection="1" pivotButton="0" quotePrefix="0" xfId="0">
      <alignment horizontal="center" vertical="center" shrinkToFit="1"/>
      <protection locked="1" hidden="1"/>
    </xf>
    <xf numFmtId="0" fontId="0" fillId="0" borderId="48" applyAlignment="1" applyProtection="1" pivotButton="0" quotePrefix="0" xfId="0">
      <alignment horizontal="center" vertical="center" shrinkToFit="1"/>
      <protection locked="1" hidden="1"/>
    </xf>
    <xf numFmtId="0" fontId="8" fillId="5" borderId="40" applyAlignment="1" applyProtection="1" pivotButton="0" quotePrefix="0" xfId="0">
      <alignment horizontal="center" vertical="center" shrinkToFit="1"/>
      <protection locked="1" hidden="1"/>
    </xf>
    <xf numFmtId="0" fontId="12" fillId="7" borderId="52" applyAlignment="1" applyProtection="1" pivotButton="0" quotePrefix="0" xfId="0">
      <alignment horizontal="left" indent="1"/>
      <protection locked="1" hidden="1"/>
    </xf>
    <xf numFmtId="0" fontId="1" fillId="7" borderId="53" applyAlignment="1" applyProtection="1" pivotButton="0" quotePrefix="0" xfId="0">
      <alignment horizontal="left"/>
      <protection locked="1" hidden="1"/>
    </xf>
    <xf numFmtId="0" fontId="1" fillId="7" borderId="54" applyProtection="1" pivotButton="0" quotePrefix="0" xfId="0">
      <protection locked="1" hidden="1"/>
    </xf>
    <xf numFmtId="0" fontId="1" fillId="7" borderId="55" applyProtection="1" pivotButton="0" quotePrefix="0" xfId="0">
      <protection locked="1" hidden="1"/>
    </xf>
    <xf numFmtId="0" fontId="1" fillId="7" borderId="0" applyAlignment="1" applyProtection="1" pivotButton="0" quotePrefix="0" xfId="0">
      <alignment horizontal="left"/>
      <protection locked="1" hidden="1"/>
    </xf>
    <xf numFmtId="0" fontId="1" fillId="7" borderId="56" applyProtection="1" pivotButton="0" quotePrefix="0" xfId="0">
      <protection locked="1" hidden="1"/>
    </xf>
    <xf numFmtId="0" fontId="1" fillId="7" borderId="0" applyProtection="1" pivotButton="0" quotePrefix="0" xfId="0">
      <protection locked="1" hidden="1"/>
    </xf>
    <xf numFmtId="0" fontId="1" fillId="7" borderId="55" applyAlignment="1" applyProtection="1" pivotButton="0" quotePrefix="0" xfId="0">
      <alignment horizontal="right"/>
      <protection locked="1" hidden="1"/>
    </xf>
    <xf numFmtId="0" fontId="1" fillId="8" borderId="57" applyProtection="1" pivotButton="0" quotePrefix="0" xfId="0">
      <protection locked="1" hidden="1"/>
    </xf>
    <xf numFmtId="0" fontId="1" fillId="8" borderId="58" applyProtection="1" pivotButton="0" quotePrefix="0" xfId="0">
      <protection locked="1" hidden="1"/>
    </xf>
    <xf numFmtId="0" fontId="1" fillId="8" borderId="59" applyProtection="1" pivotButton="0" quotePrefix="0" xfId="0">
      <protection locked="1" hidden="1"/>
    </xf>
    <xf numFmtId="0" fontId="1" fillId="7" borderId="60" applyProtection="1" pivotButton="0" quotePrefix="0" xfId="0">
      <protection locked="1" hidden="1"/>
    </xf>
    <xf numFmtId="0" fontId="1" fillId="7" borderId="61" applyProtection="1" pivotButton="0" quotePrefix="0" xfId="0">
      <protection locked="1" hidden="1"/>
    </xf>
    <xf numFmtId="0" fontId="1" fillId="7" borderId="62" applyAlignment="1" applyProtection="1" pivotButton="0" quotePrefix="0" xfId="0">
      <alignment horizontal="left"/>
      <protection locked="1" hidden="1"/>
    </xf>
    <xf numFmtId="0" fontId="1" fillId="7" borderId="63" applyProtection="1" pivotButton="0" quotePrefix="0" xfId="0">
      <protection locked="1" hidden="1"/>
    </xf>
    <xf numFmtId="0" fontId="1" fillId="7" borderId="55" applyAlignment="1" applyProtection="1" pivotButton="0" quotePrefix="0" xfId="0">
      <alignment horizontal="right" vertical="center"/>
      <protection locked="1" hidden="1"/>
    </xf>
    <xf numFmtId="0" fontId="13" fillId="7" borderId="64" applyAlignment="1" applyProtection="1" pivotButton="0" quotePrefix="0" xfId="0">
      <alignment horizontal="left" vertical="center"/>
      <protection locked="1" hidden="1"/>
    </xf>
    <xf numFmtId="0" fontId="13" fillId="7" borderId="60" applyAlignment="1" applyProtection="1" pivotButton="0" quotePrefix="0" xfId="0">
      <alignment horizontal="left" vertical="center"/>
      <protection locked="1" hidden="1"/>
    </xf>
    <xf numFmtId="0" fontId="1" fillId="7" borderId="65" applyProtection="1" pivotButton="0" quotePrefix="0" xfId="0">
      <protection locked="1" hidden="1"/>
    </xf>
    <xf numFmtId="0" fontId="12" fillId="7" borderId="66" applyAlignment="1" applyProtection="1" pivotButton="0" quotePrefix="0" xfId="0">
      <alignment horizontal="center"/>
      <protection locked="1" hidden="1"/>
    </xf>
    <xf numFmtId="0" fontId="1" fillId="7" borderId="55" applyAlignment="1" applyProtection="1" pivotButton="0" quotePrefix="0" xfId="0">
      <alignment horizontal="left" indent="1"/>
      <protection locked="1" hidden="1"/>
    </xf>
    <xf numFmtId="0" fontId="1" fillId="6" borderId="51" applyAlignment="1" applyProtection="1" pivotButton="0" quotePrefix="0" xfId="2">
      <alignment horizontal="left" vertical="center" indent="1"/>
      <protection locked="0" hidden="0"/>
    </xf>
    <xf numFmtId="0" fontId="1" fillId="4" borderId="26" applyAlignment="1" applyProtection="1" pivotButton="0" quotePrefix="0" xfId="0">
      <alignment horizontal="center" vertical="center"/>
      <protection locked="0" hidden="0"/>
    </xf>
    <xf numFmtId="0" fontId="1" fillId="4" borderId="29" applyAlignment="1" applyProtection="1" pivotButton="0" quotePrefix="0" xfId="0">
      <alignment horizontal="center" vertical="center"/>
      <protection locked="0" hidden="0"/>
    </xf>
    <xf numFmtId="0" fontId="1" fillId="4" borderId="67" applyAlignment="1" applyProtection="1" pivotButton="0" quotePrefix="0" xfId="0">
      <alignment horizontal="center" vertical="center"/>
      <protection locked="0" hidden="0"/>
    </xf>
    <xf numFmtId="0" fontId="1" fillId="4" borderId="68" applyAlignment="1" applyProtection="1" pivotButton="0" quotePrefix="0" xfId="0">
      <alignment horizontal="center" vertical="center"/>
      <protection locked="0" hidden="0"/>
    </xf>
    <xf numFmtId="3" fontId="1" fillId="6" borderId="69" applyAlignment="1" applyProtection="1" pivotButton="0" quotePrefix="0" xfId="2">
      <alignment horizontal="center"/>
      <protection locked="0" hidden="0"/>
    </xf>
    <xf numFmtId="3" fontId="1" fillId="6" borderId="70" applyAlignment="1" applyProtection="1" pivotButton="0" quotePrefix="0" xfId="2">
      <alignment horizontal="center"/>
      <protection locked="0" hidden="0"/>
    </xf>
    <xf numFmtId="3" fontId="1" fillId="6" borderId="71" applyAlignment="1" applyProtection="1" pivotButton="0" quotePrefix="0" xfId="2">
      <alignment horizontal="center"/>
      <protection locked="0" hidden="0"/>
    </xf>
    <xf numFmtId="0" fontId="15" fillId="0" borderId="0" applyAlignment="1" applyProtection="1" pivotButton="0" quotePrefix="0" xfId="0">
      <alignment vertical="center"/>
      <protection locked="1" hidden="1"/>
    </xf>
    <xf numFmtId="0" fontId="16" fillId="0" borderId="0" applyAlignment="1" applyProtection="1" pivotButton="0" quotePrefix="0" xfId="0">
      <alignment vertical="center"/>
      <protection locked="1" hidden="1"/>
    </xf>
    <xf numFmtId="0" fontId="16" fillId="0" borderId="0" applyAlignment="1" applyProtection="1" pivotButton="0" quotePrefix="0" xfId="0">
      <alignment horizontal="center" vertical="center" shrinkToFit="1"/>
      <protection locked="1" hidden="1"/>
    </xf>
    <xf numFmtId="0" fontId="17" fillId="0" borderId="0" applyAlignment="1" applyProtection="1" pivotButton="0" quotePrefix="0" xfId="0">
      <alignment horizontal="center" vertical="center"/>
      <protection locked="1" hidden="1"/>
    </xf>
    <xf numFmtId="0" fontId="16" fillId="0" borderId="0" applyAlignment="1" applyProtection="1" pivotButton="0" quotePrefix="0" xfId="0">
      <alignment vertical="center" shrinkToFit="1"/>
      <protection locked="1" hidden="1"/>
    </xf>
    <xf numFmtId="0" fontId="16" fillId="0" borderId="0" applyAlignment="1" applyProtection="1" pivotButton="0" quotePrefix="0" xfId="0">
      <alignment horizontal="center" vertical="center"/>
      <protection locked="1" hidden="1"/>
    </xf>
    <xf numFmtId="0" fontId="16" fillId="0" borderId="0" applyAlignment="1" applyProtection="1" pivotButton="0" quotePrefix="0" xfId="0">
      <alignment horizontal="right" vertical="center"/>
      <protection locked="1" hidden="1"/>
    </xf>
    <xf numFmtId="0" fontId="16" fillId="0" borderId="0" applyAlignment="1" applyProtection="1" pivotButton="0" quotePrefix="0" xfId="0">
      <alignment horizontal="left" vertical="center"/>
      <protection locked="1" hidden="1"/>
    </xf>
    <xf numFmtId="0" fontId="16" fillId="0" borderId="0" applyProtection="1" pivotButton="0" quotePrefix="0" xfId="0">
      <protection locked="1" hidden="1"/>
    </xf>
    <xf numFmtId="0" fontId="0" fillId="3" borderId="13" applyAlignment="1" applyProtection="1" pivotButton="0" quotePrefix="0" xfId="0">
      <alignment horizontal="right" vertical="center" shrinkToFit="1" indent="3"/>
      <protection locked="1" hidden="1"/>
    </xf>
    <xf numFmtId="0" fontId="0" fillId="3" borderId="21" applyAlignment="1" applyProtection="1" pivotButton="0" quotePrefix="0" xfId="0">
      <alignment horizontal="right" vertical="center" shrinkToFit="1" indent="3"/>
      <protection locked="1" hidden="1"/>
    </xf>
    <xf numFmtId="0" fontId="0" fillId="3" borderId="38" applyAlignment="1" applyProtection="1" pivotButton="0" quotePrefix="0" xfId="0">
      <alignment horizontal="left" vertical="center" shrinkToFit="1" indent="3"/>
      <protection locked="1" hidden="1"/>
    </xf>
    <xf numFmtId="0" fontId="0" fillId="3" borderId="39" applyAlignment="1" applyProtection="1" pivotButton="0" quotePrefix="0" xfId="0">
      <alignment horizontal="left" vertical="center" shrinkToFit="1" indent="3"/>
      <protection locked="1" hidden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72" applyAlignment="1" pivotButton="0" quotePrefix="0" xfId="0">
      <alignment horizontal="center" vertical="center"/>
    </xf>
    <xf numFmtId="0" fontId="18" fillId="5" borderId="76" applyAlignment="1" pivotButton="0" quotePrefix="0" xfId="0">
      <alignment horizontal="center" vertical="center"/>
    </xf>
    <xf numFmtId="0" fontId="18" fillId="5" borderId="77" applyAlignment="1" pivotButton="0" quotePrefix="0" xfId="0">
      <alignment horizontal="center" vertical="center"/>
    </xf>
    <xf numFmtId="0" fontId="18" fillId="5" borderId="77" applyAlignment="1" pivotButton="0" quotePrefix="0" xfId="0">
      <alignment horizontal="center" vertical="center" wrapText="1"/>
    </xf>
    <xf numFmtId="0" fontId="18" fillId="5" borderId="78" applyAlignment="1" pivotButton="0" quotePrefix="0" xfId="0">
      <alignment horizontal="center" vertical="center" wrapText="1"/>
    </xf>
    <xf numFmtId="0" fontId="0" fillId="0" borderId="79" applyAlignment="1" pivotButton="0" quotePrefix="0" xfId="0">
      <alignment horizontal="center" vertical="center"/>
    </xf>
    <xf numFmtId="0" fontId="0" fillId="0" borderId="80" applyAlignment="1" pivotButton="0" quotePrefix="0" xfId="0">
      <alignment horizontal="center" vertical="center"/>
    </xf>
    <xf numFmtId="0" fontId="0" fillId="0" borderId="81" applyAlignment="1" pivotButton="0" quotePrefix="0" xfId="0">
      <alignment horizontal="center" vertical="center"/>
    </xf>
    <xf numFmtId="0" fontId="0" fillId="0" borderId="82" applyAlignment="1" pivotButton="0" quotePrefix="0" xfId="0">
      <alignment horizontal="center" vertical="center"/>
    </xf>
    <xf numFmtId="0" fontId="0" fillId="0" borderId="83" applyAlignment="1" pivotButton="0" quotePrefix="0" xfId="0">
      <alignment horizontal="center" vertical="center"/>
    </xf>
    <xf numFmtId="0" fontId="8" fillId="5" borderId="85" applyAlignment="1" applyProtection="1" pivotButton="0" quotePrefix="0" xfId="0">
      <alignment horizontal="center" vertical="center" shrinkToFit="1"/>
      <protection locked="1" hidden="1"/>
    </xf>
    <xf numFmtId="0" fontId="8" fillId="5" borderId="86" applyAlignment="1" applyProtection="1" pivotButton="0" quotePrefix="0" xfId="0">
      <alignment horizontal="center" vertical="center" shrinkToFit="1"/>
      <protection locked="1" hidden="1"/>
    </xf>
    <xf numFmtId="0" fontId="8" fillId="5" borderId="87" applyAlignment="1" applyProtection="1" pivotButton="0" quotePrefix="0" xfId="0">
      <alignment horizontal="center" vertical="center" shrinkToFit="1"/>
      <protection locked="1" hidden="1"/>
    </xf>
    <xf numFmtId="0" fontId="19" fillId="9" borderId="88" applyAlignment="1" applyProtection="1" pivotButton="0" quotePrefix="0" xfId="0">
      <alignment vertical="center" shrinkToFit="1"/>
      <protection locked="1" hidden="1"/>
    </xf>
    <xf numFmtId="0" fontId="19" fillId="9" borderId="89" applyAlignment="1" applyProtection="1" pivotButton="0" quotePrefix="0" xfId="0">
      <alignment horizontal="center" vertical="center" shrinkToFit="1"/>
      <protection locked="1" hidden="1"/>
    </xf>
    <xf numFmtId="0" fontId="19" fillId="9" borderId="90" applyAlignment="1" applyProtection="1" pivotButton="0" quotePrefix="0" xfId="0">
      <alignment horizontal="center" vertical="center" shrinkToFit="1"/>
      <protection locked="1" hidden="1"/>
    </xf>
    <xf numFmtId="0" fontId="19" fillId="9" borderId="91" applyAlignment="1" applyProtection="1" pivotButton="0" quotePrefix="0" xfId="0">
      <alignment vertical="center" shrinkToFit="1"/>
      <protection locked="1" hidden="1"/>
    </xf>
    <xf numFmtId="0" fontId="19" fillId="9" borderId="84" applyAlignment="1" applyProtection="1" pivotButton="0" quotePrefix="0" xfId="0">
      <alignment horizontal="center" vertical="center" shrinkToFit="1"/>
      <protection locked="1" hidden="1"/>
    </xf>
    <xf numFmtId="0" fontId="19" fillId="9" borderId="92" applyAlignment="1" applyProtection="1" pivotButton="0" quotePrefix="0" xfId="0">
      <alignment horizontal="center" vertical="center" shrinkToFit="1"/>
      <protection locked="1" hidden="1"/>
    </xf>
    <xf numFmtId="0" fontId="19" fillId="10" borderId="91" applyAlignment="1" applyProtection="1" pivotButton="0" quotePrefix="0" xfId="0">
      <alignment vertical="center" shrinkToFit="1"/>
      <protection locked="1" hidden="1"/>
    </xf>
    <xf numFmtId="0" fontId="19" fillId="10" borderId="84" applyAlignment="1" applyProtection="1" pivotButton="0" quotePrefix="0" xfId="0">
      <alignment horizontal="center" vertical="center" shrinkToFit="1"/>
      <protection locked="1" hidden="1"/>
    </xf>
    <xf numFmtId="0" fontId="19" fillId="10" borderId="92" applyAlignment="1" applyProtection="1" pivotButton="0" quotePrefix="0" xfId="0">
      <alignment horizontal="center" vertical="center" shrinkToFit="1"/>
      <protection locked="1" hidden="1"/>
    </xf>
    <xf numFmtId="0" fontId="19" fillId="10" borderId="93" applyAlignment="1" applyProtection="1" pivotButton="0" quotePrefix="0" xfId="0">
      <alignment vertical="center" shrinkToFit="1"/>
      <protection locked="1" hidden="1"/>
    </xf>
    <xf numFmtId="0" fontId="19" fillId="10" borderId="94" applyAlignment="1" applyProtection="1" pivotButton="0" quotePrefix="0" xfId="0">
      <alignment horizontal="center" vertical="center" shrinkToFit="1"/>
      <protection locked="1" hidden="1"/>
    </xf>
    <xf numFmtId="0" fontId="19" fillId="10" borderId="95" applyAlignment="1" applyProtection="1" pivotButton="0" quotePrefix="0" xfId="0">
      <alignment horizontal="center" vertical="center" shrinkToFit="1"/>
      <protection locked="1" hidden="1"/>
    </xf>
    <xf numFmtId="0" fontId="10" fillId="0" borderId="0" applyAlignment="1" pivotButton="0" quotePrefix="0" xfId="0">
      <alignment horizontal="left" vertical="center"/>
    </xf>
    <xf numFmtId="0" fontId="0" fillId="9" borderId="73" applyAlignment="1" pivotButton="0" quotePrefix="0" xfId="0">
      <alignment horizontal="center" vertical="center"/>
    </xf>
    <xf numFmtId="14" fontId="1" fillId="3" borderId="23" applyAlignment="1" applyProtection="1" pivotButton="0" quotePrefix="0" xfId="0">
      <alignment horizontal="right" vertical="center"/>
      <protection locked="1" hidden="1"/>
    </xf>
    <xf numFmtId="165" fontId="18" fillId="0" borderId="0" applyAlignment="1" applyProtection="1" pivotButton="0" quotePrefix="0" xfId="0">
      <alignment vertical="center"/>
      <protection locked="1" hidden="1"/>
    </xf>
    <xf numFmtId="165" fontId="18" fillId="3" borderId="0" applyAlignment="1" applyProtection="1" pivotButton="0" quotePrefix="0" xfId="0">
      <alignment vertical="center"/>
      <protection locked="1" hidden="1"/>
    </xf>
    <xf numFmtId="165" fontId="18" fillId="3" borderId="31" applyAlignment="1" applyProtection="1" pivotButton="0" quotePrefix="0" xfId="0">
      <alignment vertical="center"/>
      <protection locked="1" hidden="1"/>
    </xf>
    <xf numFmtId="165" fontId="18" fillId="3" borderId="32" applyAlignment="1" applyProtection="1" pivotButton="0" quotePrefix="0" xfId="0">
      <alignment vertical="center"/>
      <protection locked="1" hidden="1"/>
    </xf>
    <xf numFmtId="165" fontId="18" fillId="3" borderId="33" applyAlignment="1" applyProtection="1" pivotButton="0" quotePrefix="0" xfId="0">
      <alignment vertical="center"/>
      <protection locked="1" hidden="1"/>
    </xf>
    <xf numFmtId="165" fontId="18" fillId="3" borderId="34" applyAlignment="1" applyProtection="1" pivotButton="0" quotePrefix="0" xfId="0">
      <alignment vertical="center"/>
      <protection locked="1" hidden="1"/>
    </xf>
    <xf numFmtId="165" fontId="18" fillId="3" borderId="35" applyAlignment="1" applyProtection="1" pivotButton="0" quotePrefix="0" xfId="0">
      <alignment vertical="center"/>
      <protection locked="1" hidden="1"/>
    </xf>
    <xf numFmtId="165" fontId="18" fillId="0" borderId="0" applyProtection="1" pivotButton="0" quotePrefix="0" xfId="0">
      <protection locked="1" hidden="1"/>
    </xf>
    <xf numFmtId="164" fontId="0" fillId="3" borderId="12" applyAlignment="1" applyProtection="1" pivotButton="0" quotePrefix="0" xfId="0">
      <alignment horizontal="center" vertical="center" shrinkToFit="1"/>
      <protection locked="1" hidden="1"/>
    </xf>
    <xf numFmtId="164" fontId="0" fillId="3" borderId="20" applyAlignment="1" applyProtection="1" pivotButton="0" quotePrefix="0" xfId="0">
      <alignment horizontal="center" vertical="center" shrinkToFit="1"/>
      <protection locked="1" hidden="1"/>
    </xf>
    <xf numFmtId="0" fontId="0" fillId="9" borderId="74" applyAlignment="1" applyProtection="1" pivotButton="0" quotePrefix="0" xfId="0">
      <alignment horizontal="center" vertical="center"/>
      <protection locked="1" hidden="1"/>
    </xf>
    <xf numFmtId="0" fontId="0" fillId="9" borderId="75" applyAlignment="1" applyProtection="1" pivotButton="0" quotePrefix="0" xfId="0">
      <alignment horizontal="center" vertical="center"/>
      <protection locked="1" hidden="1"/>
    </xf>
    <xf numFmtId="165" fontId="23" fillId="0" borderId="0" applyAlignment="1" applyProtection="1" pivotButton="0" quotePrefix="0" xfId="0">
      <alignment horizontal="center" vertical="center"/>
      <protection locked="1" hidden="1"/>
    </xf>
    <xf numFmtId="165" fontId="23" fillId="0" borderId="0" applyAlignment="1" applyProtection="1" pivotButton="0" quotePrefix="0" xfId="0">
      <alignment vertical="center"/>
      <protection locked="1" hidden="1"/>
    </xf>
    <xf numFmtId="165" fontId="23" fillId="3" borderId="0" applyAlignment="1" applyProtection="1" pivotButton="0" quotePrefix="0" xfId="0">
      <alignment vertical="center"/>
      <protection locked="1" hidden="1"/>
    </xf>
    <xf numFmtId="165" fontId="23" fillId="3" borderId="0" applyAlignment="1" applyProtection="1" pivotButton="0" quotePrefix="0" xfId="0">
      <alignment horizontal="center" vertical="center"/>
      <protection locked="1" hidden="1"/>
    </xf>
    <xf numFmtId="165" fontId="23" fillId="0" borderId="0" applyAlignment="1" applyProtection="1" pivotButton="0" quotePrefix="0" xfId="0">
      <alignment horizontal="left" vertical="center"/>
      <protection locked="1" hidden="1"/>
    </xf>
    <xf numFmtId="165" fontId="23" fillId="3" borderId="0" applyAlignment="1" applyProtection="1" pivotButton="0" quotePrefix="0" xfId="0">
      <alignment horizontal="center" vertical="center" wrapText="1"/>
      <protection locked="1" hidden="1"/>
    </xf>
    <xf numFmtId="165" fontId="23" fillId="3" borderId="0" applyAlignment="1" applyProtection="1" pivotButton="0" quotePrefix="0" xfId="0">
      <alignment vertical="center" wrapText="1"/>
      <protection locked="1" hidden="1"/>
    </xf>
    <xf numFmtId="165" fontId="23" fillId="3" borderId="0" applyAlignment="1" applyProtection="1" pivotButton="0" quotePrefix="0" xfId="0">
      <alignment horizontal="left" vertical="center"/>
      <protection locked="1" hidden="1"/>
    </xf>
    <xf numFmtId="0" fontId="22" fillId="0" borderId="96" applyAlignment="1" applyProtection="1" pivotButton="0" quotePrefix="0" xfId="0">
      <alignment horizontal="center" vertical="center" shrinkToFit="1"/>
      <protection locked="1" hidden="1"/>
    </xf>
    <xf numFmtId="0" fontId="10" fillId="2" borderId="7" applyAlignment="1" applyProtection="1" pivotButton="0" quotePrefix="0" xfId="0">
      <alignment horizontal="center" vertical="center" wrapText="1"/>
      <protection locked="1" hidden="1"/>
    </xf>
    <xf numFmtId="0" fontId="10" fillId="2" borderId="8" applyAlignment="1" applyProtection="1" pivotButton="0" quotePrefix="0" xfId="0">
      <alignment horizontal="center" vertical="center" wrapText="1"/>
      <protection locked="1" hidden="1"/>
    </xf>
    <xf numFmtId="0" fontId="10" fillId="2" borderId="9" applyAlignment="1" applyProtection="1" pivotButton="0" quotePrefix="0" xfId="0">
      <alignment horizontal="center" vertical="center" wrapText="1"/>
      <protection locked="1" hidden="1"/>
    </xf>
    <xf numFmtId="0" fontId="10" fillId="2" borderId="49" applyAlignment="1" applyProtection="1" pivotButton="0" quotePrefix="0" xfId="0">
      <alignment horizontal="center" vertical="center" wrapText="1"/>
      <protection locked="1" hidden="1"/>
    </xf>
    <xf numFmtId="0" fontId="10" fillId="2" borderId="0" applyAlignment="1" applyProtection="1" pivotButton="0" quotePrefix="0" xfId="0">
      <alignment horizontal="center" vertical="center" wrapText="1"/>
      <protection locked="1" hidden="1"/>
    </xf>
    <xf numFmtId="0" fontId="10" fillId="2" borderId="50" applyAlignment="1" applyProtection="1" pivotButton="0" quotePrefix="0" xfId="0">
      <alignment horizontal="center" vertical="center" wrapText="1"/>
      <protection locked="1" hidden="1"/>
    </xf>
    <xf numFmtId="0" fontId="10" fillId="2" borderId="15" applyAlignment="1" applyProtection="1" pivotButton="0" quotePrefix="0" xfId="0">
      <alignment horizontal="center" vertical="center" wrapText="1"/>
      <protection locked="1" hidden="1"/>
    </xf>
    <xf numFmtId="0" fontId="10" fillId="2" borderId="16" applyAlignment="1" applyProtection="1" pivotButton="0" quotePrefix="0" xfId="0">
      <alignment horizontal="center" vertical="center" wrapText="1"/>
      <protection locked="1" hidden="1"/>
    </xf>
    <xf numFmtId="0" fontId="10" fillId="2" borderId="17" applyAlignment="1" applyProtection="1" pivotButton="0" quotePrefix="0" xfId="0">
      <alignment horizontal="center" vertical="center" wrapText="1"/>
      <protection locked="1" hidden="1"/>
    </xf>
    <xf numFmtId="0" fontId="0" fillId="3" borderId="25" applyAlignment="1" applyProtection="1" pivotButton="0" quotePrefix="0" xfId="0">
      <alignment horizontal="center" vertical="center"/>
      <protection locked="1" hidden="1"/>
    </xf>
    <xf numFmtId="0" fontId="0" fillId="3" borderId="28" applyAlignment="1" applyProtection="1" pivotButton="0" quotePrefix="0" xfId="0">
      <alignment horizontal="center" vertical="center"/>
      <protection locked="1" hidden="1"/>
    </xf>
    <xf numFmtId="0" fontId="21" fillId="0" borderId="96" applyAlignment="1" applyProtection="1" pivotButton="0" quotePrefix="0" xfId="0">
      <alignment horizontal="center" vertical="center" shrinkToFit="1"/>
      <protection locked="1" hidden="1"/>
    </xf>
    <xf numFmtId="0" fontId="9" fillId="5" borderId="7" applyAlignment="1" applyProtection="1" pivotButton="0" quotePrefix="0" xfId="0">
      <alignment horizontal="center" vertical="center"/>
      <protection locked="1" hidden="1"/>
    </xf>
    <xf numFmtId="0" fontId="9" fillId="5" borderId="8" applyAlignment="1" applyProtection="1" pivotButton="0" quotePrefix="0" xfId="0">
      <alignment horizontal="center" vertical="center"/>
      <protection locked="1" hidden="1"/>
    </xf>
    <xf numFmtId="0" fontId="9" fillId="5" borderId="9" applyAlignment="1" applyProtection="1" pivotButton="0" quotePrefix="0" xfId="0">
      <alignment horizontal="center" vertical="center"/>
      <protection locked="1" hidden="1"/>
    </xf>
    <xf numFmtId="0" fontId="9" fillId="5" borderId="15" applyAlignment="1" applyProtection="1" pivotButton="0" quotePrefix="0" xfId="0">
      <alignment horizontal="center" vertical="center"/>
      <protection locked="1" hidden="1"/>
    </xf>
    <xf numFmtId="0" fontId="9" fillId="5" borderId="16" applyAlignment="1" applyProtection="1" pivotButton="0" quotePrefix="0" xfId="0">
      <alignment horizontal="center" vertical="center"/>
      <protection locked="1" hidden="1"/>
    </xf>
    <xf numFmtId="0" fontId="9" fillId="5" borderId="17" applyAlignment="1" applyProtection="1" pivotButton="0" quotePrefix="0" xfId="0">
      <alignment horizontal="center" vertical="center"/>
      <protection locked="1" hidden="1"/>
    </xf>
    <xf numFmtId="0" fontId="3" fillId="0" borderId="0" applyAlignment="1" applyProtection="1" pivotButton="0" quotePrefix="0" xfId="0">
      <alignment horizontal="center" vertical="center" shrinkToFit="1"/>
      <protection locked="1" hidden="1"/>
    </xf>
    <xf numFmtId="0" fontId="6" fillId="0" borderId="0" applyAlignment="1" applyProtection="1" pivotButton="0" quotePrefix="0" xfId="1">
      <alignment horizontal="right"/>
      <protection locked="1" hidden="1"/>
    </xf>
    <xf numFmtId="0" fontId="7" fillId="5" borderId="1" applyAlignment="1" applyProtection="1" pivotButton="0" quotePrefix="0" xfId="0">
      <alignment horizontal="center" vertical="center"/>
      <protection locked="1" hidden="1"/>
    </xf>
    <xf numFmtId="0" fontId="7" fillId="5" borderId="2" applyAlignment="1" applyProtection="1" pivotButton="0" quotePrefix="0" xfId="0">
      <alignment horizontal="center" vertical="center"/>
      <protection locked="1" hidden="1"/>
    </xf>
    <xf numFmtId="0" fontId="7" fillId="5" borderId="36" applyAlignment="1" applyProtection="1" pivotButton="0" quotePrefix="0" xfId="0">
      <alignment horizontal="center" vertical="center"/>
      <protection locked="1" hidden="1"/>
    </xf>
    <xf numFmtId="0" fontId="7" fillId="5" borderId="4" applyAlignment="1" applyProtection="1" pivotButton="0" quotePrefix="0" xfId="0">
      <alignment horizontal="center" vertical="center"/>
      <protection locked="1" hidden="1"/>
    </xf>
    <xf numFmtId="0" fontId="7" fillId="5" borderId="5" applyAlignment="1" applyProtection="1" pivotButton="0" quotePrefix="0" xfId="0">
      <alignment horizontal="center" vertical="center"/>
      <protection locked="1" hidden="1"/>
    </xf>
    <xf numFmtId="0" fontId="7" fillId="5" borderId="37" applyAlignment="1" applyProtection="1" pivotButton="0" quotePrefix="0" xfId="0">
      <alignment horizontal="center" vertical="center"/>
      <protection locked="1" hidden="1"/>
    </xf>
    <xf numFmtId="0" fontId="5" fillId="2" borderId="1" applyAlignment="1" applyProtection="1" pivotButton="0" quotePrefix="0" xfId="1">
      <alignment horizontal="center" vertical="center"/>
      <protection locked="1" hidden="1"/>
    </xf>
    <xf numFmtId="0" fontId="5" fillId="2" borderId="2" applyAlignment="1" applyProtection="1" pivotButton="0" quotePrefix="0" xfId="1">
      <alignment horizontal="center" vertical="center"/>
      <protection locked="1" hidden="1"/>
    </xf>
    <xf numFmtId="0" fontId="5" fillId="2" borderId="3" applyAlignment="1" applyProtection="1" pivotButton="0" quotePrefix="0" xfId="1">
      <alignment horizontal="center" vertical="center"/>
      <protection locked="1" hidden="1"/>
    </xf>
    <xf numFmtId="0" fontId="5" fillId="2" borderId="4" applyAlignment="1" applyProtection="1" pivotButton="0" quotePrefix="0" xfId="1">
      <alignment horizontal="center" vertical="center"/>
      <protection locked="1" hidden="1"/>
    </xf>
    <xf numFmtId="0" fontId="5" fillId="2" borderId="5" applyAlignment="1" applyProtection="1" pivotButton="0" quotePrefix="0" xfId="1">
      <alignment horizontal="center" vertical="center"/>
      <protection locked="1" hidden="1"/>
    </xf>
    <xf numFmtId="0" fontId="5" fillId="2" borderId="6" applyAlignment="1" applyProtection="1" pivotButton="0" quotePrefix="0" xfId="1">
      <alignment horizontal="center" vertical="center"/>
      <protection locked="1" hidden="1"/>
    </xf>
    <xf numFmtId="0" fontId="7" fillId="5" borderId="101" applyAlignment="1" applyProtection="1" pivotButton="0" quotePrefix="0" xfId="0">
      <alignment horizontal="center" vertical="center"/>
      <protection locked="1" hidden="1"/>
    </xf>
    <xf numFmtId="0" fontId="0" fillId="0" borderId="2" applyProtection="1" pivotButton="0" quotePrefix="0" xfId="0">
      <protection locked="1" hidden="1"/>
    </xf>
    <xf numFmtId="0" fontId="0" fillId="0" borderId="36" applyProtection="1" pivotButton="0" quotePrefix="0" xfId="0">
      <protection locked="1" hidden="1"/>
    </xf>
    <xf numFmtId="0" fontId="5" fillId="2" borderId="104" applyAlignment="1" applyProtection="1" pivotButton="0" quotePrefix="0" xfId="1">
      <alignment horizontal="center" vertical="center"/>
      <protection locked="1" hidden="1"/>
    </xf>
    <xf numFmtId="0" fontId="0" fillId="0" borderId="3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0" fontId="0" fillId="0" borderId="5" applyProtection="1" pivotButton="0" quotePrefix="0" xfId="0">
      <protection locked="1" hidden="1"/>
    </xf>
    <xf numFmtId="0" fontId="0" fillId="0" borderId="37" applyProtection="1" pivotButton="0" quotePrefix="0" xfId="0">
      <protection locked="1" hidden="1"/>
    </xf>
    <xf numFmtId="0" fontId="0" fillId="0" borderId="6" applyProtection="1" pivotButton="0" quotePrefix="0" xfId="0">
      <protection locked="1" hidden="1"/>
    </xf>
    <xf numFmtId="0" fontId="9" fillId="5" borderId="100" applyAlignment="1" applyProtection="1" pivotButton="0" quotePrefix="0" xfId="0">
      <alignment horizontal="center" vertical="center"/>
      <protection locked="1" hidden="1"/>
    </xf>
    <xf numFmtId="0" fontId="0" fillId="0" borderId="8" applyProtection="1" pivotButton="0" quotePrefix="0" xfId="0">
      <protection locked="1" hidden="1"/>
    </xf>
    <xf numFmtId="0" fontId="0" fillId="0" borderId="9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6" applyProtection="1" pivotButton="0" quotePrefix="0" xfId="0">
      <protection locked="1" hidden="1"/>
    </xf>
    <xf numFmtId="0" fontId="0" fillId="0" borderId="17" applyProtection="1" pivotButton="0" quotePrefix="0" xfId="0">
      <protection locked="1" hidden="1"/>
    </xf>
    <xf numFmtId="0" fontId="0" fillId="3" borderId="97" applyAlignment="1" applyProtection="1" pivotButton="0" quotePrefix="0" xfId="0">
      <alignment horizontal="center" vertical="center"/>
      <protection locked="1" hidden="1"/>
    </xf>
    <xf numFmtId="0" fontId="0" fillId="0" borderId="28" applyProtection="1" pivotButton="0" quotePrefix="0" xfId="0">
      <protection locked="1" hidden="1"/>
    </xf>
    <xf numFmtId="0" fontId="0" fillId="0" borderId="96" applyProtection="1" pivotButton="0" quotePrefix="0" xfId="0">
      <protection locked="1" hidden="1"/>
    </xf>
    <xf numFmtId="0" fontId="10" fillId="2" borderId="100" applyAlignment="1" applyProtection="1" pivotButton="0" quotePrefix="0" xfId="0">
      <alignment horizontal="center" vertical="center" wrapText="1"/>
      <protection locked="1" hidden="1"/>
    </xf>
    <xf numFmtId="0" fontId="0" fillId="0" borderId="49" applyProtection="1" pivotButton="0" quotePrefix="0" xfId="0">
      <protection locked="1" hidden="1"/>
    </xf>
    <xf numFmtId="0" fontId="0" fillId="0" borderId="50" applyProtection="1" pivotButton="0" quotePrefix="0" xfId="0">
      <protection locked="1" hidden="1"/>
    </xf>
  </cellXfs>
  <cellStyles count="3">
    <cellStyle name="Normal" xfId="0" builtinId="0"/>
    <cellStyle name="Hyperlänk" xfId="1" builtinId="8"/>
    <cellStyle name="Anteckning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3366FF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3366FF"/>
      </font>
    </dxf>
    <dxf>
      <font>
        <condense val="0"/>
        <color auto="1"/>
        <extend val="0"/>
      </font>
      <fill>
        <patternFill>
          <bgColor rgb="FFFFFF99"/>
        </patternFill>
      </fill>
    </dxf>
    <dxf>
      <font>
        <condense val="0"/>
        <color auto="1"/>
        <extend val="0"/>
      </font>
      <fill>
        <patternFill>
          <bgColor rgb="FFFFFF99"/>
        </patternFill>
      </fill>
    </dxf>
    <dxf>
      <font>
        <condense val="0"/>
        <color auto="1"/>
        <extend val="0"/>
      </font>
      <fill>
        <patternFill>
          <bgColor theme="8" tint="0.7999816888943144"/>
        </patternFill>
      </fill>
    </dxf>
    <dxf>
      <font>
        <b val="1"/>
        <condense val="0"/>
        <color auto="1"/>
        <extend val="0"/>
      </font>
      <fill>
        <patternFill>
          <bgColor theme="8" tint="0.7999816888943144"/>
        </patternFill>
      </fill>
    </dxf>
    <dxf>
      <font>
        <condense val="0"/>
        <color auto="1"/>
        <extend val="0"/>
      </font>
      <fill>
        <patternFill>
          <bgColor rgb="FFFFFF99"/>
        </patternFill>
      </fill>
    </dxf>
    <dxf>
      <font>
        <condense val="0"/>
        <color auto="1"/>
        <extend val="0"/>
      </font>
      <fill>
        <patternFill>
          <bgColor rgb="FFFFFF99"/>
        </patternFill>
      </fill>
    </dxf>
    <dxf>
      <font>
        <condense val="0"/>
        <color auto="1"/>
        <extend val="0"/>
      </font>
      <fill>
        <patternFill>
          <bgColor theme="8" tint="0.7999816888943144"/>
        </patternFill>
      </fill>
    </dxf>
    <dxf>
      <font>
        <b val="1"/>
        <condense val="0"/>
        <color auto="1"/>
        <extend val="0"/>
      </font>
      <fill>
        <patternFill>
          <bgColor theme="8" tint="0.7999816888943144"/>
        </patternFill>
      </fill>
    </dxf>
    <dxf>
      <font>
        <condense val="0"/>
        <color auto="1"/>
        <extend val="0"/>
      </font>
      <fill>
        <patternFill>
          <bgColor rgb="FFFFFF99"/>
        </patternFill>
      </fill>
    </dxf>
    <dxf>
      <font>
        <condense val="0"/>
        <color auto="1"/>
        <extend val="0"/>
      </font>
      <fill>
        <patternFill>
          <bgColor rgb="FFFFFF99"/>
        </patternFill>
      </fill>
    </dxf>
    <dxf>
      <font>
        <condense val="0"/>
        <color auto="1"/>
        <extend val="0"/>
      </font>
      <fill>
        <patternFill>
          <bgColor theme="8" tint="0.7999816888943144"/>
        </patternFill>
      </fill>
    </dxf>
    <dxf>
      <font>
        <b val="1"/>
        <condense val="0"/>
        <color auto="1"/>
        <extend val="0"/>
      </font>
      <fill>
        <patternFill>
          <bgColor theme="8" tint="0.7999816888943144"/>
        </patternFill>
      </fill>
    </dxf>
    <dxf>
      <font>
        <condense val="0"/>
        <color auto="1"/>
        <extend val="0"/>
      </font>
      <fill>
        <patternFill>
          <bgColor rgb="FFFFFF99"/>
        </patternFill>
      </fill>
    </dxf>
    <dxf>
      <font>
        <condense val="0"/>
        <color auto="1"/>
        <extend val="0"/>
      </font>
      <fill>
        <patternFill>
          <bgColor rgb="FFFFFF99"/>
        </patternFill>
      </fill>
    </dxf>
    <dxf>
      <font>
        <condense val="0"/>
        <color auto="1"/>
        <extend val="0"/>
      </font>
      <fill>
        <patternFill>
          <bgColor theme="8" tint="0.7999816888943144"/>
        </patternFill>
      </fill>
    </dxf>
    <dxf>
      <font>
        <b val="1"/>
        <condense val="0"/>
        <color auto="1"/>
        <extend val="0"/>
      </font>
      <fill>
        <patternFill>
          <bgColor theme="8" tint="0.7999816888943144"/>
        </patternFill>
      </fill>
    </dxf>
    <dxf>
      <font>
        <condense val="0"/>
        <color auto="1"/>
        <extend val="0"/>
      </font>
      <fill>
        <patternFill>
          <bgColor rgb="FFFFFF99"/>
        </patternFill>
      </fill>
    </dxf>
    <dxf>
      <font>
        <condense val="0"/>
        <color auto="1"/>
        <extend val="0"/>
      </font>
      <fill>
        <patternFill>
          <bgColor rgb="FFFFFF99"/>
        </patternFill>
      </fill>
    </dxf>
    <dxf>
      <font>
        <condense val="0"/>
        <color auto="1"/>
        <extend val="0"/>
      </font>
      <fill>
        <patternFill>
          <bgColor theme="8" tint="0.7999816888943144"/>
        </patternFill>
      </fill>
    </dxf>
    <dxf>
      <font>
        <b val="1"/>
        <condense val="0"/>
        <color auto="1"/>
        <extend val="0"/>
      </font>
      <fill>
        <patternFill>
          <bgColor theme="8" tint="0.7999816888943144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633777886288"/>
        </patternFill>
      </fill>
    </dxf>
    <dxf>
      <font>
        <b val="1"/>
        <color rgb="FFFF0000"/>
      </font>
    </dxf>
    <dxf>
      <font>
        <b val="1"/>
        <color rgb="FFFF0000"/>
      </font>
      <fill>
        <patternFill>
          <bgColor theme="7" tint="0.5999633777886288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633777886288"/>
        </patternFill>
      </fill>
    </dxf>
    <dxf>
      <fill>
        <patternFill>
          <bgColor theme="7" tint="0.5999633777886288"/>
        </patternFill>
      </fill>
    </dxf>
    <dxf>
      <font>
        <b val="1"/>
        <condense val="0"/>
        <extend val="0"/>
      </font>
    </dxf>
    <dxf>
      <font>
        <b val="1"/>
        <condense val="0"/>
        <extend val="0"/>
      </font>
    </dxf>
    <dxf>
      <font>
        <b val="1"/>
        <color rgb="FFFF0000"/>
      </font>
    </dxf>
    <dxf>
      <font>
        <b val="1"/>
        <color rgb="FFFF0000"/>
      </font>
      <fill>
        <patternFill>
          <bgColor theme="7" tint="0.5999633777886288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633777886288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633777886288"/>
        </patternFill>
      </fill>
    </dxf>
    <dxf>
      <fill>
        <patternFill>
          <bgColor theme="7" tint="0.5999633777886288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jpeg" Id="rId55"/><Relationship Type="http://schemas.openxmlformats.org/officeDocument/2006/relationships/image" Target="/xl/media/image56.jpeg" Id="rId56"/><Relationship Type="http://schemas.openxmlformats.org/officeDocument/2006/relationships/image" Target="/xl/media/image57.jpeg" Id="rId57"/><Relationship Type="http://schemas.openxmlformats.org/officeDocument/2006/relationships/image" Target="/xl/media/image58.jpeg" Id="rId58"/><Relationship Type="http://schemas.openxmlformats.org/officeDocument/2006/relationships/image" Target="/xl/media/image59.jpeg" Id="rId59"/><Relationship Type="http://schemas.openxmlformats.org/officeDocument/2006/relationships/image" Target="/xl/media/image60.jpeg" Id="rId60"/><Relationship Type="http://schemas.openxmlformats.org/officeDocument/2006/relationships/image" Target="/xl/media/image61.jpeg" Id="rId61"/><Relationship Type="http://schemas.openxmlformats.org/officeDocument/2006/relationships/image" Target="/xl/media/image62.jpeg" Id="rId62"/><Relationship Type="http://schemas.openxmlformats.org/officeDocument/2006/relationships/image" Target="/xl/media/image63.jpeg" Id="rId63"/><Relationship Type="http://schemas.openxmlformats.org/officeDocument/2006/relationships/image" Target="/xl/media/image64.jpeg" Id="rId64"/><Relationship Type="http://schemas.openxmlformats.org/officeDocument/2006/relationships/image" Target="/xl/media/image65.jpeg" Id="rId65"/><Relationship Type="http://schemas.openxmlformats.org/officeDocument/2006/relationships/image" Target="/xl/media/image66.jpeg" Id="rId66"/><Relationship Type="http://schemas.openxmlformats.org/officeDocument/2006/relationships/image" Target="/xl/media/image67.jpeg" Id="rId67"/><Relationship Type="http://schemas.openxmlformats.org/officeDocument/2006/relationships/image" Target="/xl/media/image68.jpeg" Id="rId68"/><Relationship Type="http://schemas.openxmlformats.org/officeDocument/2006/relationships/image" Target="/xl/media/image69.jpeg" Id="rId69"/><Relationship Type="http://schemas.openxmlformats.org/officeDocument/2006/relationships/image" Target="/xl/media/image70.jpeg" Id="rId70"/><Relationship Type="http://schemas.openxmlformats.org/officeDocument/2006/relationships/image" Target="/xl/media/image71.jpeg" Id="rId71"/><Relationship Type="http://schemas.openxmlformats.org/officeDocument/2006/relationships/image" Target="/xl/media/image72.jpeg" Id="rId72"/><Relationship Type="http://schemas.openxmlformats.org/officeDocument/2006/relationships/image" Target="/xl/media/image73.jpeg" Id="rId73"/><Relationship Type="http://schemas.openxmlformats.org/officeDocument/2006/relationships/image" Target="/xl/media/image74.jpeg" Id="rId74"/><Relationship Type="http://schemas.openxmlformats.org/officeDocument/2006/relationships/image" Target="/xl/media/image75.jpeg" Id="rId75"/><Relationship Type="http://schemas.openxmlformats.org/officeDocument/2006/relationships/image" Target="/xl/media/image76.jpeg" Id="rId76"/><Relationship Type="http://schemas.openxmlformats.org/officeDocument/2006/relationships/image" Target="/xl/media/image77.jpeg" Id="rId77"/><Relationship Type="http://schemas.openxmlformats.org/officeDocument/2006/relationships/image" Target="/xl/media/image78.jpeg" Id="rId78"/><Relationship Type="http://schemas.openxmlformats.org/officeDocument/2006/relationships/image" Target="/xl/media/image79.jpeg" Id="rId79"/><Relationship Type="http://schemas.openxmlformats.org/officeDocument/2006/relationships/image" Target="/xl/media/image80.jpeg" Id="rId80"/><Relationship Type="http://schemas.openxmlformats.org/officeDocument/2006/relationships/image" Target="/xl/media/image81.jpeg" Id="rId81"/><Relationship Type="http://schemas.openxmlformats.org/officeDocument/2006/relationships/image" Target="/xl/media/image82.png" Id="rId82"/><Relationship Type="http://schemas.openxmlformats.org/officeDocument/2006/relationships/image" Target="/xl/media/image83.png" Id="rId83"/><Relationship Type="http://schemas.openxmlformats.org/officeDocument/2006/relationships/image" Target="/xl/media/image84.jpeg" Id="rId84"/><Relationship Type="http://schemas.openxmlformats.org/officeDocument/2006/relationships/image" Target="/xl/media/image85.jpeg" Id="rId85"/><Relationship Type="http://schemas.openxmlformats.org/officeDocument/2006/relationships/image" Target="/xl/media/image86.jpeg" Id="rId86"/><Relationship Type="http://schemas.openxmlformats.org/officeDocument/2006/relationships/image" Target="/xl/media/image87.jpeg" Id="rId87"/><Relationship Type="http://schemas.openxmlformats.org/officeDocument/2006/relationships/image" Target="/xl/media/image88.jpeg" Id="rId88"/><Relationship Type="http://schemas.openxmlformats.org/officeDocument/2006/relationships/image" Target="/xl/media/image89.jpeg" Id="rId89"/><Relationship Type="http://schemas.openxmlformats.org/officeDocument/2006/relationships/image" Target="/xl/media/image90.jpeg" Id="rId90"/><Relationship Type="http://schemas.openxmlformats.org/officeDocument/2006/relationships/image" Target="/xl/media/image91.jpeg" Id="rId91"/><Relationship Type="http://schemas.openxmlformats.org/officeDocument/2006/relationships/image" Target="/xl/media/image92.jpeg" Id="rId92"/><Relationship Type="http://schemas.openxmlformats.org/officeDocument/2006/relationships/image" Target="/xl/media/image93.jpeg" Id="rId93"/><Relationship Type="http://schemas.openxmlformats.org/officeDocument/2006/relationships/image" Target="/xl/media/image94.jpeg" Id="rId94"/><Relationship Type="http://schemas.openxmlformats.org/officeDocument/2006/relationships/image" Target="/xl/media/image95.jpeg" Id="rId95"/><Relationship Type="http://schemas.openxmlformats.org/officeDocument/2006/relationships/image" Target="/xl/media/image96.jpeg" Id="rId96"/><Relationship Type="http://schemas.openxmlformats.org/officeDocument/2006/relationships/image" Target="/xl/media/image97.jpeg" Id="rId97"/><Relationship Type="http://schemas.openxmlformats.org/officeDocument/2006/relationships/image" Target="/xl/media/image98.jpeg" Id="rId98"/><Relationship Type="http://schemas.openxmlformats.org/officeDocument/2006/relationships/image" Target="/xl/media/image99.jpeg" Id="rId99"/><Relationship Type="http://schemas.openxmlformats.org/officeDocument/2006/relationships/image" Target="/xl/media/image100.jpeg" Id="rId100"/><Relationship Type="http://schemas.openxmlformats.org/officeDocument/2006/relationships/image" Target="/xl/media/image101.jpeg" Id="rId101"/><Relationship Type="http://schemas.openxmlformats.org/officeDocument/2006/relationships/image" Target="/xl/media/image102.jpeg" Id="rId102"/><Relationship Type="http://schemas.openxmlformats.org/officeDocument/2006/relationships/image" Target="/xl/media/image103.jpeg" Id="rId103"/><Relationship Type="http://schemas.openxmlformats.org/officeDocument/2006/relationships/image" Target="/xl/media/image104.jpeg" Id="rId104"/><Relationship Type="http://schemas.openxmlformats.org/officeDocument/2006/relationships/image" Target="/xl/media/image105.jpeg" Id="rId105"/><Relationship Type="http://schemas.openxmlformats.org/officeDocument/2006/relationships/image" Target="/xl/media/image106.jpeg" Id="rId106"/><Relationship Type="http://schemas.openxmlformats.org/officeDocument/2006/relationships/image" Target="/xl/media/image107.jpeg" Id="rId107"/><Relationship Type="http://schemas.openxmlformats.org/officeDocument/2006/relationships/image" Target="/xl/media/image108.jpeg" Id="rId108"/><Relationship Type="http://schemas.openxmlformats.org/officeDocument/2006/relationships/image" Target="/xl/media/image109.jpeg" Id="rId109"/><Relationship Type="http://schemas.openxmlformats.org/officeDocument/2006/relationships/image" Target="/xl/media/image110.jpeg" Id="rId110"/><Relationship Type="http://schemas.openxmlformats.org/officeDocument/2006/relationships/image" Target="/xl/media/image111.jpeg" Id="rId111"/><Relationship Type="http://schemas.openxmlformats.org/officeDocument/2006/relationships/image" Target="/xl/media/image112.jpeg" Id="rId112"/><Relationship Type="http://schemas.openxmlformats.org/officeDocument/2006/relationships/image" Target="/xl/media/image113.jpeg" Id="rId113"/><Relationship Type="http://schemas.openxmlformats.org/officeDocument/2006/relationships/image" Target="/xl/media/image114.jpeg" Id="rId114"/><Relationship Type="http://schemas.openxmlformats.org/officeDocument/2006/relationships/image" Target="/xl/media/image115.jpeg" Id="rId115"/><Relationship Type="http://schemas.openxmlformats.org/officeDocument/2006/relationships/image" Target="/xl/media/image116.jpeg" Id="rId116"/><Relationship Type="http://schemas.openxmlformats.org/officeDocument/2006/relationships/image" Target="/xl/media/image117.jpeg" Id="rId117"/><Relationship Type="http://schemas.openxmlformats.org/officeDocument/2006/relationships/image" Target="/xl/media/image118.jpeg" Id="rId118"/><Relationship Type="http://schemas.openxmlformats.org/officeDocument/2006/relationships/image" Target="/xl/media/image119.jpeg" Id="rId119"/><Relationship Type="http://schemas.openxmlformats.org/officeDocument/2006/relationships/image" Target="/xl/media/image120.jpeg" Id="rId120"/><Relationship Type="http://schemas.openxmlformats.org/officeDocument/2006/relationships/image" Target="/xl/media/image121.jpeg" Id="rId121"/><Relationship Type="http://schemas.openxmlformats.org/officeDocument/2006/relationships/image" Target="/xl/media/image122.jpeg" Id="rId122"/><Relationship Type="http://schemas.openxmlformats.org/officeDocument/2006/relationships/image" Target="/xl/media/image123.jpeg" Id="rId123"/><Relationship Type="http://schemas.openxmlformats.org/officeDocument/2006/relationships/image" Target="/xl/media/image124.jpeg" Id="rId124"/><Relationship Type="http://schemas.openxmlformats.org/officeDocument/2006/relationships/image" Target="/xl/media/image125.jpeg" Id="rId125"/><Relationship Type="http://schemas.openxmlformats.org/officeDocument/2006/relationships/image" Target="/xl/media/image126.jpeg" Id="rId126"/><Relationship Type="http://schemas.openxmlformats.org/officeDocument/2006/relationships/image" Target="/xl/media/image127.jpeg" Id="rId127"/><Relationship Type="http://schemas.openxmlformats.org/officeDocument/2006/relationships/image" Target="/xl/media/image128.jpeg" Id="rId128"/><Relationship Type="http://schemas.openxmlformats.org/officeDocument/2006/relationships/image" Target="/xl/media/image129.jpeg" Id="rId129"/><Relationship Type="http://schemas.openxmlformats.org/officeDocument/2006/relationships/image" Target="/xl/media/image130.jpeg" Id="rId130"/><Relationship Type="http://schemas.openxmlformats.org/officeDocument/2006/relationships/image" Target="/xl/media/image131.jpeg" Id="rId131"/><Relationship Type="http://schemas.openxmlformats.org/officeDocument/2006/relationships/image" Target="/xl/media/image132.jpeg" Id="rId132"/><Relationship Type="http://schemas.openxmlformats.org/officeDocument/2006/relationships/image" Target="/xl/media/image133.jpeg" Id="rId133"/><Relationship Type="http://schemas.openxmlformats.org/officeDocument/2006/relationships/image" Target="/xl/media/image134.jpeg" Id="rId134"/><Relationship Type="http://schemas.openxmlformats.org/officeDocument/2006/relationships/image" Target="/xl/media/image135.jpeg" Id="rId135"/><Relationship Type="http://schemas.openxmlformats.org/officeDocument/2006/relationships/image" Target="/xl/media/image136.jpeg" Id="rId136"/><Relationship Type="http://schemas.openxmlformats.org/officeDocument/2006/relationships/image" Target="/xl/media/image137.jpeg" Id="rId137"/><Relationship Type="http://schemas.openxmlformats.org/officeDocument/2006/relationships/image" Target="/xl/media/image138.jpeg" Id="rId138"/><Relationship Type="http://schemas.openxmlformats.org/officeDocument/2006/relationships/image" Target="/xl/media/image139.jpeg" Id="rId139"/><Relationship Type="http://schemas.openxmlformats.org/officeDocument/2006/relationships/image" Target="/xl/media/image140.jpeg" Id="rId140"/><Relationship Type="http://schemas.openxmlformats.org/officeDocument/2006/relationships/image" Target="/xl/media/image141.jpeg" Id="rId141"/><Relationship Type="http://schemas.openxmlformats.org/officeDocument/2006/relationships/image" Target="/xl/media/image142.jpeg" Id="rId142"/><Relationship Type="http://schemas.openxmlformats.org/officeDocument/2006/relationships/image" Target="/xl/media/image143.jpeg" Id="rId143"/><Relationship Type="http://schemas.openxmlformats.org/officeDocument/2006/relationships/image" Target="/xl/media/image144.jpeg" Id="rId144"/></Relationships>
</file>

<file path=xl/drawings/drawing1.xml><?xml version="1.0" encoding="utf-8"?>
<wsDr xmlns="http://schemas.openxmlformats.org/drawingml/2006/spreadsheetDrawing">
  <twoCellAnchor editAs="oneCell">
    <from>
      <col>4</col>
      <colOff>1266825</colOff>
      <row>13</row>
      <rowOff>21898</rowOff>
    </from>
    <to>
      <col>4</col>
      <colOff>1476375</colOff>
      <row>13</row>
      <rowOff>174298</rowOff>
    </to>
    <pic>
      <nvPicPr>
        <cNvPr id="40" name="Graphic 3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3381375" y="2565073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1261204</colOff>
      <row>50</row>
      <rowOff>16863</rowOff>
    </from>
    <to>
      <col>4</col>
      <colOff>1470754</colOff>
      <row>50</row>
      <rowOff>169263</rowOff>
    </to>
    <pic>
      <nvPicPr>
        <cNvPr id="72" name="Graphic 7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3375754" y="9608538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1271194</colOff>
      <row>9</row>
      <rowOff>21138</rowOff>
    </from>
    <to>
      <col>4</col>
      <colOff>1480744</colOff>
      <row>9</row>
      <rowOff>173538</rowOff>
    </to>
    <pic>
      <nvPicPr>
        <cNvPr id="80" name="Graphic 7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3385744" y="1802313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1270729</colOff>
      <row>24</row>
      <rowOff>21138</rowOff>
    </from>
    <to>
      <col>4</col>
      <colOff>1480279</colOff>
      <row>24</row>
      <rowOff>173538</rowOff>
    </to>
    <pic>
      <nvPicPr>
        <cNvPr id="116" name="Graphic 11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3385279" y="4659813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1271194</colOff>
      <row>18</row>
      <rowOff>21138</rowOff>
    </from>
    <to>
      <col>4</col>
      <colOff>1480744</colOff>
      <row>18</row>
      <rowOff>173538</rowOff>
    </to>
    <pic>
      <nvPicPr>
        <cNvPr id="117" name="Graphic 11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3385744" y="3516813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1271350</colOff>
      <row>22</row>
      <rowOff>23640</rowOff>
    </from>
    <to>
      <col>4</col>
      <colOff>1480900</colOff>
      <row>22</row>
      <rowOff>176040</rowOff>
    </to>
    <pic>
      <nvPicPr>
        <cNvPr id="122" name="Graphic 12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3385900" y="4281315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20948</colOff>
      <row>36</row>
      <rowOff>14115</rowOff>
    </from>
    <to>
      <col>7</col>
      <colOff>230498</colOff>
      <row>36</row>
      <rowOff>166515</rowOff>
    </to>
    <pic>
      <nvPicPr>
        <cNvPr id="123" name="Graphic 12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4211948" y="6938790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23575</colOff>
      <row>35</row>
      <rowOff>23751</rowOff>
    </from>
    <to>
      <col>7</col>
      <colOff>233125</colOff>
      <row>35</row>
      <rowOff>176151</rowOff>
    </to>
    <pic>
      <nvPicPr>
        <cNvPr id="124" name="Graphic 12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4214575" y="6757926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20948</colOff>
      <row>27</row>
      <rowOff>23751</rowOff>
    </from>
    <to>
      <col>7</col>
      <colOff>230498</colOff>
      <row>27</row>
      <rowOff>176151</rowOff>
    </to>
    <pic>
      <nvPicPr>
        <cNvPr id="125" name="Graphic 12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4211948" y="5233926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1270885</colOff>
      <row>15</row>
      <rowOff>14335</rowOff>
    </from>
    <to>
      <col>4</col>
      <colOff>1480435</colOff>
      <row>15</row>
      <rowOff>166735</rowOff>
    </to>
    <pic>
      <nvPicPr>
        <cNvPr id="126" name="Graphic 12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3385435" y="2938510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20948</colOff>
      <row>16</row>
      <rowOff>4810</rowOff>
    </from>
    <to>
      <col>7</col>
      <colOff>230498</colOff>
      <row>16</row>
      <rowOff>157210</rowOff>
    </to>
    <pic>
      <nvPicPr>
        <cNvPr id="127" name="Graphic 12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4211948" y="3119485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1270885</colOff>
      <row>19</row>
      <rowOff>14444</rowOff>
    </from>
    <to>
      <col>4</col>
      <colOff>1480435</colOff>
      <row>19</row>
      <rowOff>166844</rowOff>
    </to>
    <pic>
      <nvPicPr>
        <cNvPr id="128" name="Graphic 12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3385435" y="3700619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1270885</colOff>
      <row>21</row>
      <rowOff>14553</rowOff>
    </from>
    <to>
      <col>4</col>
      <colOff>1480435</colOff>
      <row>21</row>
      <rowOff>166953</rowOff>
    </to>
    <pic>
      <nvPicPr>
        <cNvPr id="130" name="Graphic 1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3385435" y="4081728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36910</colOff>
      <row>13</row>
      <rowOff>14663</rowOff>
    </from>
    <to>
      <col>7</col>
      <colOff>189310</colOff>
      <row>13</row>
      <rowOff>167063</rowOff>
    </to>
    <pic>
      <nvPicPr>
        <cNvPr id="132" name="Graphic 13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4"/>
        <a:stretch xmlns:a="http://schemas.openxmlformats.org/drawingml/2006/main">
          <a:fillRect/>
        </a:stretch>
      </blipFill>
      <spPr>
        <a:xfrm xmlns:a="http://schemas.openxmlformats.org/drawingml/2006/main">
          <a:off x="4227910" y="2557838"/>
          <a:ext cx="15240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1270885</colOff>
      <row>42</row>
      <rowOff>14773</rowOff>
    </from>
    <to>
      <col>4</col>
      <colOff>1480435</colOff>
      <row>42</row>
      <rowOff>167173</rowOff>
    </to>
    <pic>
      <nvPicPr>
        <cNvPr id="134" name="Graphic 13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5"/>
        <a:stretch xmlns:a="http://schemas.openxmlformats.org/drawingml/2006/main">
          <a:fillRect/>
        </a:stretch>
      </blipFill>
      <spPr>
        <a:xfrm xmlns:a="http://schemas.openxmlformats.org/drawingml/2006/main">
          <a:off x="3385435" y="8082448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23110</colOff>
      <row>76</row>
      <rowOff>14882</rowOff>
    </from>
    <to>
      <col>7</col>
      <colOff>232660</colOff>
      <row>76</row>
      <rowOff>167282</rowOff>
    </to>
    <pic>
      <nvPicPr>
        <cNvPr id="136" name="Graphic 13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6"/>
        <a:stretch xmlns:a="http://schemas.openxmlformats.org/drawingml/2006/main">
          <a:fillRect/>
        </a:stretch>
      </blipFill>
      <spPr>
        <a:xfrm xmlns:a="http://schemas.openxmlformats.org/drawingml/2006/main">
          <a:off x="4214110" y="14559557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1270885</colOff>
      <row>12</row>
      <rowOff>14991</rowOff>
    </from>
    <to>
      <col>4</col>
      <colOff>1480435</colOff>
      <row>12</row>
      <rowOff>167391</rowOff>
    </to>
    <pic>
      <nvPicPr>
        <cNvPr id="138" name="Graphic 13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7"/>
        <a:stretch xmlns:a="http://schemas.openxmlformats.org/drawingml/2006/main">
          <a:fillRect/>
        </a:stretch>
      </blipFill>
      <spPr>
        <a:xfrm xmlns:a="http://schemas.openxmlformats.org/drawingml/2006/main">
          <a:off x="3385435" y="2367666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7949</colOff>
      <row>32</row>
      <rowOff>19624</rowOff>
    </from>
    <to>
      <col>7</col>
      <colOff>217499</colOff>
      <row>32</row>
      <rowOff>172024</rowOff>
    </to>
    <pic>
      <nvPicPr>
        <cNvPr id="144" name="Graphic 14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8"/>
        <a:stretch xmlns:a="http://schemas.openxmlformats.org/drawingml/2006/main">
          <a:fillRect/>
        </a:stretch>
      </blipFill>
      <spPr>
        <a:xfrm xmlns:a="http://schemas.openxmlformats.org/drawingml/2006/main">
          <a:off x="4198949" y="6182299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1256927</colOff>
      <row>27</row>
      <rowOff>14331</rowOff>
    </from>
    <to>
      <col>4</col>
      <colOff>1465475</colOff>
      <row>27</row>
      <rowOff>166731</rowOff>
    </to>
    <pic>
      <nvPicPr>
        <cNvPr id="146" name="Graphic 14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9"/>
        <a:stretch xmlns:a="http://schemas.openxmlformats.org/drawingml/2006/main">
          <a:fillRect/>
        </a:stretch>
      </blipFill>
      <spPr>
        <a:xfrm xmlns:a="http://schemas.openxmlformats.org/drawingml/2006/main">
          <a:off x="3371477" y="5224506"/>
          <a:ext cx="208548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1265830</colOff>
      <row>36</row>
      <rowOff>23355</rowOff>
    </from>
    <to>
      <col>4</col>
      <colOff>1475380</colOff>
      <row>36</row>
      <rowOff>175755</rowOff>
    </to>
    <pic>
      <nvPicPr>
        <cNvPr id="147" name="Graphic 14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0"/>
        <a:stretch xmlns:a="http://schemas.openxmlformats.org/drawingml/2006/main">
          <a:fillRect/>
        </a:stretch>
      </blipFill>
      <spPr>
        <a:xfrm xmlns:a="http://schemas.openxmlformats.org/drawingml/2006/main">
          <a:off x="3380380" y="6948030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1267755</colOff>
      <row>48</row>
      <rowOff>23791</rowOff>
    </from>
    <to>
      <col>4</col>
      <colOff>1477305</colOff>
      <row>48</row>
      <rowOff>176191</rowOff>
    </to>
    <pic>
      <nvPicPr>
        <cNvPr id="148" name="Graphic 14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1"/>
        <a:stretch xmlns:a="http://schemas.openxmlformats.org/drawingml/2006/main">
          <a:fillRect/>
        </a:stretch>
      </blipFill>
      <spPr>
        <a:xfrm xmlns:a="http://schemas.openxmlformats.org/drawingml/2006/main">
          <a:off x="3382305" y="9234466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18055</colOff>
      <row>43</row>
      <rowOff>18058</rowOff>
    </from>
    <to>
      <col>7</col>
      <colOff>227605</colOff>
      <row>43</row>
      <rowOff>170458</rowOff>
    </to>
    <pic>
      <nvPicPr>
        <cNvPr id="149" name="Graphic 14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2"/>
        <a:stretch xmlns:a="http://schemas.openxmlformats.org/drawingml/2006/main">
          <a:fillRect/>
        </a:stretch>
      </blipFill>
      <spPr>
        <a:xfrm xmlns:a="http://schemas.openxmlformats.org/drawingml/2006/main">
          <a:off x="4209055" y="8276233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1262441</colOff>
      <row>47</row>
      <rowOff>19170</rowOff>
    </from>
    <to>
      <col>4</col>
      <colOff>1471991</colOff>
      <row>47</row>
      <rowOff>171570</rowOff>
    </to>
    <pic>
      <nvPicPr>
        <cNvPr id="154" name="Graphic 15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3"/>
        <a:stretch xmlns:a="http://schemas.openxmlformats.org/drawingml/2006/main">
          <a:fillRect/>
        </a:stretch>
      </blipFill>
      <spPr>
        <a:xfrm xmlns:a="http://schemas.openxmlformats.org/drawingml/2006/main">
          <a:off x="3376991" y="9039345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1272848</colOff>
      <row>11</row>
      <rowOff>18952</rowOff>
    </from>
    <to>
      <col>4</col>
      <colOff>1482398</colOff>
      <row>11</row>
      <rowOff>171352</rowOff>
    </to>
    <pic>
      <nvPicPr>
        <cNvPr id="155" name="Graphic 15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4"/>
        <a:stretch xmlns:a="http://schemas.openxmlformats.org/drawingml/2006/main">
          <a:fillRect/>
        </a:stretch>
      </blipFill>
      <spPr>
        <a:xfrm xmlns:a="http://schemas.openxmlformats.org/drawingml/2006/main">
          <a:off x="3387398" y="2181127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18055</colOff>
      <row>12</row>
      <rowOff>9471</rowOff>
    </from>
    <to>
      <col>7</col>
      <colOff>227605</colOff>
      <row>12</row>
      <rowOff>161871</rowOff>
    </to>
    <pic>
      <nvPicPr>
        <cNvPr id="156" name="Graphic 15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5"/>
        <a:stretch xmlns:a="http://schemas.openxmlformats.org/drawingml/2006/main">
          <a:fillRect/>
        </a:stretch>
      </blipFill>
      <spPr>
        <a:xfrm xmlns:a="http://schemas.openxmlformats.org/drawingml/2006/main">
          <a:off x="4209055" y="2362146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1262441</colOff>
      <row>73</row>
      <rowOff>21612</rowOff>
    </from>
    <to>
      <col>4</col>
      <colOff>1471991</colOff>
      <row>73</row>
      <rowOff>174012</rowOff>
    </to>
    <pic>
      <nvPicPr>
        <cNvPr id="157" name="Graphic 15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6"/>
        <a:stretch xmlns:a="http://schemas.openxmlformats.org/drawingml/2006/main">
          <a:fillRect/>
        </a:stretch>
      </blipFill>
      <spPr>
        <a:xfrm xmlns:a="http://schemas.openxmlformats.org/drawingml/2006/main">
          <a:off x="3376991" y="13994787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1267835</colOff>
      <row>38</row>
      <rowOff>16709</rowOff>
    </from>
    <to>
      <col>4</col>
      <colOff>1477385</colOff>
      <row>38</row>
      <rowOff>169109</rowOff>
    </to>
    <pic>
      <nvPicPr>
        <cNvPr id="158" name="Graphic 15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7"/>
        <a:stretch xmlns:a="http://schemas.openxmlformats.org/drawingml/2006/main">
          <a:fillRect/>
        </a:stretch>
      </blipFill>
      <spPr>
        <a:xfrm xmlns:a="http://schemas.openxmlformats.org/drawingml/2006/main">
          <a:off x="3382385" y="7322384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14666</colOff>
      <row>41</row>
      <rowOff>9865</rowOff>
    </from>
    <to>
      <col>7</col>
      <colOff>224216</colOff>
      <row>41</row>
      <rowOff>162265</rowOff>
    </to>
    <pic>
      <nvPicPr>
        <cNvPr id="159" name="Graphic 15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8"/>
        <a:stretch xmlns:a="http://schemas.openxmlformats.org/drawingml/2006/main">
          <a:fillRect/>
        </a:stretch>
      </blipFill>
      <spPr>
        <a:xfrm xmlns:a="http://schemas.openxmlformats.org/drawingml/2006/main">
          <a:off x="4205666" y="7887040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1261976</colOff>
      <row>43</row>
      <rowOff>21722</rowOff>
    </from>
    <to>
      <col>4</col>
      <colOff>1471526</colOff>
      <row>43</row>
      <rowOff>174122</rowOff>
    </to>
    <pic>
      <nvPicPr>
        <cNvPr id="160" name="Graphic 15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9"/>
        <a:stretch xmlns:a="http://schemas.openxmlformats.org/drawingml/2006/main">
          <a:fillRect/>
        </a:stretch>
      </blipFill>
      <spPr>
        <a:xfrm xmlns:a="http://schemas.openxmlformats.org/drawingml/2006/main">
          <a:off x="3376526" y="8279897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1252916</colOff>
      <row>44</row>
      <rowOff>21503</rowOff>
    </from>
    <to>
      <col>4</col>
      <colOff>1462466</colOff>
      <row>44</row>
      <rowOff>173903</rowOff>
    </to>
    <pic>
      <nvPicPr>
        <cNvPr id="162" name="Graphic 1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0"/>
        <a:stretch xmlns:a="http://schemas.openxmlformats.org/drawingml/2006/main">
          <a:fillRect/>
        </a:stretch>
      </blipFill>
      <spPr>
        <a:xfrm xmlns:a="http://schemas.openxmlformats.org/drawingml/2006/main">
          <a:off x="3367466" y="8470178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1302426</colOff>
      <row>31</row>
      <rowOff>22050</rowOff>
    </from>
    <to>
      <col>4</col>
      <colOff>1454826</colOff>
      <row>31</row>
      <rowOff>174450</rowOff>
    </to>
    <pic>
      <nvPicPr>
        <cNvPr id="164" name="Graphic 1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1"/>
        <a:stretch xmlns:a="http://schemas.openxmlformats.org/drawingml/2006/main">
          <a:fillRect/>
        </a:stretch>
      </blipFill>
      <spPr>
        <a:xfrm xmlns:a="http://schemas.openxmlformats.org/drawingml/2006/main">
          <a:off x="3416976" y="5994225"/>
          <a:ext cx="15240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1263323</colOff>
      <row>71</row>
      <rowOff>22160</rowOff>
    </from>
    <to>
      <col>4</col>
      <colOff>1472873</colOff>
      <row>71</row>
      <rowOff>174560</rowOff>
    </to>
    <pic>
      <nvPicPr>
        <cNvPr id="166" name="Graphic 16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2"/>
        <a:stretch xmlns:a="http://schemas.openxmlformats.org/drawingml/2006/main">
          <a:fillRect/>
        </a:stretch>
      </blipFill>
      <spPr>
        <a:xfrm xmlns:a="http://schemas.openxmlformats.org/drawingml/2006/main">
          <a:off x="3377873" y="13614335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1252916</colOff>
      <row>28</row>
      <rowOff>22160</rowOff>
    </from>
    <to>
      <col>4</col>
      <colOff>1462466</colOff>
      <row>28</row>
      <rowOff>174560</rowOff>
    </to>
    <pic>
      <nvPicPr>
        <cNvPr id="168" name="Graphic 16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3"/>
        <a:stretch xmlns:a="http://schemas.openxmlformats.org/drawingml/2006/main">
          <a:fillRect/>
        </a:stretch>
      </blipFill>
      <spPr>
        <a:xfrm xmlns:a="http://schemas.openxmlformats.org/drawingml/2006/main">
          <a:off x="3367466" y="5422835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1273102</colOff>
      <row>34</row>
      <rowOff>20046</rowOff>
    </from>
    <to>
      <col>4</col>
      <colOff>1482652</colOff>
      <row>34</row>
      <rowOff>172446</rowOff>
    </to>
    <pic>
      <nvPicPr>
        <cNvPr id="170" name="Graphic 16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4"/>
        <a:stretch xmlns:a="http://schemas.openxmlformats.org/drawingml/2006/main">
          <a:fillRect/>
        </a:stretch>
      </blipFill>
      <spPr>
        <a:xfrm xmlns:a="http://schemas.openxmlformats.org/drawingml/2006/main">
          <a:off x="3387652" y="6563721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14274</colOff>
      <row>57</row>
      <rowOff>18805</rowOff>
    </from>
    <to>
      <col>7</col>
      <colOff>223824</colOff>
      <row>57</row>
      <rowOff>171205</rowOff>
    </to>
    <pic>
      <nvPicPr>
        <cNvPr id="174" name="Graphic 17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5"/>
        <a:stretch xmlns:a="http://schemas.openxmlformats.org/drawingml/2006/main">
          <a:fillRect/>
        </a:stretch>
      </blipFill>
      <spPr>
        <a:xfrm xmlns:a="http://schemas.openxmlformats.org/drawingml/2006/main">
          <a:off x="4205274" y="10943980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23799</colOff>
      <row>72</row>
      <rowOff>8386</rowOff>
    </from>
    <to>
      <col>7</col>
      <colOff>233349</colOff>
      <row>72</row>
      <rowOff>160786</rowOff>
    </to>
    <pic>
      <nvPicPr>
        <cNvPr id="176" name="Graphic 17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6"/>
        <a:stretch xmlns:a="http://schemas.openxmlformats.org/drawingml/2006/main">
          <a:fillRect/>
        </a:stretch>
      </blipFill>
      <spPr>
        <a:xfrm xmlns:a="http://schemas.openxmlformats.org/drawingml/2006/main">
          <a:off x="4214799" y="13791061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20792</colOff>
      <row>64</row>
      <rowOff>10504</rowOff>
    </from>
    <to>
      <col>7</col>
      <colOff>230342</colOff>
      <row>64</row>
      <rowOff>162904</rowOff>
    </to>
    <pic>
      <nvPicPr>
        <cNvPr id="178" name="Graphic 17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7"/>
        <a:stretch xmlns:a="http://schemas.openxmlformats.org/drawingml/2006/main">
          <a:fillRect/>
        </a:stretch>
      </blipFill>
      <spPr>
        <a:xfrm xmlns:a="http://schemas.openxmlformats.org/drawingml/2006/main">
          <a:off x="4211792" y="12269179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21793</colOff>
      <row>75</row>
      <rowOff>16345</rowOff>
    </from>
    <to>
      <col>7</col>
      <colOff>231343</colOff>
      <row>75</row>
      <rowOff>168745</rowOff>
    </to>
    <pic>
      <nvPicPr>
        <cNvPr id="180" name="Graphic 17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8"/>
        <a:stretch xmlns:a="http://schemas.openxmlformats.org/drawingml/2006/main">
          <a:fillRect/>
        </a:stretch>
      </blipFill>
      <spPr>
        <a:xfrm xmlns:a="http://schemas.openxmlformats.org/drawingml/2006/main">
          <a:off x="4212793" y="14370520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22952</colOff>
      <row>70</row>
      <rowOff>20466</rowOff>
    </from>
    <to>
      <col>7</col>
      <colOff>232502</colOff>
      <row>70</row>
      <rowOff>172866</rowOff>
    </to>
    <pic>
      <nvPicPr>
        <cNvPr id="181" name="Graphic 18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9"/>
        <a:stretch xmlns:a="http://schemas.openxmlformats.org/drawingml/2006/main">
          <a:fillRect/>
        </a:stretch>
      </blipFill>
      <spPr>
        <a:xfrm xmlns:a="http://schemas.openxmlformats.org/drawingml/2006/main">
          <a:off x="4213952" y="13422141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21793</colOff>
      <row>66</row>
      <rowOff>12726</rowOff>
    </from>
    <to>
      <col>7</col>
      <colOff>231343</colOff>
      <row>66</row>
      <rowOff>165126</rowOff>
    </to>
    <pic>
      <nvPicPr>
        <cNvPr id="186" name="Graphic 18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0"/>
        <a:stretch xmlns:a="http://schemas.openxmlformats.org/drawingml/2006/main">
          <a:fillRect/>
        </a:stretch>
      </blipFill>
      <spPr>
        <a:xfrm xmlns:a="http://schemas.openxmlformats.org/drawingml/2006/main">
          <a:off x="4212793" y="12652401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23417</colOff>
      <row>65</row>
      <rowOff>22142</rowOff>
    </from>
    <to>
      <col>7</col>
      <colOff>232967</colOff>
      <row>65</row>
      <rowOff>174542</rowOff>
    </to>
    <pic>
      <nvPicPr>
        <cNvPr id="187" name="Graphic 18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1"/>
        <a:stretch xmlns:a="http://schemas.openxmlformats.org/drawingml/2006/main">
          <a:fillRect/>
        </a:stretch>
      </blipFill>
      <spPr>
        <a:xfrm xmlns:a="http://schemas.openxmlformats.org/drawingml/2006/main">
          <a:off x="4214417" y="12471317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1267062</colOff>
      <row>55</row>
      <rowOff>19849</rowOff>
    </from>
    <to>
      <col>4</col>
      <colOff>1476612</colOff>
      <row>55</row>
      <rowOff>172249</rowOff>
    </to>
    <pic>
      <nvPicPr>
        <cNvPr id="188" name="Graphic 18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2"/>
        <a:stretch xmlns:a="http://schemas.openxmlformats.org/drawingml/2006/main">
          <a:fillRect/>
        </a:stretch>
      </blipFill>
      <spPr>
        <a:xfrm xmlns:a="http://schemas.openxmlformats.org/drawingml/2006/main">
          <a:off x="3381612" y="10564024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23417</colOff>
      <row>51</row>
      <rowOff>20576</rowOff>
    </from>
    <to>
      <col>7</col>
      <colOff>232967</colOff>
      <row>51</row>
      <rowOff>172976</rowOff>
    </to>
    <pic>
      <nvPicPr>
        <cNvPr id="189" name="Graphic 18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3"/>
        <a:stretch xmlns:a="http://schemas.openxmlformats.org/drawingml/2006/main">
          <a:fillRect/>
        </a:stretch>
      </blipFill>
      <spPr>
        <a:xfrm xmlns:a="http://schemas.openxmlformats.org/drawingml/2006/main">
          <a:off x="4214417" y="9802751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19287</colOff>
      <row>61</row>
      <rowOff>17895</rowOff>
    </from>
    <to>
      <col>7</col>
      <colOff>228837</colOff>
      <row>61</row>
      <rowOff>170295</rowOff>
    </to>
    <pic>
      <nvPicPr>
        <cNvPr id="190" name="Graphic 18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4"/>
        <a:stretch xmlns:a="http://schemas.openxmlformats.org/drawingml/2006/main">
          <a:fillRect/>
        </a:stretch>
      </blipFill>
      <spPr>
        <a:xfrm xmlns:a="http://schemas.openxmlformats.org/drawingml/2006/main">
          <a:off x="4210287" y="11705070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1280252</colOff>
      <row>62</row>
      <rowOff>9933</rowOff>
    </from>
    <to>
      <col>4</col>
      <colOff>1489802</colOff>
      <row>62</row>
      <rowOff>162333</rowOff>
    </to>
    <pic>
      <nvPicPr>
        <cNvPr id="191" name="Graphic 19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5"/>
        <a:stretch xmlns:a="http://schemas.openxmlformats.org/drawingml/2006/main">
          <a:fillRect/>
        </a:stretch>
      </blipFill>
      <spPr>
        <a:xfrm xmlns:a="http://schemas.openxmlformats.org/drawingml/2006/main">
          <a:off x="3394802" y="11887608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19287</colOff>
      <row>71</row>
      <rowOff>19458</rowOff>
    </from>
    <to>
      <col>7</col>
      <colOff>228837</colOff>
      <row>71</row>
      <rowOff>171858</rowOff>
    </to>
    <pic>
      <nvPicPr>
        <cNvPr id="192" name="Graphic 19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6"/>
        <a:stretch xmlns:a="http://schemas.openxmlformats.org/drawingml/2006/main">
          <a:fillRect/>
        </a:stretch>
      </blipFill>
      <spPr>
        <a:xfrm xmlns:a="http://schemas.openxmlformats.org/drawingml/2006/main">
          <a:off x="4210287" y="13611633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19287</colOff>
      <row>69</row>
      <rowOff>20576</rowOff>
    </from>
    <to>
      <col>7</col>
      <colOff>228837</colOff>
      <row>69</row>
      <rowOff>172976</rowOff>
    </to>
    <pic>
      <nvPicPr>
        <cNvPr id="194" name="Graphic 19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7"/>
        <a:stretch xmlns:a="http://schemas.openxmlformats.org/drawingml/2006/main">
          <a:fillRect/>
        </a:stretch>
      </blipFill>
      <spPr>
        <a:xfrm xmlns:a="http://schemas.openxmlformats.org/drawingml/2006/main">
          <a:off x="4210287" y="13231751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1255031</colOff>
      <row>52</row>
      <rowOff>21123</rowOff>
    </from>
    <to>
      <col>4</col>
      <colOff>1464581</colOff>
      <row>52</row>
      <rowOff>173523</rowOff>
    </to>
    <pic>
      <nvPicPr>
        <cNvPr id="199" name="Graphic 19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8"/>
        <a:stretch xmlns:a="http://schemas.openxmlformats.org/drawingml/2006/main">
          <a:fillRect/>
        </a:stretch>
      </blipFill>
      <spPr>
        <a:xfrm xmlns:a="http://schemas.openxmlformats.org/drawingml/2006/main">
          <a:off x="3369581" y="9993798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28575</colOff>
      <row>15</row>
      <rowOff>19050</rowOff>
    </from>
    <to>
      <col>7</col>
      <colOff>219075</colOff>
      <row>15</row>
      <rowOff>161925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9"/>
        <a:stretch xmlns:a="http://schemas.openxmlformats.org/drawingml/2006/main">
          <a:fillRect/>
        </a:stretch>
      </blipFill>
      <spPr>
        <a:xfrm xmlns:a="http://schemas.openxmlformats.org/drawingml/2006/main">
          <a:off x="4219575" y="29432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39</row>
      <rowOff>19050</rowOff>
    </from>
    <to>
      <col>7</col>
      <colOff>209550</colOff>
      <row>39</row>
      <rowOff>161925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0"/>
        <a:stretch xmlns:a="http://schemas.openxmlformats.org/drawingml/2006/main">
          <a:fillRect/>
        </a:stretch>
      </blipFill>
      <spPr>
        <a:xfrm xmlns:a="http://schemas.openxmlformats.org/drawingml/2006/main">
          <a:off x="4210050" y="75152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60</row>
      <rowOff>19050</rowOff>
    </from>
    <to>
      <col>4</col>
      <colOff>1466850</colOff>
      <row>60</row>
      <rowOff>161925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1"/>
        <a:stretch xmlns:a="http://schemas.openxmlformats.org/drawingml/2006/main">
          <a:fillRect/>
        </a:stretch>
      </blipFill>
      <spPr>
        <a:xfrm xmlns:a="http://schemas.openxmlformats.org/drawingml/2006/main">
          <a:off x="3390900" y="115157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28575</colOff>
      <row>6</row>
      <rowOff>19050</rowOff>
    </from>
    <to>
      <col>7</col>
      <colOff>219075</colOff>
      <row>6</row>
      <rowOff>161925</rowOff>
    </to>
    <pic>
      <nvPicPr>
        <cNvPr id="13" name="Picture 1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2"/>
        <a:stretch xmlns:a="http://schemas.openxmlformats.org/drawingml/2006/main">
          <a:fillRect/>
        </a:stretch>
      </blipFill>
      <spPr>
        <a:xfrm xmlns:a="http://schemas.openxmlformats.org/drawingml/2006/main">
          <a:off x="4219575" y="12287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30</row>
      <rowOff>19050</rowOff>
    </from>
    <to>
      <col>7</col>
      <colOff>209550</colOff>
      <row>30</row>
      <rowOff>161925</rowOff>
    </to>
    <pic>
      <nvPicPr>
        <cNvPr id="14" name="Picture 1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3"/>
        <a:stretch xmlns:a="http://schemas.openxmlformats.org/drawingml/2006/main">
          <a:fillRect/>
        </a:stretch>
      </blipFill>
      <spPr>
        <a:xfrm xmlns:a="http://schemas.openxmlformats.org/drawingml/2006/main">
          <a:off x="4210050" y="58007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59</row>
      <rowOff>19050</rowOff>
    </from>
    <to>
      <col>4</col>
      <colOff>1466850</colOff>
      <row>59</row>
      <rowOff>161925</rowOff>
    </to>
    <pic>
      <nvPicPr>
        <cNvPr id="15" name="Picture 1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4"/>
        <a:stretch xmlns:a="http://schemas.openxmlformats.org/drawingml/2006/main">
          <a:fillRect/>
        </a:stretch>
      </blipFill>
      <spPr>
        <a:xfrm xmlns:a="http://schemas.openxmlformats.org/drawingml/2006/main">
          <a:off x="3390900" y="113252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1285875</colOff>
      <row>7</row>
      <rowOff>28575</rowOff>
    </from>
    <to>
      <col>4</col>
      <colOff>1466850</colOff>
      <row>7</row>
      <rowOff>161925</rowOff>
    </to>
    <pic>
      <nvPicPr>
        <cNvPr id="17" name="Picture 1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5"/>
        <a:stretch xmlns:a="http://schemas.openxmlformats.org/drawingml/2006/main">
          <a:fillRect/>
        </a:stretch>
      </blipFill>
      <spPr>
        <a:xfrm xmlns:a="http://schemas.openxmlformats.org/drawingml/2006/main">
          <a:off x="3400425" y="1428750"/>
          <a:ext cx="180975" cy="1333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6</row>
      <rowOff>19050</rowOff>
    </from>
    <to>
      <col>4</col>
      <colOff>1466850</colOff>
      <row>6</row>
      <rowOff>152400</rowOff>
    </to>
    <pic>
      <nvPicPr>
        <cNvPr id="18" name="Picture 1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6"/>
        <a:stretch xmlns:a="http://schemas.openxmlformats.org/drawingml/2006/main">
          <a:fillRect/>
        </a:stretch>
      </blipFill>
      <spPr>
        <a:xfrm xmlns:a="http://schemas.openxmlformats.org/drawingml/2006/main">
          <a:off x="3390900" y="1228725"/>
          <a:ext cx="190500" cy="1333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33</row>
      <rowOff>19050</rowOff>
    </from>
    <to>
      <col>7</col>
      <colOff>200025</colOff>
      <row>33</row>
      <rowOff>152400</rowOff>
    </to>
    <pic>
      <nvPicPr>
        <cNvPr id="19" name="Picture 1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7"/>
        <a:stretch xmlns:a="http://schemas.openxmlformats.org/drawingml/2006/main">
          <a:fillRect/>
        </a:stretch>
      </blipFill>
      <spPr>
        <a:xfrm xmlns:a="http://schemas.openxmlformats.org/drawingml/2006/main">
          <a:off x="4210050" y="6372225"/>
          <a:ext cx="180975" cy="1333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28575</colOff>
      <row>59</row>
      <rowOff>19050</rowOff>
    </from>
    <to>
      <col>7</col>
      <colOff>209550</colOff>
      <row>59</row>
      <rowOff>152400</rowOff>
    </to>
    <pic>
      <nvPicPr>
        <cNvPr id="20" name="Picture 1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8"/>
        <a:stretch xmlns:a="http://schemas.openxmlformats.org/drawingml/2006/main">
          <a:fillRect/>
        </a:stretch>
      </blipFill>
      <spPr>
        <a:xfrm xmlns:a="http://schemas.openxmlformats.org/drawingml/2006/main">
          <a:off x="4219575" y="11325225"/>
          <a:ext cx="180975" cy="1333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33</row>
      <rowOff>19050</rowOff>
    </from>
    <to>
      <col>4</col>
      <colOff>1466850</colOff>
      <row>33</row>
      <rowOff>152400</rowOff>
    </to>
    <pic>
      <nvPicPr>
        <cNvPr id="21" name="Picture 2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9"/>
        <a:stretch xmlns:a="http://schemas.openxmlformats.org/drawingml/2006/main">
          <a:fillRect/>
        </a:stretch>
      </blipFill>
      <spPr>
        <a:xfrm xmlns:a="http://schemas.openxmlformats.org/drawingml/2006/main">
          <a:off x="3390900" y="6372225"/>
          <a:ext cx="190500" cy="1333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28575</colOff>
      <row>58</row>
      <rowOff>19050</rowOff>
    </from>
    <to>
      <col>7</col>
      <colOff>219075</colOff>
      <row>58</row>
      <rowOff>152400</rowOff>
    </to>
    <pic>
      <nvPicPr>
        <cNvPr id="22" name="Picture 2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0"/>
        <a:stretch xmlns:a="http://schemas.openxmlformats.org/drawingml/2006/main">
          <a:fillRect/>
        </a:stretch>
      </blipFill>
      <spPr>
        <a:xfrm xmlns:a="http://schemas.openxmlformats.org/drawingml/2006/main">
          <a:off x="4219575" y="11134725"/>
          <a:ext cx="190500" cy="1333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7</row>
      <rowOff>9525</rowOff>
    </from>
    <to>
      <col>7</col>
      <colOff>228600</colOff>
      <row>7</row>
      <rowOff>161925</rowOff>
    </to>
    <pic>
      <nvPicPr>
        <cNvPr id="23" name="Picture 2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1"/>
        <a:stretch xmlns:a="http://schemas.openxmlformats.org/drawingml/2006/main">
          <a:fillRect/>
        </a:stretch>
      </blipFill>
      <spPr>
        <a:xfrm xmlns:a="http://schemas.openxmlformats.org/drawingml/2006/main">
          <a:off x="4210050" y="1409700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1266825</colOff>
      <row>30</row>
      <rowOff>19050</rowOff>
    </from>
    <to>
      <col>4</col>
      <colOff>1476375</colOff>
      <row>30</row>
      <rowOff>171450</rowOff>
    </to>
    <pic>
      <nvPicPr>
        <cNvPr id="24" name="Picture 2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2"/>
        <a:stretch xmlns:a="http://schemas.openxmlformats.org/drawingml/2006/main">
          <a:fillRect/>
        </a:stretch>
      </blipFill>
      <spPr>
        <a:xfrm xmlns:a="http://schemas.openxmlformats.org/drawingml/2006/main">
          <a:off x="3381375" y="5800725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58</row>
      <rowOff>9525</rowOff>
    </from>
    <to>
      <col>4</col>
      <colOff>1466850</colOff>
      <row>58</row>
      <rowOff>152400</rowOff>
    </to>
    <pic>
      <nvPicPr>
        <cNvPr id="25" name="Picture 2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3"/>
        <a:stretch xmlns:a="http://schemas.openxmlformats.org/drawingml/2006/main">
          <a:fillRect/>
        </a:stretch>
      </blipFill>
      <spPr>
        <a:xfrm xmlns:a="http://schemas.openxmlformats.org/drawingml/2006/main">
          <a:off x="3390900" y="11125200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1285875</colOff>
      <row>8</row>
      <rowOff>19050</rowOff>
    </from>
    <to>
      <col>4</col>
      <colOff>1476375</colOff>
      <row>8</row>
      <rowOff>161925</rowOff>
    </to>
    <pic>
      <nvPicPr>
        <cNvPr id="26" name="Picture 2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4"/>
        <a:stretch xmlns:a="http://schemas.openxmlformats.org/drawingml/2006/main">
          <a:fillRect/>
        </a:stretch>
      </blipFill>
      <spPr>
        <a:xfrm xmlns:a="http://schemas.openxmlformats.org/drawingml/2006/main">
          <a:off x="3400425" y="16097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1285875</colOff>
      <row>32</row>
      <rowOff>19050</rowOff>
    </from>
    <to>
      <col>4</col>
      <colOff>1476375</colOff>
      <row>32</row>
      <rowOff>161925</rowOff>
    </to>
    <pic>
      <nvPicPr>
        <cNvPr id="27" name="Picture 2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5"/>
        <a:stretch xmlns:a="http://schemas.openxmlformats.org/drawingml/2006/main">
          <a:fillRect/>
        </a:stretch>
      </blipFill>
      <spPr>
        <a:xfrm xmlns:a="http://schemas.openxmlformats.org/drawingml/2006/main">
          <a:off x="3400425" y="61817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28575</colOff>
      <row>56</row>
      <rowOff>19050</rowOff>
    </from>
    <to>
      <col>7</col>
      <colOff>219075</colOff>
      <row>56</row>
      <rowOff>161925</rowOff>
    </to>
    <pic>
      <nvPicPr>
        <cNvPr id="28" name="Picture 2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6"/>
        <a:stretch xmlns:a="http://schemas.openxmlformats.org/drawingml/2006/main">
          <a:fillRect/>
        </a:stretch>
      </blipFill>
      <spPr>
        <a:xfrm xmlns:a="http://schemas.openxmlformats.org/drawingml/2006/main">
          <a:off x="4219575" y="107537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28575</colOff>
      <row>8</row>
      <rowOff>19050</rowOff>
    </from>
    <to>
      <col>7</col>
      <colOff>228600</colOff>
      <row>8</row>
      <rowOff>161925</rowOff>
    </to>
    <pic>
      <nvPicPr>
        <cNvPr id="29" name="Picture 2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7"/>
        <a:stretch xmlns:a="http://schemas.openxmlformats.org/drawingml/2006/main">
          <a:fillRect/>
        </a:stretch>
      </blipFill>
      <spPr>
        <a:xfrm xmlns:a="http://schemas.openxmlformats.org/drawingml/2006/main">
          <a:off x="4219575" y="1609725"/>
          <a:ext cx="200025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31</row>
      <rowOff>19050</rowOff>
    </from>
    <to>
      <col>7</col>
      <colOff>219075</colOff>
      <row>31</row>
      <rowOff>161925</rowOff>
    </to>
    <pic>
      <nvPicPr>
        <cNvPr id="30" name="Picture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8"/>
        <a:stretch xmlns:a="http://schemas.openxmlformats.org/drawingml/2006/main">
          <a:fillRect/>
        </a:stretch>
      </blipFill>
      <spPr>
        <a:xfrm xmlns:a="http://schemas.openxmlformats.org/drawingml/2006/main">
          <a:off x="4210050" y="5991225"/>
          <a:ext cx="200025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57</row>
      <rowOff>19050</rowOff>
    </from>
    <to>
      <col>4</col>
      <colOff>1476375</colOff>
      <row>57</row>
      <rowOff>161925</rowOff>
    </to>
    <pic>
      <nvPicPr>
        <cNvPr id="31" name="Picture 3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9"/>
        <a:stretch xmlns:a="http://schemas.openxmlformats.org/drawingml/2006/main">
          <a:fillRect/>
        </a:stretch>
      </blipFill>
      <spPr>
        <a:xfrm xmlns:a="http://schemas.openxmlformats.org/drawingml/2006/main">
          <a:off x="3390900" y="10944225"/>
          <a:ext cx="200025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28575</colOff>
      <row>9</row>
      <rowOff>19050</rowOff>
    </from>
    <to>
      <col>7</col>
      <colOff>219075</colOff>
      <row>9</row>
      <rowOff>161925</rowOff>
    </to>
    <pic>
      <nvPicPr>
        <cNvPr id="33" name="Picture 3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0"/>
        <a:stretch xmlns:a="http://schemas.openxmlformats.org/drawingml/2006/main">
          <a:fillRect/>
        </a:stretch>
      </blipFill>
      <spPr>
        <a:xfrm xmlns:a="http://schemas.openxmlformats.org/drawingml/2006/main">
          <a:off x="4219575" y="18002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37</row>
      <rowOff>19050</rowOff>
    </from>
    <to>
      <col>7</col>
      <colOff>209550</colOff>
      <row>37</row>
      <rowOff>161925</rowOff>
    </to>
    <pic>
      <nvPicPr>
        <cNvPr id="34" name="Picture 3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1"/>
        <a:stretch xmlns:a="http://schemas.openxmlformats.org/drawingml/2006/main">
          <a:fillRect/>
        </a:stretch>
      </blipFill>
      <spPr>
        <a:xfrm xmlns:a="http://schemas.openxmlformats.org/drawingml/2006/main">
          <a:off x="4210050" y="71342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1285875</colOff>
      <row>65</row>
      <rowOff>19050</rowOff>
    </from>
    <to>
      <col>4</col>
      <colOff>1476375</colOff>
      <row>65</row>
      <rowOff>161925</rowOff>
    </to>
    <pic>
      <nvPicPr>
        <cNvPr id="35" name="Picture 3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2"/>
        <a:stretch xmlns:a="http://schemas.openxmlformats.org/drawingml/2006/main">
          <a:fillRect/>
        </a:stretch>
      </blipFill>
      <spPr>
        <a:xfrm xmlns:a="http://schemas.openxmlformats.org/drawingml/2006/main">
          <a:off x="3400425" y="124682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10</row>
      <rowOff>9525</rowOff>
    </from>
    <to>
      <col>4</col>
      <colOff>1476375</colOff>
      <row>10</row>
      <rowOff>161925</rowOff>
    </to>
    <pic>
      <nvPicPr>
        <cNvPr id="37" name="Picture 3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3"/>
        <a:stretch xmlns:a="http://schemas.openxmlformats.org/drawingml/2006/main">
          <a:fillRect/>
        </a:stretch>
      </blipFill>
      <spPr>
        <a:xfrm xmlns:a="http://schemas.openxmlformats.org/drawingml/2006/main">
          <a:off x="3390900" y="1981200"/>
          <a:ext cx="200025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34</row>
      <rowOff>19050</rowOff>
    </from>
    <to>
      <col>7</col>
      <colOff>219075</colOff>
      <row>34</row>
      <rowOff>171450</rowOff>
    </to>
    <pic>
      <nvPicPr>
        <cNvPr id="38" name="Picture 3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4"/>
        <a:stretch xmlns:a="http://schemas.openxmlformats.org/drawingml/2006/main">
          <a:fillRect/>
        </a:stretch>
      </blipFill>
      <spPr>
        <a:xfrm xmlns:a="http://schemas.openxmlformats.org/drawingml/2006/main">
          <a:off x="4210050" y="6562725"/>
          <a:ext cx="200025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28575</colOff>
      <row>55</row>
      <rowOff>19050</rowOff>
    </from>
    <to>
      <col>7</col>
      <colOff>228600</colOff>
      <row>55</row>
      <rowOff>171450</rowOff>
    </to>
    <pic>
      <nvPicPr>
        <cNvPr id="39" name="Picture 3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5"/>
        <a:stretch xmlns:a="http://schemas.openxmlformats.org/drawingml/2006/main">
          <a:fillRect/>
        </a:stretch>
      </blipFill>
      <spPr>
        <a:xfrm xmlns:a="http://schemas.openxmlformats.org/drawingml/2006/main">
          <a:off x="4219575" y="10563225"/>
          <a:ext cx="200025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28575</colOff>
      <row>10</row>
      <rowOff>19050</rowOff>
    </from>
    <to>
      <col>7</col>
      <colOff>228600</colOff>
      <row>10</row>
      <rowOff>161925</rowOff>
    </to>
    <pic>
      <nvPicPr>
        <cNvPr id="41" name="Picture 4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6"/>
        <a:stretch xmlns:a="http://schemas.openxmlformats.org/drawingml/2006/main">
          <a:fillRect/>
        </a:stretch>
      </blipFill>
      <spPr>
        <a:xfrm xmlns:a="http://schemas.openxmlformats.org/drawingml/2006/main">
          <a:off x="4219575" y="1990725"/>
          <a:ext cx="200025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35</row>
      <rowOff>19050</rowOff>
    </from>
    <to>
      <col>4</col>
      <colOff>1476375</colOff>
      <row>35</row>
      <rowOff>161925</rowOff>
    </to>
    <pic>
      <nvPicPr>
        <cNvPr id="42" name="Picture 4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7"/>
        <a:stretch xmlns:a="http://schemas.openxmlformats.org/drawingml/2006/main">
          <a:fillRect/>
        </a:stretch>
      </blipFill>
      <spPr>
        <a:xfrm xmlns:a="http://schemas.openxmlformats.org/drawingml/2006/main">
          <a:off x="3390900" y="6753225"/>
          <a:ext cx="200025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54</row>
      <rowOff>19050</rowOff>
    </from>
    <to>
      <col>4</col>
      <colOff>1476375</colOff>
      <row>54</row>
      <rowOff>161925</rowOff>
    </to>
    <pic>
      <nvPicPr>
        <cNvPr id="43" name="Picture 4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8"/>
        <a:stretch xmlns:a="http://schemas.openxmlformats.org/drawingml/2006/main">
          <a:fillRect/>
        </a:stretch>
      </blipFill>
      <spPr>
        <a:xfrm xmlns:a="http://schemas.openxmlformats.org/drawingml/2006/main">
          <a:off x="3390900" y="10372725"/>
          <a:ext cx="200025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28575</colOff>
      <row>11</row>
      <rowOff>19050</rowOff>
    </from>
    <to>
      <col>7</col>
      <colOff>219075</colOff>
      <row>11</row>
      <rowOff>161925</rowOff>
    </to>
    <pic>
      <nvPicPr>
        <cNvPr id="45" name="Picture 4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9"/>
        <a:stretch xmlns:a="http://schemas.openxmlformats.org/drawingml/2006/main">
          <a:fillRect/>
        </a:stretch>
      </blipFill>
      <spPr>
        <a:xfrm xmlns:a="http://schemas.openxmlformats.org/drawingml/2006/main">
          <a:off x="4219575" y="21812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37</row>
      <rowOff>19050</rowOff>
    </from>
    <to>
      <col>4</col>
      <colOff>1466850</colOff>
      <row>37</row>
      <rowOff>161925</rowOff>
    </to>
    <pic>
      <nvPicPr>
        <cNvPr id="46" name="Picture 4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0"/>
        <a:stretch xmlns:a="http://schemas.openxmlformats.org/drawingml/2006/main">
          <a:fillRect/>
        </a:stretch>
      </blipFill>
      <spPr>
        <a:xfrm xmlns:a="http://schemas.openxmlformats.org/drawingml/2006/main">
          <a:off x="3390900" y="71342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1285875</colOff>
      <row>64</row>
      <rowOff>19050</rowOff>
    </from>
    <to>
      <col>4</col>
      <colOff>1476375</colOff>
      <row>64</row>
      <rowOff>161925</rowOff>
    </to>
    <pic>
      <nvPicPr>
        <cNvPr id="47" name="Picture 4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1"/>
        <a:stretch xmlns:a="http://schemas.openxmlformats.org/drawingml/2006/main">
          <a:fillRect/>
        </a:stretch>
      </blipFill>
      <spPr>
        <a:xfrm xmlns:a="http://schemas.openxmlformats.org/drawingml/2006/main">
          <a:off x="3400425" y="122777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54</row>
      <rowOff>19050</rowOff>
    </from>
    <to>
      <col>7</col>
      <colOff>228600</colOff>
      <row>54</row>
      <rowOff>171450</rowOff>
    </to>
    <pic>
      <nvPicPr>
        <cNvPr id="48" name="Picture 4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2"/>
        <a:stretch xmlns:a="http://schemas.openxmlformats.org/drawingml/2006/main">
          <a:fillRect/>
        </a:stretch>
      </blipFill>
      <spPr>
        <a:xfrm xmlns:a="http://schemas.openxmlformats.org/drawingml/2006/main">
          <a:off x="4210050" y="10372725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1304925</colOff>
      <row>56</row>
      <rowOff>19050</rowOff>
    </from>
    <to>
      <col>4</col>
      <colOff>1457325</colOff>
      <row>56</row>
      <rowOff>171450</rowOff>
    </to>
    <pic>
      <nvPicPr>
        <cNvPr id="50" name="Picture 4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3"/>
        <a:stretch xmlns:a="http://schemas.openxmlformats.org/drawingml/2006/main">
          <a:fillRect/>
        </a:stretch>
      </blipFill>
      <spPr>
        <a:xfrm xmlns:a="http://schemas.openxmlformats.org/drawingml/2006/main">
          <a:off x="3419475" y="10753725"/>
          <a:ext cx="15240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1266825</colOff>
      <row>14</row>
      <rowOff>9525</rowOff>
    </from>
    <to>
      <col>4</col>
      <colOff>1476375</colOff>
      <row>14</row>
      <rowOff>161925</rowOff>
    </to>
    <pic>
      <nvPicPr>
        <cNvPr id="51" name="Picture 5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4"/>
        <a:stretch xmlns:a="http://schemas.openxmlformats.org/drawingml/2006/main">
          <a:fillRect/>
        </a:stretch>
      </blipFill>
      <spPr>
        <a:xfrm xmlns:a="http://schemas.openxmlformats.org/drawingml/2006/main">
          <a:off x="3381375" y="2743200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38</row>
      <rowOff>19050</rowOff>
    </from>
    <to>
      <col>7</col>
      <colOff>228600</colOff>
      <row>38</row>
      <rowOff>171450</rowOff>
    </to>
    <pic>
      <nvPicPr>
        <cNvPr id="52" name="Picture 5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5"/>
        <a:stretch xmlns:a="http://schemas.openxmlformats.org/drawingml/2006/main">
          <a:fillRect/>
        </a:stretch>
      </blipFill>
      <spPr>
        <a:xfrm xmlns:a="http://schemas.openxmlformats.org/drawingml/2006/main">
          <a:off x="4210050" y="7324725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60</row>
      <rowOff>19050</rowOff>
    </from>
    <to>
      <col>7</col>
      <colOff>228600</colOff>
      <row>60</row>
      <rowOff>171450</rowOff>
    </to>
    <pic>
      <nvPicPr>
        <cNvPr id="53" name="Picture 5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6"/>
        <a:stretch xmlns:a="http://schemas.openxmlformats.org/drawingml/2006/main">
          <a:fillRect/>
        </a:stretch>
      </blipFill>
      <spPr>
        <a:xfrm xmlns:a="http://schemas.openxmlformats.org/drawingml/2006/main">
          <a:off x="4210050" y="11515725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14</row>
      <rowOff>9525</rowOff>
    </from>
    <to>
      <col>7</col>
      <colOff>219075</colOff>
      <row>14</row>
      <rowOff>161925</rowOff>
    </to>
    <pic>
      <nvPicPr>
        <cNvPr id="55" name="Picture 5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7"/>
        <a:stretch xmlns:a="http://schemas.openxmlformats.org/drawingml/2006/main">
          <a:fillRect/>
        </a:stretch>
      </blipFill>
      <spPr>
        <a:xfrm xmlns:a="http://schemas.openxmlformats.org/drawingml/2006/main">
          <a:off x="4210050" y="2743200"/>
          <a:ext cx="200025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39</row>
      <rowOff>19050</rowOff>
    </from>
    <to>
      <col>4</col>
      <colOff>1476375</colOff>
      <row>39</row>
      <rowOff>171450</rowOff>
    </to>
    <pic>
      <nvPicPr>
        <cNvPr id="56" name="Picture 5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8"/>
        <a:stretch xmlns:a="http://schemas.openxmlformats.org/drawingml/2006/main">
          <a:fillRect/>
        </a:stretch>
      </blipFill>
      <spPr>
        <a:xfrm xmlns:a="http://schemas.openxmlformats.org/drawingml/2006/main">
          <a:off x="3390900" y="7515225"/>
          <a:ext cx="200025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61</row>
      <rowOff>19050</rowOff>
    </from>
    <to>
      <col>4</col>
      <colOff>1476375</colOff>
      <row>61</row>
      <rowOff>171450</rowOff>
    </to>
    <pic>
      <nvPicPr>
        <cNvPr id="57" name="Picture 5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9"/>
        <a:stretch xmlns:a="http://schemas.openxmlformats.org/drawingml/2006/main">
          <a:fillRect/>
        </a:stretch>
      </blipFill>
      <spPr>
        <a:xfrm xmlns:a="http://schemas.openxmlformats.org/drawingml/2006/main">
          <a:off x="3390900" y="11706225"/>
          <a:ext cx="200025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1266825</colOff>
      <row>16</row>
      <rowOff>19050</rowOff>
    </from>
    <to>
      <col>4</col>
      <colOff>1476375</colOff>
      <row>16</row>
      <rowOff>171450</rowOff>
    </to>
    <pic>
      <nvPicPr>
        <cNvPr id="58" name="Picture 5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0"/>
        <a:stretch xmlns:a="http://schemas.openxmlformats.org/drawingml/2006/main">
          <a:fillRect/>
        </a:stretch>
      </blipFill>
      <spPr>
        <a:xfrm xmlns:a="http://schemas.openxmlformats.org/drawingml/2006/main">
          <a:off x="3381375" y="3133725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1266825</colOff>
      <row>40</row>
      <rowOff>19050</rowOff>
    </from>
    <to>
      <col>4</col>
      <colOff>1476375</colOff>
      <row>40</row>
      <rowOff>171450</rowOff>
    </to>
    <pic>
      <nvPicPr>
        <cNvPr id="59" name="Picture 5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1"/>
        <a:stretch xmlns:a="http://schemas.openxmlformats.org/drawingml/2006/main">
          <a:fillRect/>
        </a:stretch>
      </blipFill>
      <spPr>
        <a:xfrm xmlns:a="http://schemas.openxmlformats.org/drawingml/2006/main">
          <a:off x="3381375" y="7705725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63</row>
      <rowOff>19050</rowOff>
    </from>
    <to>
      <col>7</col>
      <colOff>228600</colOff>
      <row>63</row>
      <rowOff>171450</rowOff>
    </to>
    <pic>
      <nvPicPr>
        <cNvPr id="60" name="Picture 5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2"/>
        <a:stretch xmlns:a="http://schemas.openxmlformats.org/drawingml/2006/main">
          <a:fillRect/>
        </a:stretch>
      </blipFill>
      <spPr>
        <a:xfrm xmlns:a="http://schemas.openxmlformats.org/drawingml/2006/main">
          <a:off x="4210050" y="12087225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1266825</colOff>
      <row>17</row>
      <rowOff>19050</rowOff>
    </from>
    <to>
      <col>4</col>
      <colOff>1476375</colOff>
      <row>17</row>
      <rowOff>171450</rowOff>
    </to>
    <pic>
      <nvPicPr>
        <cNvPr id="61" name="Picture 6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3"/>
        <a:stretch xmlns:a="http://schemas.openxmlformats.org/drawingml/2006/main">
          <a:fillRect/>
        </a:stretch>
      </blipFill>
      <spPr>
        <a:xfrm xmlns:a="http://schemas.openxmlformats.org/drawingml/2006/main">
          <a:off x="3381375" y="3324225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40</row>
      <rowOff>9525</rowOff>
    </from>
    <to>
      <col>7</col>
      <colOff>228600</colOff>
      <row>40</row>
      <rowOff>161925</rowOff>
    </to>
    <pic>
      <nvPicPr>
        <cNvPr id="62" name="Picture 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4"/>
        <a:stretch xmlns:a="http://schemas.openxmlformats.org/drawingml/2006/main">
          <a:fillRect/>
        </a:stretch>
      </blipFill>
      <spPr>
        <a:xfrm xmlns:a="http://schemas.openxmlformats.org/drawingml/2006/main">
          <a:off x="4210050" y="7696200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62</row>
      <rowOff>9525</rowOff>
    </from>
    <to>
      <col>7</col>
      <colOff>228600</colOff>
      <row>62</row>
      <rowOff>161925</rowOff>
    </to>
    <pic>
      <nvPicPr>
        <cNvPr id="63" name="Picture 6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5"/>
        <a:stretch xmlns:a="http://schemas.openxmlformats.org/drawingml/2006/main">
          <a:fillRect/>
        </a:stretch>
      </blipFill>
      <spPr>
        <a:xfrm xmlns:a="http://schemas.openxmlformats.org/drawingml/2006/main">
          <a:off x="4210050" y="11887200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17</row>
      <rowOff>19050</rowOff>
    </from>
    <to>
      <col>7</col>
      <colOff>228600</colOff>
      <row>17</row>
      <rowOff>171450</rowOff>
    </to>
    <pic>
      <nvPicPr>
        <cNvPr id="64" name="Picture 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6"/>
        <a:stretch xmlns:a="http://schemas.openxmlformats.org/drawingml/2006/main">
          <a:fillRect/>
        </a:stretch>
      </blipFill>
      <spPr>
        <a:xfrm xmlns:a="http://schemas.openxmlformats.org/drawingml/2006/main">
          <a:off x="4210050" y="3324225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1266825</colOff>
      <row>41</row>
      <rowOff>19050</rowOff>
    </from>
    <to>
      <col>4</col>
      <colOff>1476375</colOff>
      <row>41</row>
      <rowOff>171450</rowOff>
    </to>
    <pic>
      <nvPicPr>
        <cNvPr id="65" name="Picture 6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7"/>
        <a:stretch xmlns:a="http://schemas.openxmlformats.org/drawingml/2006/main">
          <a:fillRect/>
        </a:stretch>
      </blipFill>
      <spPr>
        <a:xfrm xmlns:a="http://schemas.openxmlformats.org/drawingml/2006/main">
          <a:off x="3381375" y="7896225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1266825</colOff>
      <row>63</row>
      <rowOff>19050</rowOff>
    </from>
    <to>
      <col>4</col>
      <colOff>1476375</colOff>
      <row>63</row>
      <rowOff>171450</rowOff>
    </to>
    <pic>
      <nvPicPr>
        <cNvPr id="66" name="Picture 6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8"/>
        <a:stretch xmlns:a="http://schemas.openxmlformats.org/drawingml/2006/main">
          <a:fillRect/>
        </a:stretch>
      </blipFill>
      <spPr>
        <a:xfrm xmlns:a="http://schemas.openxmlformats.org/drawingml/2006/main">
          <a:off x="3381375" y="12087225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18</row>
      <rowOff>19050</rowOff>
    </from>
    <to>
      <col>7</col>
      <colOff>219075</colOff>
      <row>18</row>
      <rowOff>161925</rowOff>
    </to>
    <pic>
      <nvPicPr>
        <cNvPr id="67" name="Picture 6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9"/>
        <a:stretch xmlns:a="http://schemas.openxmlformats.org/drawingml/2006/main">
          <a:fillRect/>
        </a:stretch>
      </blipFill>
      <spPr>
        <a:xfrm xmlns:a="http://schemas.openxmlformats.org/drawingml/2006/main">
          <a:off x="4210050" y="3514725"/>
          <a:ext cx="200025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19</row>
      <rowOff>19050</rowOff>
    </from>
    <to>
      <col>7</col>
      <colOff>219075</colOff>
      <row>19</row>
      <rowOff>161925</rowOff>
    </to>
    <pic>
      <nvPicPr>
        <cNvPr id="68" name="Picture 6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0"/>
        <a:stretch xmlns:a="http://schemas.openxmlformats.org/drawingml/2006/main">
          <a:fillRect/>
        </a:stretch>
      </blipFill>
      <spPr>
        <a:xfrm xmlns:a="http://schemas.openxmlformats.org/drawingml/2006/main">
          <a:off x="4210050" y="3705225"/>
          <a:ext cx="200025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42</row>
      <rowOff>19050</rowOff>
    </from>
    <to>
      <col>7</col>
      <colOff>219075</colOff>
      <row>42</row>
      <rowOff>161925</rowOff>
    </to>
    <pic>
      <nvPicPr>
        <cNvPr id="69" name="Picture 6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1"/>
        <a:stretch xmlns:a="http://schemas.openxmlformats.org/drawingml/2006/main">
          <a:fillRect/>
        </a:stretch>
      </blipFill>
      <spPr>
        <a:xfrm xmlns:a="http://schemas.openxmlformats.org/drawingml/2006/main">
          <a:off x="4210050" y="8086725"/>
          <a:ext cx="200025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70</row>
      <rowOff>19050</rowOff>
    </from>
    <to>
      <col>4</col>
      <colOff>1476375</colOff>
      <row>70</row>
      <rowOff>161925</rowOff>
    </to>
    <pic>
      <nvPicPr>
        <cNvPr id="70" name="Picture 6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2"/>
        <a:stretch xmlns:a="http://schemas.openxmlformats.org/drawingml/2006/main">
          <a:fillRect/>
        </a:stretch>
      </blipFill>
      <spPr>
        <a:xfrm xmlns:a="http://schemas.openxmlformats.org/drawingml/2006/main">
          <a:off x="3390900" y="13420725"/>
          <a:ext cx="200025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20</row>
      <rowOff>19050</rowOff>
    </from>
    <to>
      <col>4</col>
      <colOff>1476375</colOff>
      <row>20</row>
      <rowOff>161925</rowOff>
    </to>
    <pic>
      <nvPicPr>
        <cNvPr id="71" name="Picture 7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3"/>
        <a:stretch xmlns:a="http://schemas.openxmlformats.org/drawingml/2006/main">
          <a:fillRect/>
        </a:stretch>
      </blipFill>
      <spPr>
        <a:xfrm xmlns:a="http://schemas.openxmlformats.org/drawingml/2006/main">
          <a:off x="3390900" y="3895725"/>
          <a:ext cx="200025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44</row>
      <rowOff>19050</rowOff>
    </from>
    <to>
      <col>7</col>
      <colOff>219075</colOff>
      <row>44</row>
      <rowOff>161925</rowOff>
    </to>
    <pic>
      <nvPicPr>
        <cNvPr id="73" name="Picture 7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4"/>
        <a:stretch xmlns:a="http://schemas.openxmlformats.org/drawingml/2006/main">
          <a:fillRect/>
        </a:stretch>
      </blipFill>
      <spPr>
        <a:xfrm xmlns:a="http://schemas.openxmlformats.org/drawingml/2006/main">
          <a:off x="4210050" y="8467725"/>
          <a:ext cx="200025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68</row>
      <rowOff>19050</rowOff>
    </from>
    <to>
      <col>7</col>
      <colOff>219075</colOff>
      <row>68</row>
      <rowOff>161925</rowOff>
    </to>
    <pic>
      <nvPicPr>
        <cNvPr id="74" name="Picture 7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5"/>
        <a:stretch xmlns:a="http://schemas.openxmlformats.org/drawingml/2006/main">
          <a:fillRect/>
        </a:stretch>
      </blipFill>
      <spPr>
        <a:xfrm xmlns:a="http://schemas.openxmlformats.org/drawingml/2006/main">
          <a:off x="4210050" y="13039725"/>
          <a:ext cx="200025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23</row>
      <rowOff>19050</rowOff>
    </from>
    <to>
      <col>4</col>
      <colOff>1476375</colOff>
      <row>23</row>
      <rowOff>161925</rowOff>
    </to>
    <pic>
      <nvPicPr>
        <cNvPr id="75" name="Picture 7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6"/>
        <a:stretch xmlns:a="http://schemas.openxmlformats.org/drawingml/2006/main">
          <a:fillRect/>
        </a:stretch>
      </blipFill>
      <spPr>
        <a:xfrm xmlns:a="http://schemas.openxmlformats.org/drawingml/2006/main">
          <a:off x="3390900" y="4467225"/>
          <a:ext cx="200025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47</row>
      <rowOff>19050</rowOff>
    </from>
    <to>
      <col>7</col>
      <colOff>219075</colOff>
      <row>47</row>
      <rowOff>161925</rowOff>
    </to>
    <pic>
      <nvPicPr>
        <cNvPr id="77" name="Picture 7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7"/>
        <a:stretch xmlns:a="http://schemas.openxmlformats.org/drawingml/2006/main">
          <a:fillRect/>
        </a:stretch>
      </blipFill>
      <spPr>
        <a:xfrm xmlns:a="http://schemas.openxmlformats.org/drawingml/2006/main">
          <a:off x="4210050" y="9039225"/>
          <a:ext cx="200025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67</row>
      <rowOff>19050</rowOff>
    </from>
    <to>
      <col>7</col>
      <colOff>219075</colOff>
      <row>67</row>
      <rowOff>161925</rowOff>
    </to>
    <pic>
      <nvPicPr>
        <cNvPr id="78" name="Picture 7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8"/>
        <a:stretch xmlns:a="http://schemas.openxmlformats.org/drawingml/2006/main">
          <a:fillRect/>
        </a:stretch>
      </blipFill>
      <spPr>
        <a:xfrm xmlns:a="http://schemas.openxmlformats.org/drawingml/2006/main">
          <a:off x="4210050" y="12849225"/>
          <a:ext cx="200025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1266825</colOff>
      <row>45</row>
      <rowOff>19050</rowOff>
    </from>
    <to>
      <col>4</col>
      <colOff>1466850</colOff>
      <row>45</row>
      <rowOff>161925</rowOff>
    </to>
    <pic>
      <nvPicPr>
        <cNvPr id="79" name="Picture 7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9"/>
        <a:stretch xmlns:a="http://schemas.openxmlformats.org/drawingml/2006/main">
          <a:fillRect/>
        </a:stretch>
      </blipFill>
      <spPr>
        <a:xfrm xmlns:a="http://schemas.openxmlformats.org/drawingml/2006/main">
          <a:off x="3381375" y="8658225"/>
          <a:ext cx="200025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69</row>
      <rowOff>19050</rowOff>
    </from>
    <to>
      <col>4</col>
      <colOff>1476375</colOff>
      <row>69</row>
      <rowOff>161925</rowOff>
    </to>
    <pic>
      <nvPicPr>
        <cNvPr id="81" name="Picture 8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0"/>
        <a:stretch xmlns:a="http://schemas.openxmlformats.org/drawingml/2006/main">
          <a:fillRect/>
        </a:stretch>
      </blipFill>
      <spPr>
        <a:xfrm xmlns:a="http://schemas.openxmlformats.org/drawingml/2006/main">
          <a:off x="3390900" y="13230225"/>
          <a:ext cx="200025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20</row>
      <rowOff>19050</rowOff>
    </from>
    <to>
      <col>7</col>
      <colOff>219075</colOff>
      <row>20</row>
      <rowOff>161925</rowOff>
    </to>
    <pic>
      <nvPicPr>
        <cNvPr id="82" name="Picture 8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1"/>
        <a:stretch xmlns:a="http://schemas.openxmlformats.org/drawingml/2006/main">
          <a:fillRect/>
        </a:stretch>
      </blipFill>
      <spPr>
        <a:xfrm xmlns:a="http://schemas.openxmlformats.org/drawingml/2006/main">
          <a:off x="4210050" y="3895725"/>
          <a:ext cx="200025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21</row>
      <rowOff>19050</rowOff>
    </from>
    <to>
      <col>7</col>
      <colOff>219075</colOff>
      <row>21</row>
      <rowOff>171450</rowOff>
    </to>
    <pic>
      <nvPicPr>
        <cNvPr id="83" name="Picture 8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2"/>
        <a:stretch xmlns:a="http://schemas.openxmlformats.org/drawingml/2006/main">
          <a:fillRect/>
        </a:stretch>
      </blipFill>
      <spPr>
        <a:xfrm xmlns:a="http://schemas.openxmlformats.org/drawingml/2006/main">
          <a:off x="4210050" y="4086225"/>
          <a:ext cx="200025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45</row>
      <rowOff>19050</rowOff>
    </from>
    <to>
      <col>7</col>
      <colOff>219075</colOff>
      <row>45</row>
      <rowOff>171450</rowOff>
    </to>
    <pic>
      <nvPicPr>
        <cNvPr id="85" name="Picture 8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3"/>
        <a:stretch xmlns:a="http://schemas.openxmlformats.org/drawingml/2006/main">
          <a:fillRect/>
        </a:stretch>
      </blipFill>
      <spPr>
        <a:xfrm xmlns:a="http://schemas.openxmlformats.org/drawingml/2006/main">
          <a:off x="4210050" y="8658225"/>
          <a:ext cx="200025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68</row>
      <rowOff>19050</rowOff>
    </from>
    <to>
      <col>4</col>
      <colOff>1476375</colOff>
      <row>68</row>
      <rowOff>171450</rowOff>
    </to>
    <pic>
      <nvPicPr>
        <cNvPr id="86" name="Picture 8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4"/>
        <a:stretch xmlns:a="http://schemas.openxmlformats.org/drawingml/2006/main">
          <a:fillRect/>
        </a:stretch>
      </blipFill>
      <spPr>
        <a:xfrm xmlns:a="http://schemas.openxmlformats.org/drawingml/2006/main">
          <a:off x="3390900" y="13039725"/>
          <a:ext cx="200025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22</row>
      <rowOff>19050</rowOff>
    </from>
    <to>
      <col>7</col>
      <colOff>219075</colOff>
      <row>22</row>
      <rowOff>161925</rowOff>
    </to>
    <pic>
      <nvPicPr>
        <cNvPr id="87" name="Picture 8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5"/>
        <a:stretch xmlns:a="http://schemas.openxmlformats.org/drawingml/2006/main">
          <a:fillRect/>
        </a:stretch>
      </blipFill>
      <spPr>
        <a:xfrm xmlns:a="http://schemas.openxmlformats.org/drawingml/2006/main">
          <a:off x="4210050" y="4276725"/>
          <a:ext cx="200025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46</row>
      <rowOff>19050</rowOff>
    </from>
    <to>
      <col>7</col>
      <colOff>219075</colOff>
      <row>46</row>
      <rowOff>161925</rowOff>
    </to>
    <pic>
      <nvPicPr>
        <cNvPr id="88" name="Picture 8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6"/>
        <a:stretch xmlns:a="http://schemas.openxmlformats.org/drawingml/2006/main">
          <a:fillRect/>
        </a:stretch>
      </blipFill>
      <spPr>
        <a:xfrm xmlns:a="http://schemas.openxmlformats.org/drawingml/2006/main">
          <a:off x="4210050" y="8848725"/>
          <a:ext cx="200025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67</row>
      <rowOff>19050</rowOff>
    </from>
    <to>
      <col>4</col>
      <colOff>1476375</colOff>
      <row>67</row>
      <rowOff>161925</rowOff>
    </to>
    <pic>
      <nvPicPr>
        <cNvPr id="89" name="Picture 8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7"/>
        <a:stretch xmlns:a="http://schemas.openxmlformats.org/drawingml/2006/main">
          <a:fillRect/>
        </a:stretch>
      </blipFill>
      <spPr>
        <a:xfrm xmlns:a="http://schemas.openxmlformats.org/drawingml/2006/main">
          <a:off x="3390900" y="12849225"/>
          <a:ext cx="200025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66</row>
      <rowOff>19050</rowOff>
    </from>
    <to>
      <col>4</col>
      <colOff>1476375</colOff>
      <row>66</row>
      <rowOff>171450</rowOff>
    </to>
    <pic>
      <nvPicPr>
        <cNvPr id="90" name="Picture 8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8"/>
        <a:stretch xmlns:a="http://schemas.openxmlformats.org/drawingml/2006/main">
          <a:fillRect/>
        </a:stretch>
      </blipFill>
      <spPr>
        <a:xfrm xmlns:a="http://schemas.openxmlformats.org/drawingml/2006/main">
          <a:off x="3390900" y="12658725"/>
          <a:ext cx="200025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46</row>
      <rowOff>9525</rowOff>
    </from>
    <to>
      <col>4</col>
      <colOff>1476375</colOff>
      <row>46</row>
      <rowOff>161925</rowOff>
    </to>
    <pic>
      <nvPicPr>
        <cNvPr id="91" name="Picture 9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9"/>
        <a:stretch xmlns:a="http://schemas.openxmlformats.org/drawingml/2006/main">
          <a:fillRect/>
        </a:stretch>
      </blipFill>
      <spPr>
        <a:xfrm xmlns:a="http://schemas.openxmlformats.org/drawingml/2006/main">
          <a:off x="3390900" y="8839200"/>
          <a:ext cx="200025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23</row>
      <rowOff>19050</rowOff>
    </from>
    <to>
      <col>7</col>
      <colOff>219075</colOff>
      <row>23</row>
      <rowOff>171450</rowOff>
    </to>
    <pic>
      <nvPicPr>
        <cNvPr id="92" name="Picture 9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0"/>
        <a:stretch xmlns:a="http://schemas.openxmlformats.org/drawingml/2006/main">
          <a:fillRect/>
        </a:stretch>
      </blipFill>
      <spPr>
        <a:xfrm xmlns:a="http://schemas.openxmlformats.org/drawingml/2006/main">
          <a:off x="4210050" y="4467225"/>
          <a:ext cx="200025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24</row>
      <rowOff>19050</rowOff>
    </from>
    <to>
      <col>7</col>
      <colOff>209550</colOff>
      <row>24</row>
      <rowOff>152400</rowOff>
    </to>
    <pic>
      <nvPicPr>
        <cNvPr id="93" name="Picture 9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1"/>
        <a:stretch xmlns:a="http://schemas.openxmlformats.org/drawingml/2006/main">
          <a:fillRect/>
        </a:stretch>
      </blipFill>
      <spPr>
        <a:xfrm xmlns:a="http://schemas.openxmlformats.org/drawingml/2006/main">
          <a:off x="4210050" y="4657725"/>
          <a:ext cx="190500" cy="1333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49</row>
      <rowOff>19050</rowOff>
    </from>
    <to>
      <col>7</col>
      <colOff>209550</colOff>
      <row>49</row>
      <rowOff>152400</rowOff>
    </to>
    <pic>
      <nvPicPr>
        <cNvPr id="94" name="Picture 9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2"/>
        <a:stretch xmlns:a="http://schemas.openxmlformats.org/drawingml/2006/main">
          <a:fillRect/>
        </a:stretch>
      </blipFill>
      <spPr>
        <a:xfrm xmlns:a="http://schemas.openxmlformats.org/drawingml/2006/main">
          <a:off x="4210050" y="9420225"/>
          <a:ext cx="190500" cy="1333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74</row>
      <rowOff>28575</rowOff>
    </from>
    <to>
      <col>4</col>
      <colOff>1466850</colOff>
      <row>74</row>
      <rowOff>161925</rowOff>
    </to>
    <pic>
      <nvPicPr>
        <cNvPr id="95" name="Picture 9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3"/>
        <a:stretch xmlns:a="http://schemas.openxmlformats.org/drawingml/2006/main">
          <a:fillRect/>
        </a:stretch>
      </blipFill>
      <spPr>
        <a:xfrm xmlns:a="http://schemas.openxmlformats.org/drawingml/2006/main">
          <a:off x="3390900" y="14192250"/>
          <a:ext cx="190500" cy="1333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25</row>
      <rowOff>19050</rowOff>
    </from>
    <to>
      <col>4</col>
      <colOff>1466850</colOff>
      <row>25</row>
      <rowOff>161925</rowOff>
    </to>
    <pic>
      <nvPicPr>
        <cNvPr id="96" name="Picture 9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4"/>
        <a:stretch xmlns:a="http://schemas.openxmlformats.org/drawingml/2006/main">
          <a:fillRect/>
        </a:stretch>
      </blipFill>
      <spPr>
        <a:xfrm xmlns:a="http://schemas.openxmlformats.org/drawingml/2006/main">
          <a:off x="3390900" y="48482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48</row>
      <rowOff>19050</rowOff>
    </from>
    <to>
      <col>7</col>
      <colOff>209550</colOff>
      <row>48</row>
      <rowOff>161925</rowOff>
    </to>
    <pic>
      <nvPicPr>
        <cNvPr id="97" name="Picture 9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5"/>
        <a:stretch xmlns:a="http://schemas.openxmlformats.org/drawingml/2006/main">
          <a:fillRect/>
        </a:stretch>
      </blipFill>
      <spPr>
        <a:xfrm xmlns:a="http://schemas.openxmlformats.org/drawingml/2006/main">
          <a:off x="4210050" y="92297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74</row>
      <rowOff>19050</rowOff>
    </from>
    <to>
      <col>7</col>
      <colOff>209550</colOff>
      <row>74</row>
      <rowOff>161925</rowOff>
    </to>
    <pic>
      <nvPicPr>
        <cNvPr id="98" name="Picture 9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6"/>
        <a:stretch xmlns:a="http://schemas.openxmlformats.org/drawingml/2006/main">
          <a:fillRect/>
        </a:stretch>
      </blipFill>
      <spPr>
        <a:xfrm xmlns:a="http://schemas.openxmlformats.org/drawingml/2006/main">
          <a:off x="4210050" y="141827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25</row>
      <rowOff>9525</rowOff>
    </from>
    <to>
      <col>7</col>
      <colOff>219075</colOff>
      <row>25</row>
      <rowOff>161925</rowOff>
    </to>
    <pic>
      <nvPicPr>
        <cNvPr id="99" name="Picture 9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7"/>
        <a:stretch xmlns:a="http://schemas.openxmlformats.org/drawingml/2006/main">
          <a:fillRect/>
        </a:stretch>
      </blipFill>
      <spPr>
        <a:xfrm xmlns:a="http://schemas.openxmlformats.org/drawingml/2006/main">
          <a:off x="4210050" y="4838700"/>
          <a:ext cx="200025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1266825</colOff>
      <row>75</row>
      <rowOff>19050</rowOff>
    </from>
    <to>
      <col>4</col>
      <colOff>1466850</colOff>
      <row>75</row>
      <rowOff>171450</rowOff>
    </to>
    <pic>
      <nvPicPr>
        <cNvPr id="100" name="Picture 9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8"/>
        <a:stretch xmlns:a="http://schemas.openxmlformats.org/drawingml/2006/main">
          <a:fillRect/>
        </a:stretch>
      </blipFill>
      <spPr>
        <a:xfrm xmlns:a="http://schemas.openxmlformats.org/drawingml/2006/main">
          <a:off x="3381375" y="14373225"/>
          <a:ext cx="200025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1266825</colOff>
      <row>49</row>
      <rowOff>19050</rowOff>
    </from>
    <to>
      <col>4</col>
      <colOff>1466850</colOff>
      <row>49</row>
      <rowOff>171450</rowOff>
    </to>
    <pic>
      <nvPicPr>
        <cNvPr id="101" name="Picture 10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9"/>
        <a:stretch xmlns:a="http://schemas.openxmlformats.org/drawingml/2006/main">
          <a:fillRect/>
        </a:stretch>
      </blipFill>
      <spPr>
        <a:xfrm xmlns:a="http://schemas.openxmlformats.org/drawingml/2006/main">
          <a:off x="3381375" y="9420225"/>
          <a:ext cx="200025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26</row>
      <rowOff>9525</rowOff>
    </from>
    <to>
      <col>7</col>
      <colOff>209550</colOff>
      <row>26</row>
      <rowOff>152400</rowOff>
    </to>
    <pic>
      <nvPicPr>
        <cNvPr id="102" name="Picture 10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0"/>
        <a:stretch xmlns:a="http://schemas.openxmlformats.org/drawingml/2006/main">
          <a:fillRect/>
        </a:stretch>
      </blipFill>
      <spPr>
        <a:xfrm xmlns:a="http://schemas.openxmlformats.org/drawingml/2006/main">
          <a:off x="4210050" y="5029200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51</row>
      <rowOff>19050</rowOff>
    </from>
    <to>
      <col>4</col>
      <colOff>1466850</colOff>
      <row>51</row>
      <rowOff>161925</rowOff>
    </to>
    <pic>
      <nvPicPr>
        <cNvPr id="103" name="Picture 10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1"/>
        <a:stretch xmlns:a="http://schemas.openxmlformats.org/drawingml/2006/main">
          <a:fillRect/>
        </a:stretch>
      </blipFill>
      <spPr>
        <a:xfrm xmlns:a="http://schemas.openxmlformats.org/drawingml/2006/main">
          <a:off x="3390900" y="98012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72</row>
      <rowOff>19050</rowOff>
    </from>
    <to>
      <col>4</col>
      <colOff>1466850</colOff>
      <row>72</row>
      <rowOff>161925</rowOff>
    </to>
    <pic>
      <nvPicPr>
        <cNvPr id="104" name="Picture 10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2"/>
        <a:stretch xmlns:a="http://schemas.openxmlformats.org/drawingml/2006/main">
          <a:fillRect/>
        </a:stretch>
      </blipFill>
      <spPr>
        <a:xfrm xmlns:a="http://schemas.openxmlformats.org/drawingml/2006/main">
          <a:off x="3390900" y="138017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1266825</colOff>
      <row>26</row>
      <rowOff>19050</rowOff>
    </from>
    <to>
      <col>4</col>
      <colOff>1476375</colOff>
      <row>26</row>
      <rowOff>171450</rowOff>
    </to>
    <pic>
      <nvPicPr>
        <cNvPr id="105" name="Picture 10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3"/>
        <a:stretch xmlns:a="http://schemas.openxmlformats.org/drawingml/2006/main">
          <a:fillRect/>
        </a:stretch>
      </blipFill>
      <spPr>
        <a:xfrm xmlns:a="http://schemas.openxmlformats.org/drawingml/2006/main">
          <a:off x="3381375" y="5038725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50</row>
      <rowOff>19050</rowOff>
    </from>
    <to>
      <col>7</col>
      <colOff>228600</colOff>
      <row>50</row>
      <rowOff>171450</rowOff>
    </to>
    <pic>
      <nvPicPr>
        <cNvPr id="106" name="Picture 10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4"/>
        <a:stretch xmlns:a="http://schemas.openxmlformats.org/drawingml/2006/main">
          <a:fillRect/>
        </a:stretch>
      </blipFill>
      <spPr>
        <a:xfrm xmlns:a="http://schemas.openxmlformats.org/drawingml/2006/main">
          <a:off x="4210050" y="9610725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73</row>
      <rowOff>19050</rowOff>
    </from>
    <to>
      <col>7</col>
      <colOff>228600</colOff>
      <row>73</row>
      <rowOff>171450</rowOff>
    </to>
    <pic>
      <nvPicPr>
        <cNvPr id="107" name="Picture 10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5"/>
        <a:stretch xmlns:a="http://schemas.openxmlformats.org/drawingml/2006/main">
          <a:fillRect/>
        </a:stretch>
      </blipFill>
      <spPr>
        <a:xfrm xmlns:a="http://schemas.openxmlformats.org/drawingml/2006/main">
          <a:off x="4210050" y="13992225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28</row>
      <rowOff>19050</rowOff>
    </from>
    <to>
      <col>7</col>
      <colOff>209550</colOff>
      <row>28</row>
      <rowOff>161925</rowOff>
    </to>
    <pic>
      <nvPicPr>
        <cNvPr id="108" name="Picture 10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6"/>
        <a:stretch xmlns:a="http://schemas.openxmlformats.org/drawingml/2006/main">
          <a:fillRect/>
        </a:stretch>
      </blipFill>
      <spPr>
        <a:xfrm xmlns:a="http://schemas.openxmlformats.org/drawingml/2006/main">
          <a:off x="4210050" y="54197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53</row>
      <rowOff>19050</rowOff>
    </from>
    <to>
      <col>7</col>
      <colOff>209550</colOff>
      <row>53</row>
      <rowOff>161925</rowOff>
    </to>
    <pic>
      <nvPicPr>
        <cNvPr id="109" name="Picture 10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7"/>
        <a:stretch xmlns:a="http://schemas.openxmlformats.org/drawingml/2006/main">
          <a:fillRect/>
        </a:stretch>
      </blipFill>
      <spPr>
        <a:xfrm xmlns:a="http://schemas.openxmlformats.org/drawingml/2006/main">
          <a:off x="4210050" y="101822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77</row>
      <rowOff>19050</rowOff>
    </from>
    <to>
      <col>4</col>
      <colOff>1466850</colOff>
      <row>77</row>
      <rowOff>161925</rowOff>
    </to>
    <pic>
      <nvPicPr>
        <cNvPr id="110" name="Picture 10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8"/>
        <a:stretch xmlns:a="http://schemas.openxmlformats.org/drawingml/2006/main">
          <a:fillRect/>
        </a:stretch>
      </blipFill>
      <spPr>
        <a:xfrm xmlns:a="http://schemas.openxmlformats.org/drawingml/2006/main">
          <a:off x="3390900" y="14754225"/>
          <a:ext cx="190500" cy="142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29</row>
      <rowOff>19050</rowOff>
    </from>
    <to>
      <col>7</col>
      <colOff>228600</colOff>
      <row>29</row>
      <rowOff>171450</rowOff>
    </to>
    <pic>
      <nvPicPr>
        <cNvPr id="112" name="Picture 1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9"/>
        <a:stretch xmlns:a="http://schemas.openxmlformats.org/drawingml/2006/main">
          <a:fillRect/>
        </a:stretch>
      </blipFill>
      <spPr>
        <a:xfrm xmlns:a="http://schemas.openxmlformats.org/drawingml/2006/main">
          <a:off x="4210050" y="5610225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1257300</colOff>
      <row>76</row>
      <rowOff>19050</rowOff>
    </from>
    <to>
      <col>4</col>
      <colOff>1466850</colOff>
      <row>76</row>
      <rowOff>171450</rowOff>
    </to>
    <pic>
      <nvPicPr>
        <cNvPr id="113" name="Picture 11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40"/>
        <a:stretch xmlns:a="http://schemas.openxmlformats.org/drawingml/2006/main">
          <a:fillRect/>
        </a:stretch>
      </blipFill>
      <spPr>
        <a:xfrm xmlns:a="http://schemas.openxmlformats.org/drawingml/2006/main">
          <a:off x="3371850" y="14563725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1257300</colOff>
      <row>53</row>
      <rowOff>19050</rowOff>
    </from>
    <to>
      <col>4</col>
      <colOff>1466850</colOff>
      <row>53</row>
      <rowOff>171450</rowOff>
    </to>
    <pic>
      <nvPicPr>
        <cNvPr id="114" name="Picture 11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41"/>
        <a:stretch xmlns:a="http://schemas.openxmlformats.org/drawingml/2006/main">
          <a:fillRect/>
        </a:stretch>
      </blipFill>
      <spPr>
        <a:xfrm xmlns:a="http://schemas.openxmlformats.org/drawingml/2006/main">
          <a:off x="3371850" y="10182225"/>
          <a:ext cx="209550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1276350</colOff>
      <row>29</row>
      <rowOff>19050</rowOff>
    </from>
    <to>
      <col>4</col>
      <colOff>1476375</colOff>
      <row>29</row>
      <rowOff>171450</rowOff>
    </to>
    <pic>
      <nvPicPr>
        <cNvPr id="115" name="Picture 11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42"/>
        <a:stretch xmlns:a="http://schemas.openxmlformats.org/drawingml/2006/main">
          <a:fillRect/>
        </a:stretch>
      </blipFill>
      <spPr>
        <a:xfrm xmlns:a="http://schemas.openxmlformats.org/drawingml/2006/main">
          <a:off x="3390900" y="5610225"/>
          <a:ext cx="200025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52</row>
      <rowOff>19050</rowOff>
    </from>
    <to>
      <col>7</col>
      <colOff>219075</colOff>
      <row>52</row>
      <rowOff>171450</rowOff>
    </to>
    <pic>
      <nvPicPr>
        <cNvPr id="196" name="Picture 19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43"/>
        <a:stretch xmlns:a="http://schemas.openxmlformats.org/drawingml/2006/main">
          <a:fillRect/>
        </a:stretch>
      </blipFill>
      <spPr>
        <a:xfrm xmlns:a="http://schemas.openxmlformats.org/drawingml/2006/main">
          <a:off x="4210050" y="9991725"/>
          <a:ext cx="200025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19050</colOff>
      <row>77</row>
      <rowOff>19050</rowOff>
    </from>
    <to>
      <col>7</col>
      <colOff>219075</colOff>
      <row>77</row>
      <rowOff>171450</rowOff>
    </to>
    <pic>
      <nvPicPr>
        <cNvPr id="197" name="Picture 19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44"/>
        <a:stretch xmlns:a="http://schemas.openxmlformats.org/drawingml/2006/main">
          <a:fillRect/>
        </a:stretch>
      </blipFill>
      <spPr>
        <a:xfrm xmlns:a="http://schemas.openxmlformats.org/drawingml/2006/main">
          <a:off x="4210050" y="14754225"/>
          <a:ext cx="200025" cy="152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Office 2013 – 2022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hyperlink" Target="http://www.excely.com/football/2026-fifa-world-cup-schedule.html" TargetMode="External" Id="rId1"/><Relationship Type="http://schemas.openxmlformats.org/officeDocument/2006/relationships/hyperlink" Target="http://www.wallchart.io/football/world-cup-2026.html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/>
  <cols>
    <col width="24.1640625" bestFit="1" customWidth="1" min="1" max="1"/>
    <col width="14" customWidth="1" min="2" max="42"/>
  </cols>
  <sheetData>
    <row r="1">
      <c r="A1" t="inlineStr">
        <is>
          <t>English</t>
        </is>
      </c>
      <c r="B1" t="inlineStr">
        <is>
          <t>Albanian</t>
        </is>
      </c>
      <c r="C1" t="inlineStr">
        <is>
          <t>Arabic</t>
        </is>
      </c>
      <c r="D1" t="inlineStr">
        <is>
          <t>Armenian</t>
        </is>
      </c>
      <c r="E1" t="inlineStr">
        <is>
          <t>Azerbaijan</t>
        </is>
      </c>
      <c r="F1" t="inlineStr">
        <is>
          <t>Bulgarian</t>
        </is>
      </c>
      <c r="G1" t="inlineStr">
        <is>
          <t>Català</t>
        </is>
      </c>
      <c r="H1" t="inlineStr">
        <is>
          <t>Chinese (Simplified)</t>
        </is>
      </c>
      <c r="I1" t="inlineStr">
        <is>
          <t>Chinese (Traditional)</t>
        </is>
      </c>
      <c r="J1" t="inlineStr">
        <is>
          <t>Croatian</t>
        </is>
      </c>
      <c r="K1" t="inlineStr">
        <is>
          <t>Czech</t>
        </is>
      </c>
      <c r="L1" t="inlineStr">
        <is>
          <t>Danish</t>
        </is>
      </c>
      <c r="M1" t="inlineStr">
        <is>
          <t>Dutch</t>
        </is>
      </c>
      <c r="N1" t="inlineStr">
        <is>
          <t>Faroese</t>
        </is>
      </c>
      <c r="O1" t="inlineStr">
        <is>
          <t>French</t>
        </is>
      </c>
      <c r="P1" t="inlineStr">
        <is>
          <t>Georgian</t>
        </is>
      </c>
      <c r="Q1" t="inlineStr">
        <is>
          <t>German</t>
        </is>
      </c>
      <c r="R1" t="inlineStr">
        <is>
          <t>Greek</t>
        </is>
      </c>
      <c r="S1" t="inlineStr">
        <is>
          <t>Hebrew</t>
        </is>
      </c>
      <c r="T1" t="inlineStr">
        <is>
          <t>Hungarian</t>
        </is>
      </c>
      <c r="U1" t="inlineStr">
        <is>
          <t>Indonesia</t>
        </is>
      </c>
      <c r="V1" t="inlineStr">
        <is>
          <t>Icelandic</t>
        </is>
      </c>
      <c r="W1" t="inlineStr">
        <is>
          <t>Italian</t>
        </is>
      </c>
      <c r="X1" t="inlineStr">
        <is>
          <t>Korean</t>
        </is>
      </c>
      <c r="Y1" t="inlineStr">
        <is>
          <t>Lithuanian</t>
        </is>
      </c>
      <c r="Z1" t="inlineStr">
        <is>
          <t>Macedonian</t>
        </is>
      </c>
      <c r="AA1" t="inlineStr">
        <is>
          <t>Maltese</t>
        </is>
      </c>
      <c r="AB1" t="inlineStr">
        <is>
          <t>Norwegian</t>
        </is>
      </c>
      <c r="AC1" t="inlineStr">
        <is>
          <t>Persian</t>
        </is>
      </c>
      <c r="AD1" t="inlineStr">
        <is>
          <t>Polish</t>
        </is>
      </c>
      <c r="AE1" t="inlineStr">
        <is>
          <t>Portuguese</t>
        </is>
      </c>
      <c r="AF1" t="inlineStr">
        <is>
          <t>Romanian</t>
        </is>
      </c>
      <c r="AG1" t="inlineStr">
        <is>
          <t>Serbian</t>
        </is>
      </c>
      <c r="AH1" t="inlineStr">
        <is>
          <t>Slovak</t>
        </is>
      </c>
      <c r="AI1" t="inlineStr">
        <is>
          <t>Slovenian</t>
        </is>
      </c>
      <c r="AJ1" t="inlineStr">
        <is>
          <t>Spanish</t>
        </is>
      </c>
      <c r="AK1" t="inlineStr">
        <is>
          <t>Swedish</t>
        </is>
      </c>
      <c r="AL1" t="inlineStr">
        <is>
          <t>Thai</t>
        </is>
      </c>
      <c r="AM1" t="inlineStr">
        <is>
          <t>Turkish</t>
        </is>
      </c>
      <c r="AN1" t="inlineStr">
        <is>
          <t>Vietnamese</t>
        </is>
      </c>
      <c r="AO1" t="inlineStr">
        <is>
          <t>Ukrainian</t>
        </is>
      </c>
      <c r="AP1" t="inlineStr">
        <is>
          <t>Urdu</t>
        </is>
      </c>
    </row>
    <row r="2">
      <c r="A2" t="inlineStr">
        <is>
          <t>2026 World Cup Final Tournament Schedule</t>
        </is>
      </c>
      <c r="B2" t="inlineStr">
        <is>
          <t>Kupa Botërore 2026</t>
        </is>
      </c>
      <c r="C2" t="inlineStr">
        <is>
          <t>جدول مباريات كأس العالم 2026</t>
        </is>
      </c>
      <c r="D2" t="inlineStr">
        <is>
          <t xml:space="preserve">Աշխարհի 2026թ. առաջնություն </t>
        </is>
      </c>
      <c r="E2" t="inlineStr">
        <is>
          <t>2026 - cu il Dünya Çempionatinin Final Mərhələsinin Cədvəli</t>
        </is>
      </c>
      <c r="F2" t="inlineStr">
        <is>
          <t>График на срещите - Световно първенство 2026</t>
        </is>
      </c>
      <c r="G2" t="inlineStr">
        <is>
          <t>Calendari de la Fase Final de la Copa del Món de futbol 2026</t>
        </is>
      </c>
      <c r="H2" t="inlineStr">
        <is>
          <t>巴西2026年世界杯</t>
        </is>
      </c>
      <c r="I2" t="inlineStr">
        <is>
          <t>2026 世界盃賽程</t>
        </is>
      </c>
      <c r="J2" t="inlineStr">
        <is>
          <t>Svjetsko prvenstvo 2026 raspored utakmica</t>
        </is>
      </c>
      <c r="K2" t="inlineStr">
        <is>
          <t>Mistrovství světa ve fotbale 2026</t>
        </is>
      </c>
      <c r="L2" t="inlineStr">
        <is>
          <t>2026 Verdensmesterskabs Oversigt</t>
        </is>
      </c>
      <c r="M2" t="inlineStr">
        <is>
          <t>Wereldkampioenschap 2026 Toernooischema</t>
        </is>
      </c>
      <c r="N2" t="inlineStr">
        <is>
          <t>2026 Heimsmeistarakappingaryvirlit</t>
        </is>
      </c>
      <c r="O2" t="inlineStr">
        <is>
          <t>Coupe du Monde de la FIFA 2026 - Calendrier des matchs</t>
        </is>
      </c>
      <c r="P2" t="inlineStr">
        <is>
          <t>მსოფლიო ჩემპიონატი ფეხბურთში - სამხრეთ აფრიკა 2026</t>
        </is>
      </c>
      <c r="Q2" t="inlineStr">
        <is>
          <t>Spielplan Weltmeisterschafts endrunde 2026</t>
        </is>
      </c>
      <c r="R2" t="inlineStr">
        <is>
          <t>Πρόγραμμα Τελικών Παγκοσμίου Κυπέλλου 2026</t>
        </is>
      </c>
      <c r="S2" t="inlineStr">
        <is>
          <t>2026 גביע העולם טורניר הגמר תזמן</t>
        </is>
      </c>
      <c r="T2" t="inlineStr">
        <is>
          <t>2026 Labdarúgó-világbajnokság döntő sorozata</t>
        </is>
      </c>
      <c r="U2" t="inlineStr">
        <is>
          <t>Jadwal Turnamen Final Piala Dunia 2026</t>
        </is>
      </c>
      <c r="V2" t="inlineStr">
        <is>
          <t>HM 2026 lokakeppnin</t>
        </is>
      </c>
      <c r="W2" t="inlineStr">
        <is>
          <t>Calendario Coppa del mondo 2026</t>
        </is>
      </c>
      <c r="X2" t="inlineStr">
        <is>
          <t>2026 월드컵 최종 토너먼트 일정</t>
        </is>
      </c>
      <c r="Y2" t="inlineStr">
        <is>
          <t>2026 Pasaulio Futbolo Čempionato Tvarkaraštis</t>
        </is>
      </c>
      <c r="Z2" t="inlineStr">
        <is>
          <t>Светско првенство 2026 - Распоред на натпревари</t>
        </is>
      </c>
      <c r="AA2" t="inlineStr">
        <is>
          <t>Skeda tat-Tazza tad-Dinja 2026</t>
        </is>
      </c>
      <c r="AB2" t="inlineStr">
        <is>
          <t>Verdensmesterskapet i fotball 2026</t>
        </is>
      </c>
      <c r="AC2" t="inlineStr">
        <is>
          <t>جدول مسابقات فینال جام جهانی 2026</t>
        </is>
      </c>
      <c r="AD2" t="inlineStr">
        <is>
          <t>2026 Mistrzostwa Świata Terminarz Meczów</t>
        </is>
      </c>
      <c r="AE2" t="inlineStr">
        <is>
          <t>Calendário Fase Final Mundial 2026</t>
        </is>
      </c>
      <c r="AF2" t="inlineStr">
        <is>
          <t>Programul Turneului Final FIFA World Cup 2026</t>
        </is>
      </c>
      <c r="AG2" t="inlineStr">
        <is>
          <t>Svetsko prvenstvo u fudbalu 2026 - Raspored utakmica</t>
        </is>
      </c>
      <c r="AH2" t="inlineStr">
        <is>
          <t>Majstrovstvá sveta vo futbale 2026</t>
        </is>
      </c>
      <c r="AI2" t="inlineStr">
        <is>
          <t>Svetovno prvenstvo 2026 razpored tekem</t>
        </is>
      </c>
      <c r="AJ2" t="inlineStr">
        <is>
          <t>Copa Mundial de Fútbol - Brasil 2026</t>
        </is>
      </c>
      <c r="AK2" t="inlineStr">
        <is>
          <t>Schema för VM-slutspelet 2026</t>
        </is>
      </c>
      <c r="AL2" t="inlineStr">
        <is>
          <t>ตารางการแข่งขันฟุตบอลโลก 2026</t>
        </is>
      </c>
      <c r="AM2" t="inlineStr">
        <is>
          <t>2026 Dünya Kupası Finalleri Turnuva Fikstürü</t>
        </is>
      </c>
      <c r="AN2" t="inlineStr">
        <is>
          <t>Lịch Thi Đấu Cúp Bóng Đá Thế Giới 2026</t>
        </is>
      </c>
      <c r="AO2" s="1" t="inlineStr">
        <is>
          <t>Календар Чемпіонату Світу 2026</t>
        </is>
      </c>
      <c r="AP2" t="inlineStr">
        <is>
          <t>۲۰۱۰ فٹبال عالمی کپ ٹورنمنٹ کا خاکہ</t>
        </is>
      </c>
    </row>
    <row r="3">
      <c r="A3" t="inlineStr">
        <is>
          <t>Group Stage</t>
        </is>
      </c>
      <c r="B3" t="inlineStr">
        <is>
          <t>Grupet</t>
        </is>
      </c>
      <c r="C3" t="inlineStr">
        <is>
          <t>الدور الأول</t>
        </is>
      </c>
      <c r="D3" t="inlineStr">
        <is>
          <t>Խմբային փուլ</t>
        </is>
      </c>
      <c r="E3" t="inlineStr">
        <is>
          <t>Qrup Mərhələsi</t>
        </is>
      </c>
      <c r="F3" t="inlineStr">
        <is>
          <t>Групова фаза</t>
        </is>
      </c>
      <c r="G3" t="inlineStr">
        <is>
          <t>Fase de grups</t>
        </is>
      </c>
      <c r="H3" t="inlineStr">
        <is>
          <t>小组赛阶段</t>
        </is>
      </c>
      <c r="I3" t="inlineStr">
        <is>
          <t>分組賽</t>
        </is>
      </c>
      <c r="J3" t="inlineStr">
        <is>
          <t>Prvi krug</t>
        </is>
      </c>
      <c r="K3" t="inlineStr">
        <is>
          <t>Základní skupiny</t>
        </is>
      </c>
      <c r="L3" t="inlineStr">
        <is>
          <t>Gruppespil</t>
        </is>
      </c>
      <c r="M3" t="inlineStr">
        <is>
          <t>Groepsfase</t>
        </is>
      </c>
      <c r="N3" t="inlineStr">
        <is>
          <t>Bólkaspæl</t>
        </is>
      </c>
      <c r="O3" t="inlineStr">
        <is>
          <t>Phase de groupes</t>
        </is>
      </c>
      <c r="P3" t="inlineStr">
        <is>
          <t>ჯგუფური ეტაპი</t>
        </is>
      </c>
      <c r="Q3" t="inlineStr">
        <is>
          <t>Gruppenphase</t>
        </is>
      </c>
      <c r="R3" t="inlineStr">
        <is>
          <t>Φάση Ομίλων</t>
        </is>
      </c>
      <c r="S3" t="inlineStr">
        <is>
          <t>שלב הבתים</t>
        </is>
      </c>
      <c r="T3" t="inlineStr">
        <is>
          <t>Csoportkörök</t>
        </is>
      </c>
      <c r="U3" t="inlineStr">
        <is>
          <t>Babak Kualifikasi</t>
        </is>
      </c>
      <c r="V3" t="inlineStr">
        <is>
          <t>Riðlakeppnin</t>
        </is>
      </c>
      <c r="W3" t="inlineStr">
        <is>
          <t>Fase a gironi</t>
        </is>
      </c>
      <c r="X3" t="inlineStr">
        <is>
          <t>조별 리그</t>
        </is>
      </c>
      <c r="Y3" t="inlineStr">
        <is>
          <t>Grupės Etapas</t>
        </is>
      </c>
      <c r="Z3" t="inlineStr">
        <is>
          <t>Фаза по групи</t>
        </is>
      </c>
      <c r="AA3" t="inlineStr">
        <is>
          <t>Fażi tal-Gruppi</t>
        </is>
      </c>
      <c r="AB3" t="inlineStr">
        <is>
          <t>Gruppespill</t>
        </is>
      </c>
      <c r="AC3" t="inlineStr">
        <is>
          <t>مرحله گروهی</t>
        </is>
      </c>
      <c r="AD3" t="inlineStr">
        <is>
          <t>Faza Grupowa</t>
        </is>
      </c>
      <c r="AE3" t="inlineStr">
        <is>
          <t>Fase de grupos</t>
        </is>
      </c>
      <c r="AF3" t="inlineStr">
        <is>
          <t>Faza Grupelor</t>
        </is>
      </c>
      <c r="AG3" t="inlineStr">
        <is>
          <t>Grupno takmičenje</t>
        </is>
      </c>
      <c r="AH3" t="inlineStr">
        <is>
          <t>Skupinová fáza</t>
        </is>
      </c>
      <c r="AI3" t="inlineStr">
        <is>
          <t>Skupinski del</t>
        </is>
      </c>
      <c r="AJ3" t="inlineStr">
        <is>
          <t>Fase de grupos</t>
        </is>
      </c>
      <c r="AK3" t="inlineStr">
        <is>
          <t>Gruppspel</t>
        </is>
      </c>
      <c r="AL3" t="inlineStr">
        <is>
          <t>รอบแรก</t>
        </is>
      </c>
      <c r="AM3" t="inlineStr">
        <is>
          <t>Grup Aşaması</t>
        </is>
      </c>
      <c r="AN3" t="inlineStr">
        <is>
          <t>Vòng Bảng</t>
        </is>
      </c>
      <c r="AO3" t="inlineStr">
        <is>
          <t>Груповий етап</t>
        </is>
      </c>
      <c r="AP3" t="inlineStr">
        <is>
          <t>گروپ بندی</t>
        </is>
      </c>
    </row>
    <row r="4">
      <c r="A4" t="inlineStr">
        <is>
          <t>Round of 16</t>
        </is>
      </c>
      <c r="B4" t="inlineStr">
        <is>
          <t>Rundi I 16</t>
        </is>
      </c>
      <c r="C4" t="inlineStr">
        <is>
          <t>دور الستة عشر</t>
        </is>
      </c>
      <c r="D4" t="inlineStr">
        <is>
          <t>1/8 Եզրափակիչ</t>
        </is>
      </c>
      <c r="E4" t="inlineStr">
        <is>
          <t>16-da bir raund</t>
        </is>
      </c>
      <c r="F4" t="inlineStr">
        <is>
          <t>1/8 - финали</t>
        </is>
      </c>
      <c r="G4" t="inlineStr">
        <is>
          <t>Vuitens de final</t>
        </is>
      </c>
      <c r="H4" t="inlineStr">
        <is>
          <t>16强赛</t>
        </is>
      </c>
      <c r="I4" t="inlineStr">
        <is>
          <t>十六強</t>
        </is>
      </c>
      <c r="J4" t="inlineStr">
        <is>
          <t>Drugi krug</t>
        </is>
      </c>
      <c r="K4" t="inlineStr">
        <is>
          <t>Osmifinále</t>
        </is>
      </c>
      <c r="L4" t="inlineStr">
        <is>
          <t>Runde af 16</t>
        </is>
      </c>
      <c r="M4" t="inlineStr">
        <is>
          <t>Achtste finales</t>
        </is>
      </c>
      <c r="N4" t="inlineStr">
        <is>
          <t>Áttandapartsfinala</t>
        </is>
      </c>
      <c r="O4" t="inlineStr">
        <is>
          <t>Huitièmes de finale</t>
        </is>
      </c>
      <c r="P4" t="inlineStr">
        <is>
          <t>მერვედფინალი</t>
        </is>
      </c>
      <c r="Q4" t="inlineStr">
        <is>
          <t>Achtelfinale</t>
        </is>
      </c>
      <c r="R4" t="inlineStr">
        <is>
          <t>Φάση των 16</t>
        </is>
      </c>
      <c r="S4" t="inlineStr">
        <is>
          <t>שמינית גמר</t>
        </is>
      </c>
      <c r="T4" t="inlineStr">
        <is>
          <t>Nyolcaddöntők</t>
        </is>
      </c>
      <c r="U4" t="inlineStr">
        <is>
          <t>Per Delapan Final</t>
        </is>
      </c>
      <c r="V4" t="inlineStr">
        <is>
          <t>16 liða úrslit</t>
        </is>
      </c>
      <c r="W4" t="inlineStr">
        <is>
          <t>Ottavi di finale</t>
        </is>
      </c>
      <c r="X4" t="inlineStr">
        <is>
          <t>16강전</t>
        </is>
      </c>
      <c r="Y4" t="inlineStr">
        <is>
          <t>16-tuko Raundas</t>
        </is>
      </c>
      <c r="Z4" t="inlineStr">
        <is>
          <t>1/8 финале</t>
        </is>
      </c>
      <c r="AA4" t="inlineStr">
        <is>
          <t>L-Aħħar Sittax</t>
        </is>
      </c>
      <c r="AB4" t="inlineStr">
        <is>
          <t>8-dels finale</t>
        </is>
      </c>
      <c r="AC4" t="inlineStr">
        <is>
          <t xml:space="preserve"> یک هشتم نهائی</t>
        </is>
      </c>
      <c r="AD4" t="inlineStr">
        <is>
          <t>1/8 Finału</t>
        </is>
      </c>
      <c r="AE4" t="inlineStr">
        <is>
          <t>Oitavos de Final</t>
        </is>
      </c>
      <c r="AF4" t="inlineStr">
        <is>
          <t>Optimi</t>
        </is>
      </c>
      <c r="AG4" t="inlineStr">
        <is>
          <t>Šesnaestina finala</t>
        </is>
      </c>
      <c r="AH4" t="inlineStr">
        <is>
          <t>Osemfinále</t>
        </is>
      </c>
      <c r="AI4" t="inlineStr">
        <is>
          <t>Osminafinala</t>
        </is>
      </c>
      <c r="AJ4" t="inlineStr">
        <is>
          <t>Octavos de final</t>
        </is>
      </c>
      <c r="AK4" t="inlineStr">
        <is>
          <t>Åttondelsfinal</t>
        </is>
      </c>
      <c r="AL4" t="inlineStr">
        <is>
          <t>รอบสอง</t>
        </is>
      </c>
      <c r="AM4" t="inlineStr">
        <is>
          <t>Son 16</t>
        </is>
      </c>
      <c r="AN4" t="inlineStr">
        <is>
          <t>Vòng 1/16</t>
        </is>
      </c>
      <c r="AO4" t="inlineStr">
        <is>
          <t>1/8 фіналу</t>
        </is>
      </c>
      <c r="AP4" t="inlineStr">
        <is>
          <t>سولھواں دور</t>
        </is>
      </c>
    </row>
    <row r="5">
      <c r="A5" t="inlineStr">
        <is>
          <t>Quarterfinals</t>
        </is>
      </c>
      <c r="B5" t="inlineStr">
        <is>
          <t>Qerekfinalja</t>
        </is>
      </c>
      <c r="C5" t="inlineStr">
        <is>
          <t>دور الربع نهائي</t>
        </is>
      </c>
      <c r="D5" t="inlineStr">
        <is>
          <t>1/4 Եզրափակիչ</t>
        </is>
      </c>
      <c r="E5" t="inlineStr">
        <is>
          <t>Dörddə bir Final</t>
        </is>
      </c>
      <c r="F5" t="inlineStr">
        <is>
          <t>1/4 - финали</t>
        </is>
      </c>
      <c r="G5" t="inlineStr">
        <is>
          <t>Quarts de final</t>
        </is>
      </c>
      <c r="H5" t="inlineStr">
        <is>
          <t>8强赛</t>
        </is>
      </c>
      <c r="I5" t="inlineStr">
        <is>
          <t>八強</t>
        </is>
      </c>
      <c r="J5" t="inlineStr">
        <is>
          <t>Četvrtfinale</t>
        </is>
      </c>
      <c r="K5" t="inlineStr">
        <is>
          <t>Čtvrtfinále</t>
        </is>
      </c>
      <c r="L5" t="inlineStr">
        <is>
          <t>Kvartfinale</t>
        </is>
      </c>
      <c r="M5" t="inlineStr">
        <is>
          <t>Kwartfinales</t>
        </is>
      </c>
      <c r="N5" t="inlineStr">
        <is>
          <t>Fjórðingsfinala</t>
        </is>
      </c>
      <c r="O5" t="inlineStr">
        <is>
          <t>Quart de Finale</t>
        </is>
      </c>
      <c r="P5" t="inlineStr">
        <is>
          <t>მეოთხედფინალი</t>
        </is>
      </c>
      <c r="Q5" t="inlineStr">
        <is>
          <t>Viertelfinale</t>
        </is>
      </c>
      <c r="R5" t="inlineStr">
        <is>
          <t>Προημιτελικοί</t>
        </is>
      </c>
      <c r="S5" t="inlineStr">
        <is>
          <t>רבע גמר</t>
        </is>
      </c>
      <c r="T5" t="inlineStr">
        <is>
          <t>Negyeddöntők</t>
        </is>
      </c>
      <c r="U5" t="inlineStr">
        <is>
          <t>Perempat Final</t>
        </is>
      </c>
      <c r="V5" t="inlineStr">
        <is>
          <t>8 liða úrslit</t>
        </is>
      </c>
      <c r="W5" t="inlineStr">
        <is>
          <t>Quarti di finale</t>
        </is>
      </c>
      <c r="X5" t="inlineStr">
        <is>
          <t>8강전</t>
        </is>
      </c>
      <c r="Y5" t="inlineStr">
        <is>
          <t>Ketvirtfinaliai</t>
        </is>
      </c>
      <c r="Z5" t="inlineStr">
        <is>
          <t>1/4 финале</t>
        </is>
      </c>
      <c r="AA5" t="inlineStr">
        <is>
          <t>Kwarti-Finali</t>
        </is>
      </c>
      <c r="AB5" t="inlineStr">
        <is>
          <t>Kvartfinale</t>
        </is>
      </c>
      <c r="AC5" t="inlineStr">
        <is>
          <t>یک چهارم نهائی</t>
        </is>
      </c>
      <c r="AD5" t="inlineStr">
        <is>
          <t>Ćwierćfinały</t>
        </is>
      </c>
      <c r="AE5" t="inlineStr">
        <is>
          <t>Quartos de Final</t>
        </is>
      </c>
      <c r="AF5" t="inlineStr">
        <is>
          <t>Sferturi de finala</t>
        </is>
      </c>
      <c r="AG5" t="inlineStr">
        <is>
          <t>Četvrtfinale</t>
        </is>
      </c>
      <c r="AH5" t="inlineStr">
        <is>
          <t>Štvrťfinále</t>
        </is>
      </c>
      <c r="AI5" t="inlineStr">
        <is>
          <t>Četrtfinale</t>
        </is>
      </c>
      <c r="AJ5" t="inlineStr">
        <is>
          <t>Cuartos de Final</t>
        </is>
      </c>
      <c r="AK5" t="inlineStr">
        <is>
          <t>Kvartsfinal</t>
        </is>
      </c>
      <c r="AL5" t="inlineStr">
        <is>
          <t>รอบก่อนรองชนะเลิศ</t>
        </is>
      </c>
      <c r="AM5" t="inlineStr">
        <is>
          <t>Çeyrek Final</t>
        </is>
      </c>
      <c r="AN5" t="inlineStr">
        <is>
          <t>Tứ kết</t>
        </is>
      </c>
      <c r="AO5" t="inlineStr">
        <is>
          <t>Чвертьфінал</t>
        </is>
      </c>
      <c r="AP5" t="inlineStr">
        <is>
          <t>کواٹر فائنل</t>
        </is>
      </c>
    </row>
    <row r="6">
      <c r="A6" t="inlineStr">
        <is>
          <t>Semi-Finals</t>
        </is>
      </c>
      <c r="B6" t="inlineStr">
        <is>
          <t>Gjysmëfinalja</t>
        </is>
      </c>
      <c r="C6" t="inlineStr">
        <is>
          <t>دور النصف نهائي</t>
        </is>
      </c>
      <c r="D6" t="inlineStr">
        <is>
          <t>Կիսաեզրափակիչ</t>
        </is>
      </c>
      <c r="E6" t="inlineStr">
        <is>
          <t>Yarım Final</t>
        </is>
      </c>
      <c r="F6" t="inlineStr">
        <is>
          <t>1/2 - финали</t>
        </is>
      </c>
      <c r="G6" t="inlineStr">
        <is>
          <t>Semifinals</t>
        </is>
      </c>
      <c r="H6" t="inlineStr">
        <is>
          <t>半决赛</t>
        </is>
      </c>
      <c r="I6" t="inlineStr">
        <is>
          <t>準決賽</t>
        </is>
      </c>
      <c r="J6" t="inlineStr">
        <is>
          <t>Polufinale</t>
        </is>
      </c>
      <c r="K6" t="inlineStr">
        <is>
          <t>Semifinále</t>
        </is>
      </c>
      <c r="L6" t="inlineStr">
        <is>
          <t>Semifinale</t>
        </is>
      </c>
      <c r="M6" t="inlineStr">
        <is>
          <t>Halve finales</t>
        </is>
      </c>
      <c r="N6" t="inlineStr">
        <is>
          <t>Hálvfinala</t>
        </is>
      </c>
      <c r="O6" t="inlineStr">
        <is>
          <t>Demi-Finale</t>
        </is>
      </c>
      <c r="P6" t="inlineStr">
        <is>
          <t>ნახევარფინალი</t>
        </is>
      </c>
      <c r="Q6" t="inlineStr">
        <is>
          <t>Halbfinale</t>
        </is>
      </c>
      <c r="R6" t="inlineStr">
        <is>
          <t>Ημιτελικοί</t>
        </is>
      </c>
      <c r="S6" t="inlineStr">
        <is>
          <t>חצי גמר</t>
        </is>
      </c>
      <c r="T6" t="inlineStr">
        <is>
          <t>Elődöntők</t>
        </is>
      </c>
      <c r="U6" t="inlineStr">
        <is>
          <t>Semi Final</t>
        </is>
      </c>
      <c r="V6" t="inlineStr">
        <is>
          <t>Undanúrslit</t>
        </is>
      </c>
      <c r="W6" t="inlineStr">
        <is>
          <t>Semifinali</t>
        </is>
      </c>
      <c r="X6" t="inlineStr">
        <is>
          <t>준결승전</t>
        </is>
      </c>
      <c r="Y6" t="inlineStr">
        <is>
          <t>Pusfinaliai</t>
        </is>
      </c>
      <c r="Z6" t="inlineStr">
        <is>
          <t>1/2 финале</t>
        </is>
      </c>
      <c r="AA6" t="inlineStr">
        <is>
          <t>Semi-Finali</t>
        </is>
      </c>
      <c r="AB6" t="inlineStr">
        <is>
          <t>Semifinale</t>
        </is>
      </c>
      <c r="AC6" t="inlineStr">
        <is>
          <t>نیمه نهائی</t>
        </is>
      </c>
      <c r="AD6" t="inlineStr">
        <is>
          <t>Półfinały</t>
        </is>
      </c>
      <c r="AE6" t="inlineStr">
        <is>
          <t>Semi-final</t>
        </is>
      </c>
      <c r="AF6" t="inlineStr">
        <is>
          <t>Semifinale</t>
        </is>
      </c>
      <c r="AG6" t="inlineStr">
        <is>
          <t>Polufinale</t>
        </is>
      </c>
      <c r="AH6" t="inlineStr">
        <is>
          <t>Semifinále</t>
        </is>
      </c>
      <c r="AI6" t="inlineStr">
        <is>
          <t>Polfinale</t>
        </is>
      </c>
      <c r="AJ6" t="inlineStr">
        <is>
          <t>Semifinales</t>
        </is>
      </c>
      <c r="AK6" t="inlineStr">
        <is>
          <t>Semifinal</t>
        </is>
      </c>
      <c r="AL6" t="inlineStr">
        <is>
          <t>รอบรองชนะเลิศ</t>
        </is>
      </c>
      <c r="AM6" t="inlineStr">
        <is>
          <t>Yarı Final</t>
        </is>
      </c>
      <c r="AN6" t="inlineStr">
        <is>
          <t>Bán kết</t>
        </is>
      </c>
      <c r="AO6" t="inlineStr">
        <is>
          <t>Півфінал</t>
        </is>
      </c>
      <c r="AP6" t="inlineStr">
        <is>
          <t>سیمی فائنل</t>
        </is>
      </c>
    </row>
    <row r="7">
      <c r="A7" t="inlineStr">
        <is>
          <t>Third-Place Play-Off</t>
        </is>
      </c>
      <c r="B7" t="inlineStr">
        <is>
          <t>Takimi për vendin e tretë</t>
        </is>
      </c>
      <c r="C7" t="inlineStr">
        <is>
          <t>تحديد المركزين الثالث والرابع</t>
        </is>
      </c>
      <c r="D7" t="inlineStr">
        <is>
          <t>3-րդ տեղի համար եզրափակիչ</t>
        </is>
      </c>
      <c r="E7" t="inlineStr">
        <is>
          <t>Üçüncü Yer Uğrunda</t>
        </is>
      </c>
      <c r="F7" t="inlineStr">
        <is>
          <t>Мач за трето място</t>
        </is>
      </c>
      <c r="G7" t="inlineStr">
        <is>
          <t>3r i 4t lloc</t>
        </is>
      </c>
      <c r="H7" t="inlineStr">
        <is>
          <t>季军赛</t>
        </is>
      </c>
      <c r="I7" t="inlineStr">
        <is>
          <t>季軍賽</t>
        </is>
      </c>
      <c r="J7" t="inlineStr">
        <is>
          <t>Za treće mjesto</t>
        </is>
      </c>
      <c r="K7" t="inlineStr">
        <is>
          <t>Zápas o 3.místo</t>
        </is>
      </c>
      <c r="L7" t="inlineStr">
        <is>
          <t>Tredjeplads Kamp</t>
        </is>
      </c>
      <c r="M7" t="inlineStr">
        <is>
          <t>Derde en vierde plaats</t>
        </is>
      </c>
      <c r="N7" t="inlineStr">
        <is>
          <t>Dystur um 3. pláss</t>
        </is>
      </c>
      <c r="O7" t="inlineStr">
        <is>
          <t>Match pour la troisième place</t>
        </is>
      </c>
      <c r="P7" t="inlineStr">
        <is>
          <t>მესამე ადგილი</t>
        </is>
      </c>
      <c r="Q7" t="inlineStr">
        <is>
          <t>Spiel um den dritten Platz</t>
        </is>
      </c>
      <c r="R7" t="inlineStr">
        <is>
          <t>Μικρός Τελικός</t>
        </is>
      </c>
      <c r="S7" t="inlineStr">
        <is>
          <t>מקום 3-4</t>
        </is>
      </c>
      <c r="T7" t="inlineStr">
        <is>
          <t>Bronzmeccs</t>
        </is>
      </c>
      <c r="U7" t="inlineStr">
        <is>
          <t>Perebutan Tempat Ketiga</t>
        </is>
      </c>
      <c r="V7" t="inlineStr">
        <is>
          <t>Leikur um 3.sæti</t>
        </is>
      </c>
      <c r="W7" t="inlineStr">
        <is>
          <t>Finale 3°- 4° posto</t>
        </is>
      </c>
      <c r="X7" t="inlineStr">
        <is>
          <t>3,4위전</t>
        </is>
      </c>
      <c r="Y7" t="inlineStr">
        <is>
          <t>Rungtynės dėl Trečios Vietos</t>
        </is>
      </c>
      <c r="Z7" t="inlineStr">
        <is>
          <t>Натпревар за трето место</t>
        </is>
      </c>
      <c r="AA7" t="inlineStr">
        <is>
          <t>Final għat-Tielet u r-Raba' Post</t>
        </is>
      </c>
      <c r="AB7" t="inlineStr">
        <is>
          <t>Bronsefinale</t>
        </is>
      </c>
      <c r="AC7" t="inlineStr">
        <is>
          <t>رده بندی</t>
        </is>
      </c>
      <c r="AD7" t="inlineStr">
        <is>
          <t>Mecz o trzecie miejsce</t>
        </is>
      </c>
      <c r="AE7" t="inlineStr">
        <is>
          <t>3º/4º lugar</t>
        </is>
      </c>
      <c r="AF7" t="inlineStr">
        <is>
          <t>Finala mica</t>
        </is>
      </c>
      <c r="AG7" t="inlineStr">
        <is>
          <t>Za treće mjesto</t>
        </is>
      </c>
      <c r="AH7" t="inlineStr">
        <is>
          <t xml:space="preserve">Zápas o 3. miesto </t>
        </is>
      </c>
      <c r="AI7" t="inlineStr">
        <is>
          <t>Za tretje mesto</t>
        </is>
      </c>
      <c r="AJ7" t="inlineStr">
        <is>
          <t>Tercer puesto</t>
        </is>
      </c>
      <c r="AK7" t="inlineStr">
        <is>
          <t>Match om tredje pris</t>
        </is>
      </c>
      <c r="AL7" t="inlineStr">
        <is>
          <t>รอบชิงที่ 3</t>
        </is>
      </c>
      <c r="AM7" t="inlineStr">
        <is>
          <t>Üçüncülük Maçı</t>
        </is>
      </c>
      <c r="AN7" t="inlineStr">
        <is>
          <t>Tranh hạng 3</t>
        </is>
      </c>
      <c r="AO7" t="inlineStr">
        <is>
          <t>Матч за третє місце</t>
        </is>
      </c>
      <c r="AP7" t="inlineStr">
        <is>
          <t>تیسرے مقام کے لئے کھیل</t>
        </is>
      </c>
    </row>
    <row r="8">
      <c r="A8" t="inlineStr">
        <is>
          <t>Final</t>
        </is>
      </c>
      <c r="B8" t="inlineStr">
        <is>
          <t>Finalja</t>
        </is>
      </c>
      <c r="C8" t="inlineStr">
        <is>
          <t>المباراة النهائية</t>
        </is>
      </c>
      <c r="D8" t="inlineStr">
        <is>
          <t>Եզրափակիչ</t>
        </is>
      </c>
      <c r="E8" t="inlineStr">
        <is>
          <t>Final</t>
        </is>
      </c>
      <c r="F8" t="inlineStr">
        <is>
          <t>Финал</t>
        </is>
      </c>
      <c r="G8" t="inlineStr">
        <is>
          <t>Final</t>
        </is>
      </c>
      <c r="H8" t="inlineStr">
        <is>
          <t>总决赛</t>
        </is>
      </c>
      <c r="I8" t="inlineStr">
        <is>
          <t>總決賽</t>
        </is>
      </c>
      <c r="J8" t="inlineStr">
        <is>
          <t>Finale</t>
        </is>
      </c>
      <c r="K8" t="inlineStr">
        <is>
          <t>Finále</t>
        </is>
      </c>
      <c r="L8" t="inlineStr">
        <is>
          <t>Finale</t>
        </is>
      </c>
      <c r="M8" t="inlineStr">
        <is>
          <t>Finale</t>
        </is>
      </c>
      <c r="N8" t="inlineStr">
        <is>
          <t>Finala</t>
        </is>
      </c>
      <c r="O8" t="inlineStr">
        <is>
          <t>Finale</t>
        </is>
      </c>
      <c r="P8" t="inlineStr">
        <is>
          <t>ფინალი</t>
        </is>
      </c>
      <c r="Q8" t="inlineStr">
        <is>
          <t>Finale</t>
        </is>
      </c>
      <c r="R8" t="inlineStr">
        <is>
          <t>Τελικός</t>
        </is>
      </c>
      <c r="S8" t="inlineStr">
        <is>
          <t>גמר</t>
        </is>
      </c>
      <c r="T8" t="inlineStr">
        <is>
          <t>Döntő</t>
        </is>
      </c>
      <c r="U8" t="inlineStr">
        <is>
          <t>Final</t>
        </is>
      </c>
      <c r="V8" t="inlineStr">
        <is>
          <t>Úrslit</t>
        </is>
      </c>
      <c r="W8" t="inlineStr">
        <is>
          <t>Finale</t>
        </is>
      </c>
      <c r="X8" t="inlineStr">
        <is>
          <t>결승전</t>
        </is>
      </c>
      <c r="Y8" t="inlineStr">
        <is>
          <t>Finalas</t>
        </is>
      </c>
      <c r="Z8" t="inlineStr">
        <is>
          <t>Финале</t>
        </is>
      </c>
      <c r="AA8" t="inlineStr">
        <is>
          <t>Finali</t>
        </is>
      </c>
      <c r="AB8" t="inlineStr">
        <is>
          <t>Finale</t>
        </is>
      </c>
      <c r="AC8" t="inlineStr">
        <is>
          <t>فینال</t>
        </is>
      </c>
      <c r="AD8" t="inlineStr">
        <is>
          <t>Finał</t>
        </is>
      </c>
      <c r="AE8" t="inlineStr">
        <is>
          <t>Final</t>
        </is>
      </c>
      <c r="AF8" t="inlineStr">
        <is>
          <t>FINALA</t>
        </is>
      </c>
      <c r="AG8" t="inlineStr">
        <is>
          <t>Finale</t>
        </is>
      </c>
      <c r="AH8" t="inlineStr">
        <is>
          <t>Finále</t>
        </is>
      </c>
      <c r="AI8" t="inlineStr">
        <is>
          <t>Finale</t>
        </is>
      </c>
      <c r="AJ8" t="inlineStr">
        <is>
          <t>Final</t>
        </is>
      </c>
      <c r="AK8" t="inlineStr">
        <is>
          <t>Final</t>
        </is>
      </c>
      <c r="AL8" t="inlineStr">
        <is>
          <t>รอบชิงชนะเลิศ</t>
        </is>
      </c>
      <c r="AM8" t="inlineStr">
        <is>
          <t>Final</t>
        </is>
      </c>
      <c r="AN8" t="inlineStr">
        <is>
          <t>Chung Kết</t>
        </is>
      </c>
      <c r="AO8" t="inlineStr">
        <is>
          <t>Фінал</t>
        </is>
      </c>
      <c r="AP8" t="inlineStr">
        <is>
          <t>فائنل</t>
        </is>
      </c>
    </row>
    <row r="9">
      <c r="A9" t="inlineStr">
        <is>
          <t>Group</t>
        </is>
      </c>
      <c r="B9" t="inlineStr">
        <is>
          <t>Grupi</t>
        </is>
      </c>
      <c r="C9" t="inlineStr">
        <is>
          <t>المجموعة</t>
        </is>
      </c>
      <c r="D9" t="inlineStr">
        <is>
          <t>Խումբ</t>
        </is>
      </c>
      <c r="E9" t="inlineStr">
        <is>
          <t>Qrup</t>
        </is>
      </c>
      <c r="F9" t="inlineStr">
        <is>
          <t>Група</t>
        </is>
      </c>
      <c r="G9" t="inlineStr">
        <is>
          <t>Grup</t>
        </is>
      </c>
      <c r="H9" t="inlineStr">
        <is>
          <t>小组</t>
        </is>
      </c>
      <c r="I9" t="inlineStr">
        <is>
          <t>小組</t>
        </is>
      </c>
      <c r="J9" t="inlineStr">
        <is>
          <t>Grupa</t>
        </is>
      </c>
      <c r="K9" t="inlineStr">
        <is>
          <t>Skupina</t>
        </is>
      </c>
      <c r="L9" t="inlineStr">
        <is>
          <t>Gruppe</t>
        </is>
      </c>
      <c r="M9" t="inlineStr">
        <is>
          <t>Groep</t>
        </is>
      </c>
      <c r="N9" t="inlineStr">
        <is>
          <t>Bólkur</t>
        </is>
      </c>
      <c r="O9" t="inlineStr">
        <is>
          <t>Groupe</t>
        </is>
      </c>
      <c r="P9" t="inlineStr">
        <is>
          <t>ჯგუფი</t>
        </is>
      </c>
      <c r="Q9" t="inlineStr">
        <is>
          <t>Gruppe</t>
        </is>
      </c>
      <c r="R9" t="inlineStr">
        <is>
          <t>Όμιλος</t>
        </is>
      </c>
      <c r="S9" t="inlineStr">
        <is>
          <t>בית</t>
        </is>
      </c>
      <c r="T9" t="inlineStr">
        <is>
          <t>Csoport</t>
        </is>
      </c>
      <c r="U9" t="inlineStr">
        <is>
          <t>Kelompok</t>
        </is>
      </c>
      <c r="V9" t="inlineStr">
        <is>
          <t>Riðill</t>
        </is>
      </c>
      <c r="W9" t="inlineStr">
        <is>
          <t>Gruppo</t>
        </is>
      </c>
      <c r="X9" t="inlineStr">
        <is>
          <t>그룹</t>
        </is>
      </c>
      <c r="Y9" t="inlineStr">
        <is>
          <t>Grupė</t>
        </is>
      </c>
      <c r="Z9" t="inlineStr">
        <is>
          <t>Група</t>
        </is>
      </c>
      <c r="AA9" t="inlineStr">
        <is>
          <t>Grupp</t>
        </is>
      </c>
      <c r="AB9" t="inlineStr">
        <is>
          <t>Gruppe</t>
        </is>
      </c>
      <c r="AC9" t="inlineStr">
        <is>
          <t>گروه</t>
        </is>
      </c>
      <c r="AD9" t="inlineStr">
        <is>
          <t>Grupa</t>
        </is>
      </c>
      <c r="AE9" t="inlineStr">
        <is>
          <t>Grupo</t>
        </is>
      </c>
      <c r="AF9" t="inlineStr">
        <is>
          <t>Grupa</t>
        </is>
      </c>
      <c r="AG9" t="inlineStr">
        <is>
          <t>Grupa</t>
        </is>
      </c>
      <c r="AH9" t="inlineStr">
        <is>
          <t>Skupina</t>
        </is>
      </c>
      <c r="AI9" t="inlineStr">
        <is>
          <t>Skupina</t>
        </is>
      </c>
      <c r="AJ9" t="inlineStr">
        <is>
          <t>Grupo</t>
        </is>
      </c>
      <c r="AK9" t="inlineStr">
        <is>
          <t>Grupp</t>
        </is>
      </c>
      <c r="AL9" t="inlineStr">
        <is>
          <t>สาย</t>
        </is>
      </c>
      <c r="AM9" t="inlineStr">
        <is>
          <t>Grup</t>
        </is>
      </c>
      <c r="AN9" t="inlineStr">
        <is>
          <t>Bảng</t>
        </is>
      </c>
      <c r="AO9" t="inlineStr">
        <is>
          <t>Група</t>
        </is>
      </c>
      <c r="AP9" t="inlineStr">
        <is>
          <t>گروپ بندی</t>
        </is>
      </c>
    </row>
    <row r="10">
      <c r="A10" t="inlineStr">
        <is>
          <t>PL</t>
        </is>
      </c>
      <c r="B10" t="inlineStr">
        <is>
          <t>L</t>
        </is>
      </c>
      <c r="C10" t="inlineStr">
        <is>
          <t>لعب</t>
        </is>
      </c>
      <c r="D10" t="inlineStr">
        <is>
          <t>Խ</t>
        </is>
      </c>
      <c r="E10" t="inlineStr">
        <is>
          <t>O</t>
        </is>
      </c>
      <c r="F10" t="inlineStr">
        <is>
          <t>М</t>
        </is>
      </c>
      <c r="G10" t="inlineStr">
        <is>
          <t>J</t>
        </is>
      </c>
      <c r="H10" t="inlineStr">
        <is>
          <t>场次</t>
        </is>
      </c>
      <c r="I10" t="inlineStr">
        <is>
          <t>賽</t>
        </is>
      </c>
      <c r="J10" t="inlineStr">
        <is>
          <t>PL</t>
        </is>
      </c>
      <c r="K10" t="inlineStr">
        <is>
          <t>Z</t>
        </is>
      </c>
      <c r="L10" t="inlineStr">
        <is>
          <t>SP</t>
        </is>
      </c>
      <c r="M10" t="inlineStr">
        <is>
          <t>WG</t>
        </is>
      </c>
      <c r="N10" t="inlineStr">
        <is>
          <t>SP</t>
        </is>
      </c>
      <c r="O10" t="inlineStr">
        <is>
          <t>J</t>
        </is>
      </c>
      <c r="P10" t="inlineStr">
        <is>
          <t>თ</t>
        </is>
      </c>
      <c r="Q10" t="inlineStr">
        <is>
          <t>SP</t>
        </is>
      </c>
      <c r="R10" t="inlineStr">
        <is>
          <t>ΑΓ</t>
        </is>
      </c>
      <c r="S10" t="inlineStr">
        <is>
          <t>משחקים</t>
        </is>
      </c>
      <c r="T10" t="inlineStr">
        <is>
          <t>M</t>
        </is>
      </c>
      <c r="U10" t="inlineStr">
        <is>
          <t>Main</t>
        </is>
      </c>
      <c r="V10" t="inlineStr">
        <is>
          <t>L</t>
        </is>
      </c>
      <c r="W10" t="inlineStr">
        <is>
          <t>G</t>
        </is>
      </c>
      <c r="X10" t="inlineStr">
        <is>
          <t>경기</t>
        </is>
      </c>
      <c r="Y10" t="inlineStr">
        <is>
          <t>Žst</t>
        </is>
      </c>
      <c r="Z10" t="inlineStr">
        <is>
          <t>О</t>
        </is>
      </c>
      <c r="AA10" t="inlineStr">
        <is>
          <t>L</t>
        </is>
      </c>
      <c r="AB10" t="inlineStr">
        <is>
          <t>S</t>
        </is>
      </c>
      <c r="AC10" t="inlineStr">
        <is>
          <t>بازی</t>
        </is>
      </c>
      <c r="AD10" t="inlineStr">
        <is>
          <t>M</t>
        </is>
      </c>
      <c r="AE10" t="inlineStr">
        <is>
          <t>J</t>
        </is>
      </c>
      <c r="AF10" t="inlineStr">
        <is>
          <t>J</t>
        </is>
      </c>
      <c r="AG10" t="inlineStr">
        <is>
          <t>UT</t>
        </is>
      </c>
      <c r="AH10" t="inlineStr">
        <is>
          <t>Z</t>
        </is>
      </c>
      <c r="AI10" t="inlineStr">
        <is>
          <t>PL</t>
        </is>
      </c>
      <c r="AJ10" t="inlineStr">
        <is>
          <t>J</t>
        </is>
      </c>
      <c r="AK10" t="inlineStr">
        <is>
          <t>Sp</t>
        </is>
      </c>
      <c r="AL10" t="inlineStr">
        <is>
          <t>แข่ง</t>
        </is>
      </c>
      <c r="AM10" t="inlineStr">
        <is>
          <t>O</t>
        </is>
      </c>
      <c r="AN10" t="inlineStr">
        <is>
          <t>Trận</t>
        </is>
      </c>
      <c r="AO10" t="inlineStr">
        <is>
          <t>І</t>
        </is>
      </c>
      <c r="AP10" t="inlineStr">
        <is>
          <t>کھیلے گئے مقابلے</t>
        </is>
      </c>
    </row>
    <row r="11">
      <c r="A11" t="inlineStr">
        <is>
          <t>W</t>
        </is>
      </c>
      <c r="B11" t="inlineStr">
        <is>
          <t>F</t>
        </is>
      </c>
      <c r="C11" t="inlineStr">
        <is>
          <t>فاز</t>
        </is>
      </c>
      <c r="D11" t="inlineStr">
        <is>
          <t>Հ</t>
        </is>
      </c>
      <c r="E11" t="inlineStr">
        <is>
          <t>Q</t>
        </is>
      </c>
      <c r="F11" t="inlineStr">
        <is>
          <t>П</t>
        </is>
      </c>
      <c r="G11" t="inlineStr">
        <is>
          <t>G</t>
        </is>
      </c>
      <c r="H11" t="inlineStr">
        <is>
          <t>胜</t>
        </is>
      </c>
      <c r="I11" t="inlineStr">
        <is>
          <t>勝</t>
        </is>
      </c>
      <c r="J11" t="inlineStr">
        <is>
          <t>W</t>
        </is>
      </c>
      <c r="K11" t="inlineStr">
        <is>
          <t>V</t>
        </is>
      </c>
      <c r="L11" t="inlineStr">
        <is>
          <t>V</t>
        </is>
      </c>
      <c r="M11" t="inlineStr">
        <is>
          <t>W</t>
        </is>
      </c>
      <c r="N11" t="inlineStr">
        <is>
          <t>V</t>
        </is>
      </c>
      <c r="O11" t="inlineStr">
        <is>
          <t>V</t>
        </is>
      </c>
      <c r="P11" t="inlineStr">
        <is>
          <t>მოგ</t>
        </is>
      </c>
      <c r="Q11" t="inlineStr">
        <is>
          <t>S</t>
        </is>
      </c>
      <c r="R11" t="inlineStr">
        <is>
          <t>Ν</t>
        </is>
      </c>
      <c r="S11" t="inlineStr">
        <is>
          <t>נצחונות</t>
        </is>
      </c>
      <c r="T11" t="inlineStr">
        <is>
          <t>GY</t>
        </is>
      </c>
      <c r="U11" t="inlineStr">
        <is>
          <t>Menang</t>
        </is>
      </c>
      <c r="V11" t="inlineStr">
        <is>
          <t>U</t>
        </is>
      </c>
      <c r="W11" t="inlineStr">
        <is>
          <t>V</t>
        </is>
      </c>
      <c r="X11" t="inlineStr">
        <is>
          <t>승</t>
        </is>
      </c>
      <c r="Y11" t="inlineStr">
        <is>
          <t>L</t>
        </is>
      </c>
      <c r="Z11" t="inlineStr">
        <is>
          <t>П</t>
        </is>
      </c>
      <c r="AA11" t="inlineStr">
        <is>
          <t>R</t>
        </is>
      </c>
      <c r="AB11" t="inlineStr">
        <is>
          <t>V</t>
        </is>
      </c>
      <c r="AC11" t="inlineStr">
        <is>
          <t>برد</t>
        </is>
      </c>
      <c r="AD11" t="inlineStr">
        <is>
          <t>Z</t>
        </is>
      </c>
      <c r="AE11" t="inlineStr">
        <is>
          <t>V</t>
        </is>
      </c>
      <c r="AF11" t="inlineStr">
        <is>
          <t>V</t>
        </is>
      </c>
      <c r="AG11" t="inlineStr">
        <is>
          <t>P</t>
        </is>
      </c>
      <c r="AH11" t="inlineStr">
        <is>
          <t>V</t>
        </is>
      </c>
      <c r="AI11" t="inlineStr">
        <is>
          <t>W</t>
        </is>
      </c>
      <c r="AJ11" t="inlineStr">
        <is>
          <t>G</t>
        </is>
      </c>
      <c r="AK11" t="inlineStr">
        <is>
          <t>V</t>
        </is>
      </c>
      <c r="AL11" t="inlineStr">
        <is>
          <t>ชนะ</t>
        </is>
      </c>
      <c r="AM11" t="inlineStr">
        <is>
          <t>G</t>
        </is>
      </c>
      <c r="AN11" t="inlineStr">
        <is>
          <t>T</t>
        </is>
      </c>
      <c r="AO11" t="inlineStr">
        <is>
          <t>В</t>
        </is>
      </c>
      <c r="AP11" t="inlineStr">
        <is>
          <t>جیت</t>
        </is>
      </c>
    </row>
    <row r="12">
      <c r="A12" t="inlineStr">
        <is>
          <t>DRAW</t>
        </is>
      </c>
      <c r="B12" t="inlineStr">
        <is>
          <t>BAR</t>
        </is>
      </c>
      <c r="C12" t="inlineStr">
        <is>
          <t>تعادل</t>
        </is>
      </c>
      <c r="D12" t="inlineStr">
        <is>
          <t>Ո</t>
        </is>
      </c>
      <c r="E12" t="inlineStr">
        <is>
          <t>H</t>
        </is>
      </c>
      <c r="F12" t="inlineStr">
        <is>
          <t>Р</t>
        </is>
      </c>
      <c r="G12" t="inlineStr">
        <is>
          <t>E</t>
        </is>
      </c>
      <c r="H12" t="inlineStr">
        <is>
          <t>平</t>
        </is>
      </c>
      <c r="I12" t="inlineStr">
        <is>
          <t>和</t>
        </is>
      </c>
      <c r="J12" t="inlineStr">
        <is>
          <t>DRAW</t>
        </is>
      </c>
      <c r="K12" t="inlineStr">
        <is>
          <t>R</t>
        </is>
      </c>
      <c r="L12" t="inlineStr">
        <is>
          <t>Uafgjort</t>
        </is>
      </c>
      <c r="M12" t="inlineStr">
        <is>
          <t>G</t>
        </is>
      </c>
      <c r="N12" t="inlineStr">
        <is>
          <t>J</t>
        </is>
      </c>
      <c r="O12" t="inlineStr">
        <is>
          <t>DRAW</t>
        </is>
      </c>
      <c r="P12" t="inlineStr">
        <is>
          <t>ფრე</t>
        </is>
      </c>
      <c r="Q12" t="inlineStr">
        <is>
          <t>DRAW</t>
        </is>
      </c>
      <c r="R12" t="inlineStr">
        <is>
          <t>Ι</t>
        </is>
      </c>
      <c r="S12" t="inlineStr">
        <is>
          <t>תיקו</t>
        </is>
      </c>
      <c r="T12" t="inlineStr">
        <is>
          <t>D</t>
        </is>
      </c>
      <c r="U12" t="inlineStr">
        <is>
          <t>Seri</t>
        </is>
      </c>
      <c r="V12" t="inlineStr">
        <is>
          <t>Jafnt</t>
        </is>
      </c>
      <c r="W12" t="inlineStr">
        <is>
          <t>P</t>
        </is>
      </c>
      <c r="X12" t="inlineStr">
        <is>
          <t>무</t>
        </is>
      </c>
      <c r="Y12" t="inlineStr">
        <is>
          <t>Lyg</t>
        </is>
      </c>
      <c r="Z12" t="inlineStr">
        <is>
          <t>Н</t>
        </is>
      </c>
      <c r="AA12" t="inlineStr">
        <is>
          <t>I</t>
        </is>
      </c>
      <c r="AB12" t="inlineStr">
        <is>
          <t>T</t>
        </is>
      </c>
      <c r="AC12" t="inlineStr">
        <is>
          <t>مساوی</t>
        </is>
      </c>
      <c r="AD12" t="inlineStr">
        <is>
          <t>R</t>
        </is>
      </c>
      <c r="AE12" t="inlineStr">
        <is>
          <t>E</t>
        </is>
      </c>
      <c r="AF12" t="inlineStr">
        <is>
          <t>E</t>
        </is>
      </c>
      <c r="AG12" t="inlineStr">
        <is>
          <t>NER.</t>
        </is>
      </c>
      <c r="AH12" t="inlineStr">
        <is>
          <t>R</t>
        </is>
      </c>
      <c r="AI12" t="inlineStr">
        <is>
          <t>DRAW</t>
        </is>
      </c>
      <c r="AJ12" t="inlineStr">
        <is>
          <t>DRAW</t>
        </is>
      </c>
      <c r="AK12" t="inlineStr">
        <is>
          <t>O</t>
        </is>
      </c>
      <c r="AL12" t="inlineStr">
        <is>
          <t>เสมอ</t>
        </is>
      </c>
      <c r="AM12" t="inlineStr">
        <is>
          <t>B</t>
        </is>
      </c>
      <c r="AN12" t="inlineStr">
        <is>
          <t>H</t>
        </is>
      </c>
      <c r="AO12" t="inlineStr">
        <is>
          <t>Н</t>
        </is>
      </c>
      <c r="AP12" t="inlineStr">
        <is>
          <t>برابر</t>
        </is>
      </c>
    </row>
    <row r="13">
      <c r="A13" t="inlineStr">
        <is>
          <t>L</t>
        </is>
      </c>
      <c r="B13" t="inlineStr">
        <is>
          <t>H</t>
        </is>
      </c>
      <c r="C13" t="inlineStr">
        <is>
          <t>خسر</t>
        </is>
      </c>
      <c r="D13" t="inlineStr">
        <is>
          <t>Պ</t>
        </is>
      </c>
      <c r="E13" t="inlineStr">
        <is>
          <t>M</t>
        </is>
      </c>
      <c r="F13" t="inlineStr">
        <is>
          <t>З</t>
        </is>
      </c>
      <c r="G13" t="inlineStr">
        <is>
          <t>P</t>
        </is>
      </c>
      <c r="H13" t="inlineStr">
        <is>
          <t>负</t>
        </is>
      </c>
      <c r="I13" t="inlineStr">
        <is>
          <t>負</t>
        </is>
      </c>
      <c r="J13" t="inlineStr">
        <is>
          <t>L</t>
        </is>
      </c>
      <c r="K13" t="inlineStr">
        <is>
          <t>P</t>
        </is>
      </c>
      <c r="L13" t="inlineStr">
        <is>
          <t>T</t>
        </is>
      </c>
      <c r="M13" t="inlineStr">
        <is>
          <t>V</t>
        </is>
      </c>
      <c r="N13" t="inlineStr">
        <is>
          <t>T</t>
        </is>
      </c>
      <c r="O13" t="inlineStr">
        <is>
          <t>D</t>
        </is>
      </c>
      <c r="P13" t="inlineStr">
        <is>
          <t>წაგ</t>
        </is>
      </c>
      <c r="Q13" t="inlineStr">
        <is>
          <t>N</t>
        </is>
      </c>
      <c r="R13" t="inlineStr">
        <is>
          <t xml:space="preserve">Η </t>
        </is>
      </c>
      <c r="S13" t="inlineStr">
        <is>
          <t>הפסדים</t>
        </is>
      </c>
      <c r="T13" t="inlineStr">
        <is>
          <t>V</t>
        </is>
      </c>
      <c r="U13" t="inlineStr">
        <is>
          <t>Kalah</t>
        </is>
      </c>
      <c r="V13" t="inlineStr">
        <is>
          <t>T</t>
        </is>
      </c>
      <c r="W13" t="inlineStr">
        <is>
          <t>S</t>
        </is>
      </c>
      <c r="X13" t="inlineStr">
        <is>
          <t>패</t>
        </is>
      </c>
      <c r="Y13" t="inlineStr">
        <is>
          <t>P</t>
        </is>
      </c>
      <c r="Z13" t="inlineStr">
        <is>
          <t>И</t>
        </is>
      </c>
      <c r="AA13" t="inlineStr">
        <is>
          <t>T</t>
        </is>
      </c>
      <c r="AB13" t="inlineStr">
        <is>
          <t>U</t>
        </is>
      </c>
      <c r="AC13" t="inlineStr">
        <is>
          <t>باخت</t>
        </is>
      </c>
      <c r="AD13" t="inlineStr">
        <is>
          <t>P</t>
        </is>
      </c>
      <c r="AE13" t="inlineStr">
        <is>
          <t>D</t>
        </is>
      </c>
      <c r="AF13" t="inlineStr">
        <is>
          <t>I</t>
        </is>
      </c>
      <c r="AG13" t="inlineStr">
        <is>
          <t>I</t>
        </is>
      </c>
      <c r="AH13" t="inlineStr">
        <is>
          <t>P</t>
        </is>
      </c>
      <c r="AI13" t="inlineStr">
        <is>
          <t>L</t>
        </is>
      </c>
      <c r="AJ13" t="inlineStr">
        <is>
          <t>P</t>
        </is>
      </c>
      <c r="AK13" t="inlineStr">
        <is>
          <t>F</t>
        </is>
      </c>
      <c r="AL13" t="inlineStr">
        <is>
          <t>แพ้</t>
        </is>
      </c>
      <c r="AM13" t="inlineStr">
        <is>
          <t>M</t>
        </is>
      </c>
      <c r="AN13" t="inlineStr">
        <is>
          <t>B</t>
        </is>
      </c>
      <c r="AO13" t="inlineStr">
        <is>
          <t>П</t>
        </is>
      </c>
      <c r="AP13" t="inlineStr">
        <is>
          <t>ہارے گئے مقابلے</t>
        </is>
      </c>
    </row>
    <row r="14">
      <c r="A14" t="inlineStr">
        <is>
          <t>GF - GA</t>
        </is>
      </c>
      <c r="B14" t="inlineStr">
        <is>
          <t>GSH-GP</t>
        </is>
      </c>
      <c r="C14" t="inlineStr">
        <is>
          <t>عليه - له</t>
        </is>
      </c>
      <c r="D14" t="inlineStr">
        <is>
          <t>ԽԳ-ԲԳ</t>
        </is>
      </c>
      <c r="E14" t="inlineStr">
        <is>
          <t>QV - QB</t>
        </is>
      </c>
      <c r="F14" t="inlineStr">
        <is>
          <t>Гол. Разл.</t>
        </is>
      </c>
      <c r="G14" t="inlineStr">
        <is>
          <t>GF - GC</t>
        </is>
      </c>
      <c r="H14" t="inlineStr">
        <is>
          <t>得失球</t>
        </is>
      </c>
      <c r="I14" t="inlineStr">
        <is>
          <t>得球 - 失球</t>
        </is>
      </c>
      <c r="J14" t="inlineStr">
        <is>
          <t>GF - GA</t>
        </is>
      </c>
      <c r="K14" t="inlineStr">
        <is>
          <t>GV - GI</t>
        </is>
      </c>
      <c r="L14" t="inlineStr">
        <is>
          <t>MF - MI</t>
        </is>
      </c>
      <c r="M14" t="inlineStr">
        <is>
          <t>DV-DT</t>
        </is>
      </c>
      <c r="N14" t="inlineStr">
        <is>
          <t>MF - MI</t>
        </is>
      </c>
      <c r="O14" t="inlineStr">
        <is>
          <t>BP - BC</t>
        </is>
      </c>
      <c r="P14" t="inlineStr">
        <is>
          <t>გგ - მგ</t>
        </is>
      </c>
      <c r="Q14" t="inlineStr">
        <is>
          <t>ET - KT</t>
        </is>
      </c>
      <c r="R14" t="inlineStr">
        <is>
          <t>Υ-Κ</t>
        </is>
      </c>
      <c r="S14" t="inlineStr">
        <is>
          <t>יחס שערים</t>
        </is>
      </c>
      <c r="T14" t="inlineStr">
        <is>
          <t>Gólkül.</t>
        </is>
      </c>
      <c r="U14" t="inlineStr">
        <is>
          <t xml:space="preserve">Skor </t>
        </is>
      </c>
      <c r="V14" t="inlineStr">
        <is>
          <t>S - F</t>
        </is>
      </c>
      <c r="W14" t="inlineStr">
        <is>
          <t>GF - GS</t>
        </is>
      </c>
      <c r="X14" t="inlineStr">
        <is>
          <t>골득실</t>
        </is>
      </c>
      <c r="Y14" t="inlineStr">
        <is>
          <t>Įm - Pr</t>
        </is>
      </c>
      <c r="Z14" t="inlineStr">
        <is>
          <t>Разлика</t>
        </is>
      </c>
      <c r="AA14" t="inlineStr">
        <is>
          <t>GF - GK</t>
        </is>
      </c>
      <c r="AB14" t="inlineStr">
        <is>
          <t>Mål</t>
        </is>
      </c>
      <c r="AC14" t="inlineStr">
        <is>
          <t>خورده-زده</t>
        </is>
      </c>
      <c r="AD14" t="inlineStr">
        <is>
          <t>Z - S</t>
        </is>
      </c>
      <c r="AE14" t="inlineStr">
        <is>
          <t>GM - GS</t>
        </is>
      </c>
      <c r="AF14" t="inlineStr">
        <is>
          <t>GM - GP</t>
        </is>
      </c>
      <c r="AG14" t="inlineStr">
        <is>
          <t>GD - GP</t>
        </is>
      </c>
      <c r="AH14" t="inlineStr">
        <is>
          <t>GS-GI</t>
        </is>
      </c>
      <c r="AI14" t="inlineStr">
        <is>
          <t>GF - GA</t>
        </is>
      </c>
      <c r="AJ14" t="inlineStr">
        <is>
          <t>GF - GC</t>
        </is>
      </c>
      <c r="AK14" t="inlineStr">
        <is>
          <t>GM – IM</t>
        </is>
      </c>
      <c r="AL14" t="inlineStr">
        <is>
          <t>ได้ - เสีย</t>
        </is>
      </c>
      <c r="AM14" t="inlineStr">
        <is>
          <t>A - Y</t>
        </is>
      </c>
      <c r="AN14" t="inlineStr">
        <is>
          <t>Hiệu số</t>
        </is>
      </c>
      <c r="AO14" t="inlineStr">
        <is>
          <t xml:space="preserve">М </t>
        </is>
      </c>
      <c r="AP14" t="inlineStr">
        <is>
          <t>گول کئے- انکے خلاف گول کئے گئے</t>
        </is>
      </c>
    </row>
    <row r="15">
      <c r="A15" t="inlineStr">
        <is>
          <t>PNT</t>
        </is>
      </c>
      <c r="B15" t="inlineStr">
        <is>
          <t>PIK</t>
        </is>
      </c>
      <c r="C15" t="inlineStr">
        <is>
          <t>النقاط</t>
        </is>
      </c>
      <c r="D15" t="inlineStr">
        <is>
          <t>Մ</t>
        </is>
      </c>
      <c r="E15" t="inlineStr">
        <is>
          <t>Xal</t>
        </is>
      </c>
      <c r="F15" t="inlineStr">
        <is>
          <t>Т</t>
        </is>
      </c>
      <c r="G15" t="inlineStr">
        <is>
          <t>Punts</t>
        </is>
      </c>
      <c r="H15" t="inlineStr">
        <is>
          <t>积分</t>
        </is>
      </c>
      <c r="I15" t="inlineStr">
        <is>
          <t>分數</t>
        </is>
      </c>
      <c r="J15" t="inlineStr">
        <is>
          <t>PNT</t>
        </is>
      </c>
      <c r="K15" t="inlineStr">
        <is>
          <t>Body</t>
        </is>
      </c>
      <c r="L15" t="inlineStr">
        <is>
          <t>PNT</t>
        </is>
      </c>
      <c r="M15" t="inlineStr">
        <is>
          <t>PNT</t>
        </is>
      </c>
      <c r="N15" t="inlineStr">
        <is>
          <t>Stig</t>
        </is>
      </c>
      <c r="O15" t="inlineStr">
        <is>
          <t>PTS</t>
        </is>
      </c>
      <c r="P15" t="inlineStr">
        <is>
          <t>ქულა</t>
        </is>
      </c>
      <c r="Q15" t="inlineStr">
        <is>
          <t>PKT</t>
        </is>
      </c>
      <c r="R15" t="inlineStr">
        <is>
          <t>ΒΘ</t>
        </is>
      </c>
      <c r="S15" t="inlineStr">
        <is>
          <t>נקודות</t>
        </is>
      </c>
      <c r="T15" t="inlineStr">
        <is>
          <t>PNT</t>
        </is>
      </c>
      <c r="U15" t="inlineStr">
        <is>
          <t>Nilai</t>
        </is>
      </c>
      <c r="V15" t="inlineStr">
        <is>
          <t>Stig</t>
        </is>
      </c>
      <c r="W15" t="inlineStr">
        <is>
          <t>Punti</t>
        </is>
      </c>
      <c r="X15" t="inlineStr">
        <is>
          <t>승점</t>
        </is>
      </c>
      <c r="Y15" t="inlineStr">
        <is>
          <t>Tšk</t>
        </is>
      </c>
      <c r="Z15" t="inlineStr">
        <is>
          <t>Б</t>
        </is>
      </c>
      <c r="AA15" t="inlineStr">
        <is>
          <t>P</t>
        </is>
      </c>
      <c r="AB15" t="inlineStr">
        <is>
          <t>P</t>
        </is>
      </c>
      <c r="AC15" t="inlineStr">
        <is>
          <t>امتیاز</t>
        </is>
      </c>
      <c r="AD15" t="inlineStr">
        <is>
          <t>Pkt</t>
        </is>
      </c>
      <c r="AE15" t="inlineStr">
        <is>
          <t>P</t>
        </is>
      </c>
      <c r="AF15" t="inlineStr">
        <is>
          <t>P</t>
        </is>
      </c>
      <c r="AG15" t="inlineStr">
        <is>
          <t>BOD</t>
        </is>
      </c>
      <c r="AH15" t="inlineStr">
        <is>
          <t>Body</t>
        </is>
      </c>
      <c r="AI15" t="inlineStr">
        <is>
          <t>PNT</t>
        </is>
      </c>
      <c r="AJ15" t="inlineStr">
        <is>
          <t>PTS</t>
        </is>
      </c>
      <c r="AK15" t="inlineStr">
        <is>
          <t>P</t>
        </is>
      </c>
      <c r="AL15" t="inlineStr">
        <is>
          <t>คะแนน</t>
        </is>
      </c>
      <c r="AM15" t="inlineStr">
        <is>
          <t>P</t>
        </is>
      </c>
      <c r="AN15" t="inlineStr">
        <is>
          <t>Điểm</t>
        </is>
      </c>
      <c r="AO15" t="inlineStr">
        <is>
          <t>О</t>
        </is>
      </c>
      <c r="AP15" t="inlineStr">
        <is>
          <t>نشان</t>
        </is>
      </c>
    </row>
    <row r="18">
      <c r="A18" t="inlineStr">
        <is>
          <t>Sun</t>
        </is>
      </c>
      <c r="B18" t="inlineStr">
        <is>
          <t>Diel</t>
        </is>
      </c>
      <c r="C18" t="inlineStr">
        <is>
          <t>الأحد</t>
        </is>
      </c>
      <c r="D18" t="inlineStr">
        <is>
          <t>Կիր.</t>
        </is>
      </c>
      <c r="E18" t="inlineStr">
        <is>
          <t>B</t>
        </is>
      </c>
      <c r="F18" t="inlineStr">
        <is>
          <t>Нед</t>
        </is>
      </c>
      <c r="G18" t="inlineStr">
        <is>
          <t>Diu</t>
        </is>
      </c>
      <c r="H18" t="inlineStr">
        <is>
          <t>周日</t>
        </is>
      </c>
      <c r="I18" t="inlineStr">
        <is>
          <t>Sun</t>
        </is>
      </c>
      <c r="J18" t="inlineStr">
        <is>
          <t>Ned</t>
        </is>
      </c>
      <c r="K18" t="inlineStr">
        <is>
          <t>Ne</t>
        </is>
      </c>
      <c r="L18" t="inlineStr">
        <is>
          <t>Søn</t>
        </is>
      </c>
      <c r="M18" t="inlineStr">
        <is>
          <t>Zo</t>
        </is>
      </c>
      <c r="N18" t="inlineStr">
        <is>
          <t>Sun</t>
        </is>
      </c>
      <c r="O18" t="inlineStr">
        <is>
          <t>Sun</t>
        </is>
      </c>
      <c r="P18" t="inlineStr">
        <is>
          <t>კვირა</t>
        </is>
      </c>
      <c r="Q18" t="inlineStr">
        <is>
          <t>Sun</t>
        </is>
      </c>
      <c r="R18" t="inlineStr">
        <is>
          <t>Κυρ</t>
        </is>
      </c>
      <c r="S18" t="inlineStr">
        <is>
          <t>ראשון</t>
        </is>
      </c>
      <c r="T18" t="inlineStr">
        <is>
          <t>Vas</t>
        </is>
      </c>
      <c r="U18" t="inlineStr">
        <is>
          <t>Min</t>
        </is>
      </c>
      <c r="V18" t="inlineStr">
        <is>
          <t>Sun</t>
        </is>
      </c>
      <c r="W18" t="inlineStr">
        <is>
          <t>Dom</t>
        </is>
      </c>
      <c r="X18" t="inlineStr">
        <is>
          <t>일</t>
        </is>
      </c>
      <c r="Y18" t="inlineStr">
        <is>
          <t>Sekm</t>
        </is>
      </c>
      <c r="Z18" t="inlineStr">
        <is>
          <t>Нед</t>
        </is>
      </c>
      <c r="AA18" t="inlineStr">
        <is>
          <t>Ħad</t>
        </is>
      </c>
      <c r="AB18" t="inlineStr">
        <is>
          <t>Søn</t>
        </is>
      </c>
      <c r="AC18" t="inlineStr">
        <is>
          <t>یکشنبه</t>
        </is>
      </c>
      <c r="AD18" t="inlineStr">
        <is>
          <t>Nd</t>
        </is>
      </c>
      <c r="AE18" t="inlineStr">
        <is>
          <t>Dom</t>
        </is>
      </c>
      <c r="AF18" t="inlineStr">
        <is>
          <t>Dum</t>
        </is>
      </c>
      <c r="AG18" t="inlineStr">
        <is>
          <t>Ned</t>
        </is>
      </c>
      <c r="AH18" t="inlineStr">
        <is>
          <t>Ne</t>
        </is>
      </c>
      <c r="AI18" t="inlineStr">
        <is>
          <t>Ned</t>
        </is>
      </c>
      <c r="AJ18" t="inlineStr">
        <is>
          <t>Sun</t>
        </is>
      </c>
      <c r="AK18" t="inlineStr">
        <is>
          <t>Sön</t>
        </is>
      </c>
      <c r="AL18" t="inlineStr">
        <is>
          <t>อาทิตย์</t>
        </is>
      </c>
      <c r="AM18" t="inlineStr">
        <is>
          <t>Paz</t>
        </is>
      </c>
      <c r="AN18" t="inlineStr">
        <is>
          <t>CN</t>
        </is>
      </c>
      <c r="AO18" t="inlineStr">
        <is>
          <t>Нд</t>
        </is>
      </c>
      <c r="AP18" t="inlineStr">
        <is>
          <t>اتوار</t>
        </is>
      </c>
    </row>
    <row r="19">
      <c r="A19" t="inlineStr">
        <is>
          <t>Mon</t>
        </is>
      </c>
      <c r="B19" t="inlineStr">
        <is>
          <t>Hënë</t>
        </is>
      </c>
      <c r="C19" t="inlineStr">
        <is>
          <t>الاثنين</t>
        </is>
      </c>
      <c r="D19" t="inlineStr">
        <is>
          <t>Երկ.</t>
        </is>
      </c>
      <c r="E19" t="inlineStr">
        <is>
          <t>BE</t>
        </is>
      </c>
      <c r="F19" t="inlineStr">
        <is>
          <t>Пон</t>
        </is>
      </c>
      <c r="G19" t="inlineStr">
        <is>
          <t>Dil</t>
        </is>
      </c>
      <c r="H19" t="inlineStr">
        <is>
          <t>周一</t>
        </is>
      </c>
      <c r="I19" t="inlineStr">
        <is>
          <t>Mon</t>
        </is>
      </c>
      <c r="J19" t="inlineStr">
        <is>
          <t>Pon</t>
        </is>
      </c>
      <c r="K19" t="inlineStr">
        <is>
          <t>Po</t>
        </is>
      </c>
      <c r="L19" t="inlineStr">
        <is>
          <t>Man</t>
        </is>
      </c>
      <c r="M19" t="inlineStr">
        <is>
          <t>Ma</t>
        </is>
      </c>
      <c r="N19" t="inlineStr">
        <is>
          <t>Mán</t>
        </is>
      </c>
      <c r="O19" t="inlineStr">
        <is>
          <t>Mon</t>
        </is>
      </c>
      <c r="P19" t="inlineStr">
        <is>
          <t>ორშ</t>
        </is>
      </c>
      <c r="Q19" t="inlineStr">
        <is>
          <t>Mon</t>
        </is>
      </c>
      <c r="R19" t="inlineStr">
        <is>
          <t>Δευ</t>
        </is>
      </c>
      <c r="S19" t="inlineStr">
        <is>
          <t>שני</t>
        </is>
      </c>
      <c r="T19" t="inlineStr">
        <is>
          <t>Hét</t>
        </is>
      </c>
      <c r="U19" t="inlineStr">
        <is>
          <t>Sen</t>
        </is>
      </c>
      <c r="V19" t="inlineStr">
        <is>
          <t>Mán</t>
        </is>
      </c>
      <c r="W19" t="inlineStr">
        <is>
          <t>Lun</t>
        </is>
      </c>
      <c r="X19" t="inlineStr">
        <is>
          <t>월</t>
        </is>
      </c>
      <c r="Y19" t="inlineStr">
        <is>
          <t>Pirm</t>
        </is>
      </c>
      <c r="Z19" t="inlineStr">
        <is>
          <t>Пон</t>
        </is>
      </c>
      <c r="AA19" t="inlineStr">
        <is>
          <t>Tne</t>
        </is>
      </c>
      <c r="AB19" t="inlineStr">
        <is>
          <t>Man</t>
        </is>
      </c>
      <c r="AC19" t="inlineStr">
        <is>
          <t>دوشنبه</t>
        </is>
      </c>
      <c r="AD19" t="inlineStr">
        <is>
          <t>Pn</t>
        </is>
      </c>
      <c r="AE19" t="inlineStr">
        <is>
          <t>Seg</t>
        </is>
      </c>
      <c r="AF19" t="inlineStr">
        <is>
          <t>Lun</t>
        </is>
      </c>
      <c r="AG19" t="inlineStr">
        <is>
          <t>Pon</t>
        </is>
      </c>
      <c r="AH19" t="inlineStr">
        <is>
          <t>Po</t>
        </is>
      </c>
      <c r="AI19" t="inlineStr">
        <is>
          <t>Pon</t>
        </is>
      </c>
      <c r="AJ19" t="inlineStr">
        <is>
          <t>Mon</t>
        </is>
      </c>
      <c r="AK19" t="inlineStr">
        <is>
          <t>Mån</t>
        </is>
      </c>
      <c r="AL19" t="inlineStr">
        <is>
          <t>จันทร์</t>
        </is>
      </c>
      <c r="AM19" t="inlineStr">
        <is>
          <t>Pzt</t>
        </is>
      </c>
      <c r="AN19" t="inlineStr">
        <is>
          <t>T2</t>
        </is>
      </c>
      <c r="AO19" t="inlineStr">
        <is>
          <t>Пн</t>
        </is>
      </c>
      <c r="AP19" t="inlineStr">
        <is>
          <t>پیر</t>
        </is>
      </c>
    </row>
    <row r="20">
      <c r="A20" t="inlineStr">
        <is>
          <t>Tue</t>
        </is>
      </c>
      <c r="B20" t="inlineStr">
        <is>
          <t>Mar</t>
        </is>
      </c>
      <c r="C20" t="inlineStr">
        <is>
          <t>الثلاثاء</t>
        </is>
      </c>
      <c r="D20" t="inlineStr">
        <is>
          <t>Երեք.</t>
        </is>
      </c>
      <c r="E20" t="inlineStr">
        <is>
          <t>ÇA</t>
        </is>
      </c>
      <c r="F20" t="inlineStr">
        <is>
          <t>Вт</t>
        </is>
      </c>
      <c r="G20" t="inlineStr">
        <is>
          <t>Dim</t>
        </is>
      </c>
      <c r="H20" t="inlineStr">
        <is>
          <t>周二</t>
        </is>
      </c>
      <c r="I20" t="inlineStr">
        <is>
          <t>Tue</t>
        </is>
      </c>
      <c r="J20" t="inlineStr">
        <is>
          <t>Uto</t>
        </is>
      </c>
      <c r="K20" t="inlineStr">
        <is>
          <t>Út</t>
        </is>
      </c>
      <c r="L20" t="inlineStr">
        <is>
          <t>Tir</t>
        </is>
      </c>
      <c r="M20" t="inlineStr">
        <is>
          <t>Di</t>
        </is>
      </c>
      <c r="N20" t="inlineStr">
        <is>
          <t>Týs</t>
        </is>
      </c>
      <c r="O20" t="inlineStr">
        <is>
          <t>Tue</t>
        </is>
      </c>
      <c r="P20" t="inlineStr">
        <is>
          <t>სამშ</t>
        </is>
      </c>
      <c r="Q20" t="inlineStr">
        <is>
          <t>Tue</t>
        </is>
      </c>
      <c r="R20" t="inlineStr">
        <is>
          <t>Τρι</t>
        </is>
      </c>
      <c r="S20" t="inlineStr">
        <is>
          <t>שלישי</t>
        </is>
      </c>
      <c r="T20" t="inlineStr">
        <is>
          <t>Ke</t>
        </is>
      </c>
      <c r="U20" t="inlineStr">
        <is>
          <t>Sel</t>
        </is>
      </c>
      <c r="V20" t="inlineStr">
        <is>
          <t>Þri</t>
        </is>
      </c>
      <c r="W20" t="inlineStr">
        <is>
          <t>Mar</t>
        </is>
      </c>
      <c r="X20" t="inlineStr">
        <is>
          <t>화</t>
        </is>
      </c>
      <c r="Y20" t="inlineStr">
        <is>
          <t>Antr</t>
        </is>
      </c>
      <c r="Z20" t="inlineStr">
        <is>
          <t>Вто</t>
        </is>
      </c>
      <c r="AA20" t="inlineStr">
        <is>
          <t>Tli</t>
        </is>
      </c>
      <c r="AB20" t="inlineStr">
        <is>
          <t>Tirs</t>
        </is>
      </c>
      <c r="AC20" t="inlineStr">
        <is>
          <t>سه شنبه</t>
        </is>
      </c>
      <c r="AD20" t="inlineStr">
        <is>
          <t>Wt</t>
        </is>
      </c>
      <c r="AE20" t="inlineStr">
        <is>
          <t>Ter</t>
        </is>
      </c>
      <c r="AF20" t="inlineStr">
        <is>
          <t>Mar</t>
        </is>
      </c>
      <c r="AG20" t="inlineStr">
        <is>
          <t>Uto</t>
        </is>
      </c>
      <c r="AH20" t="inlineStr">
        <is>
          <t>Ut</t>
        </is>
      </c>
      <c r="AI20" t="inlineStr">
        <is>
          <t>Tor</t>
        </is>
      </c>
      <c r="AJ20" t="inlineStr">
        <is>
          <t>Tue</t>
        </is>
      </c>
      <c r="AK20" t="inlineStr">
        <is>
          <t>Tis</t>
        </is>
      </c>
      <c r="AL20" t="inlineStr">
        <is>
          <t>อังคาร</t>
        </is>
      </c>
      <c r="AM20" t="inlineStr">
        <is>
          <t>Sal</t>
        </is>
      </c>
      <c r="AN20" t="inlineStr">
        <is>
          <t>T3</t>
        </is>
      </c>
      <c r="AO20" t="inlineStr">
        <is>
          <t>Вт</t>
        </is>
      </c>
      <c r="AP20" t="inlineStr">
        <is>
          <t>منگل</t>
        </is>
      </c>
    </row>
    <row r="21">
      <c r="A21" t="inlineStr">
        <is>
          <t>Wed</t>
        </is>
      </c>
      <c r="B21" t="inlineStr">
        <is>
          <t>Mër</t>
        </is>
      </c>
      <c r="C21" t="inlineStr">
        <is>
          <t>الأربعاء</t>
        </is>
      </c>
      <c r="D21" t="inlineStr">
        <is>
          <t>Չոր.</t>
        </is>
      </c>
      <c r="E21" t="inlineStr">
        <is>
          <t>Ç</t>
        </is>
      </c>
      <c r="F21" t="inlineStr">
        <is>
          <t>Сря</t>
        </is>
      </c>
      <c r="G21" t="inlineStr">
        <is>
          <t>Dix</t>
        </is>
      </c>
      <c r="H21" t="inlineStr">
        <is>
          <t>周三</t>
        </is>
      </c>
      <c r="I21" t="inlineStr">
        <is>
          <t>Wed</t>
        </is>
      </c>
      <c r="J21" t="inlineStr">
        <is>
          <t>Sri</t>
        </is>
      </c>
      <c r="K21" t="inlineStr">
        <is>
          <t>St</t>
        </is>
      </c>
      <c r="L21" t="inlineStr">
        <is>
          <t>Ons</t>
        </is>
      </c>
      <c r="M21" t="inlineStr">
        <is>
          <t>Wo</t>
        </is>
      </c>
      <c r="N21" t="inlineStr">
        <is>
          <t>Mik</t>
        </is>
      </c>
      <c r="O21" t="inlineStr">
        <is>
          <t>Wed</t>
        </is>
      </c>
      <c r="P21" t="inlineStr">
        <is>
          <t>ოთხშ</t>
        </is>
      </c>
      <c r="Q21" t="inlineStr">
        <is>
          <t>Wed</t>
        </is>
      </c>
      <c r="R21" t="inlineStr">
        <is>
          <t>Τετ</t>
        </is>
      </c>
      <c r="S21" t="inlineStr">
        <is>
          <t>רביעי</t>
        </is>
      </c>
      <c r="T21" t="inlineStr">
        <is>
          <t>Sze</t>
        </is>
      </c>
      <c r="U21" t="inlineStr">
        <is>
          <t>Rab</t>
        </is>
      </c>
      <c r="V21" t="inlineStr">
        <is>
          <t>Mið</t>
        </is>
      </c>
      <c r="W21" t="inlineStr">
        <is>
          <t>Mer</t>
        </is>
      </c>
      <c r="X21" t="inlineStr">
        <is>
          <t>수</t>
        </is>
      </c>
      <c r="Y21" t="inlineStr">
        <is>
          <t>Treč</t>
        </is>
      </c>
      <c r="Z21" t="inlineStr">
        <is>
          <t>Сре</t>
        </is>
      </c>
      <c r="AA21" t="inlineStr">
        <is>
          <t>Erb</t>
        </is>
      </c>
      <c r="AB21" t="inlineStr">
        <is>
          <t>Ons</t>
        </is>
      </c>
      <c r="AC21" t="inlineStr">
        <is>
          <t>چهارشنبه</t>
        </is>
      </c>
      <c r="AD21" t="inlineStr">
        <is>
          <t>Śr</t>
        </is>
      </c>
      <c r="AE21" t="inlineStr">
        <is>
          <t>Qua</t>
        </is>
      </c>
      <c r="AF21" t="inlineStr">
        <is>
          <t>Mie</t>
        </is>
      </c>
      <c r="AG21" t="inlineStr">
        <is>
          <t>Sre</t>
        </is>
      </c>
      <c r="AH21" t="inlineStr">
        <is>
          <t>St</t>
        </is>
      </c>
      <c r="AI21" t="inlineStr">
        <is>
          <t>Sre</t>
        </is>
      </c>
      <c r="AJ21" t="inlineStr">
        <is>
          <t>Wed</t>
        </is>
      </c>
      <c r="AK21" t="inlineStr">
        <is>
          <t>Ons</t>
        </is>
      </c>
      <c r="AL21" t="inlineStr">
        <is>
          <t>พุธ</t>
        </is>
      </c>
      <c r="AM21" t="inlineStr">
        <is>
          <t>Çar</t>
        </is>
      </c>
      <c r="AN21" t="inlineStr">
        <is>
          <t>T4</t>
        </is>
      </c>
      <c r="AO21" t="inlineStr">
        <is>
          <t>Ср</t>
        </is>
      </c>
      <c r="AP21" t="inlineStr">
        <is>
          <t>بدھ</t>
        </is>
      </c>
    </row>
    <row r="22">
      <c r="A22" t="inlineStr">
        <is>
          <t>Thu</t>
        </is>
      </c>
      <c r="B22" t="inlineStr">
        <is>
          <t>Enjt</t>
        </is>
      </c>
      <c r="C22" t="inlineStr">
        <is>
          <t>الخميس</t>
        </is>
      </c>
      <c r="D22" t="inlineStr">
        <is>
          <t>Հինգ.</t>
        </is>
      </c>
      <c r="E22" t="inlineStr">
        <is>
          <t>CA</t>
        </is>
      </c>
      <c r="F22" t="inlineStr">
        <is>
          <t>Четв</t>
        </is>
      </c>
      <c r="G22" t="inlineStr">
        <is>
          <t>Dij</t>
        </is>
      </c>
      <c r="H22" t="inlineStr">
        <is>
          <t>周四</t>
        </is>
      </c>
      <c r="I22" t="inlineStr">
        <is>
          <t>Thu</t>
        </is>
      </c>
      <c r="J22" t="inlineStr">
        <is>
          <t>Čet</t>
        </is>
      </c>
      <c r="K22" t="inlineStr">
        <is>
          <t>Čt</t>
        </is>
      </c>
      <c r="L22" t="inlineStr">
        <is>
          <t>Tor</t>
        </is>
      </c>
      <c r="M22" t="inlineStr">
        <is>
          <t>Do</t>
        </is>
      </c>
      <c r="N22" t="inlineStr">
        <is>
          <t>Hós</t>
        </is>
      </c>
      <c r="O22" t="inlineStr">
        <is>
          <t>Thu</t>
        </is>
      </c>
      <c r="P22" t="inlineStr">
        <is>
          <t>ხუთშ</t>
        </is>
      </c>
      <c r="Q22" t="inlineStr">
        <is>
          <t>Thu</t>
        </is>
      </c>
      <c r="R22" t="inlineStr">
        <is>
          <t>Πεμ</t>
        </is>
      </c>
      <c r="S22" t="inlineStr">
        <is>
          <t>חמישי</t>
        </is>
      </c>
      <c r="T22" t="inlineStr">
        <is>
          <t>Csü</t>
        </is>
      </c>
      <c r="U22" t="inlineStr">
        <is>
          <t>Kam</t>
        </is>
      </c>
      <c r="V22" t="inlineStr">
        <is>
          <t>Fim</t>
        </is>
      </c>
      <c r="W22" t="inlineStr">
        <is>
          <t>Gio</t>
        </is>
      </c>
      <c r="X22" t="inlineStr">
        <is>
          <t>목</t>
        </is>
      </c>
      <c r="Y22" t="inlineStr">
        <is>
          <t>Ketv</t>
        </is>
      </c>
      <c r="Z22" t="inlineStr">
        <is>
          <t>Чет</t>
        </is>
      </c>
      <c r="AA22" t="inlineStr">
        <is>
          <t>Ħam</t>
        </is>
      </c>
      <c r="AB22" t="inlineStr">
        <is>
          <t>Tors</t>
        </is>
      </c>
      <c r="AC22" t="inlineStr">
        <is>
          <t>پنجشنبه</t>
        </is>
      </c>
      <c r="AD22" t="inlineStr">
        <is>
          <t>Cz</t>
        </is>
      </c>
      <c r="AE22" t="inlineStr">
        <is>
          <t>Qui</t>
        </is>
      </c>
      <c r="AF22" t="inlineStr">
        <is>
          <t>Joi</t>
        </is>
      </c>
      <c r="AG22" t="inlineStr">
        <is>
          <t>Čet</t>
        </is>
      </c>
      <c r="AH22" t="inlineStr">
        <is>
          <t>Št</t>
        </is>
      </c>
      <c r="AI22" t="inlineStr">
        <is>
          <t>Čet</t>
        </is>
      </c>
      <c r="AJ22" t="inlineStr">
        <is>
          <t>Thu</t>
        </is>
      </c>
      <c r="AK22" t="inlineStr">
        <is>
          <t>Tor</t>
        </is>
      </c>
      <c r="AL22" t="inlineStr">
        <is>
          <t>พฤหัส</t>
        </is>
      </c>
      <c r="AM22" t="inlineStr">
        <is>
          <t>Per</t>
        </is>
      </c>
      <c r="AN22" t="inlineStr">
        <is>
          <t>T5</t>
        </is>
      </c>
      <c r="AO22" t="inlineStr">
        <is>
          <t>Чт</t>
        </is>
      </c>
      <c r="AP22" t="inlineStr">
        <is>
          <t>جمعرات</t>
        </is>
      </c>
    </row>
    <row r="23">
      <c r="A23" t="inlineStr">
        <is>
          <t>Fri</t>
        </is>
      </c>
      <c r="B23" t="inlineStr">
        <is>
          <t>Pre</t>
        </is>
      </c>
      <c r="C23" t="inlineStr">
        <is>
          <t>الجمعة</t>
        </is>
      </c>
      <c r="D23" t="inlineStr">
        <is>
          <t>Ուրբ.</t>
        </is>
      </c>
      <c r="E23" t="inlineStr">
        <is>
          <t>C</t>
        </is>
      </c>
      <c r="F23" t="inlineStr">
        <is>
          <t>Пет</t>
        </is>
      </c>
      <c r="G23" t="inlineStr">
        <is>
          <t>Div</t>
        </is>
      </c>
      <c r="H23" t="inlineStr">
        <is>
          <t>周五</t>
        </is>
      </c>
      <c r="I23" t="inlineStr">
        <is>
          <t>Fri</t>
        </is>
      </c>
      <c r="J23" t="inlineStr">
        <is>
          <t>Pet</t>
        </is>
      </c>
      <c r="K23" t="inlineStr">
        <is>
          <t>Pá</t>
        </is>
      </c>
      <c r="L23" t="inlineStr">
        <is>
          <t>Fre</t>
        </is>
      </c>
      <c r="M23" t="inlineStr">
        <is>
          <t>Vr</t>
        </is>
      </c>
      <c r="N23" t="inlineStr">
        <is>
          <t>Frí</t>
        </is>
      </c>
      <c r="O23" t="inlineStr">
        <is>
          <t>Fri</t>
        </is>
      </c>
      <c r="P23" t="inlineStr">
        <is>
          <t>პარ</t>
        </is>
      </c>
      <c r="Q23" t="inlineStr">
        <is>
          <t>Fri</t>
        </is>
      </c>
      <c r="R23" t="inlineStr">
        <is>
          <t>Παρ</t>
        </is>
      </c>
      <c r="S23" t="inlineStr">
        <is>
          <t>שישי</t>
        </is>
      </c>
      <c r="T23" t="inlineStr">
        <is>
          <t>Pé</t>
        </is>
      </c>
      <c r="U23" t="inlineStr">
        <is>
          <t>Jum</t>
        </is>
      </c>
      <c r="V23" t="inlineStr">
        <is>
          <t>Fös</t>
        </is>
      </c>
      <c r="W23" t="inlineStr">
        <is>
          <t>Ven</t>
        </is>
      </c>
      <c r="X23" t="inlineStr">
        <is>
          <t>금</t>
        </is>
      </c>
      <c r="Y23" t="inlineStr">
        <is>
          <t>Penk</t>
        </is>
      </c>
      <c r="Z23" t="inlineStr">
        <is>
          <t>Пет</t>
        </is>
      </c>
      <c r="AA23" t="inlineStr">
        <is>
          <t>Ġim</t>
        </is>
      </c>
      <c r="AB23" t="inlineStr">
        <is>
          <t>Fre</t>
        </is>
      </c>
      <c r="AC23" t="inlineStr">
        <is>
          <t>جمعه</t>
        </is>
      </c>
      <c r="AD23" t="inlineStr">
        <is>
          <t>Pt</t>
        </is>
      </c>
      <c r="AE23" t="inlineStr">
        <is>
          <t>Sex</t>
        </is>
      </c>
      <c r="AF23" t="inlineStr">
        <is>
          <t>Vin</t>
        </is>
      </c>
      <c r="AG23" t="inlineStr">
        <is>
          <t>Pet</t>
        </is>
      </c>
      <c r="AH23" t="inlineStr">
        <is>
          <t>Pi</t>
        </is>
      </c>
      <c r="AI23" t="inlineStr">
        <is>
          <t>Pet</t>
        </is>
      </c>
      <c r="AJ23" t="inlineStr">
        <is>
          <t>Fri</t>
        </is>
      </c>
      <c r="AK23" t="inlineStr">
        <is>
          <t>Fre</t>
        </is>
      </c>
      <c r="AL23" t="inlineStr">
        <is>
          <t>ศุกร์</t>
        </is>
      </c>
      <c r="AM23" t="inlineStr">
        <is>
          <t>Cum</t>
        </is>
      </c>
      <c r="AN23" t="inlineStr">
        <is>
          <t>T6</t>
        </is>
      </c>
      <c r="AO23" t="inlineStr">
        <is>
          <t>Пт</t>
        </is>
      </c>
      <c r="AP23" t="inlineStr">
        <is>
          <t>جمعہ</t>
        </is>
      </c>
    </row>
    <row r="24">
      <c r="A24" t="inlineStr">
        <is>
          <t>Sat</t>
        </is>
      </c>
      <c r="B24" t="inlineStr">
        <is>
          <t>Sht</t>
        </is>
      </c>
      <c r="C24" t="inlineStr">
        <is>
          <t>السبت</t>
        </is>
      </c>
      <c r="D24" t="inlineStr">
        <is>
          <t>Շաբ.</t>
        </is>
      </c>
      <c r="E24" t="inlineStr">
        <is>
          <t>Ş</t>
        </is>
      </c>
      <c r="F24" t="inlineStr">
        <is>
          <t>Съб</t>
        </is>
      </c>
      <c r="G24" t="inlineStr">
        <is>
          <t>Dis</t>
        </is>
      </c>
      <c r="H24" t="inlineStr">
        <is>
          <t>周六</t>
        </is>
      </c>
      <c r="I24" t="inlineStr">
        <is>
          <t>Sat</t>
        </is>
      </c>
      <c r="J24" t="inlineStr">
        <is>
          <t>Sub</t>
        </is>
      </c>
      <c r="K24" t="inlineStr">
        <is>
          <t>So</t>
        </is>
      </c>
      <c r="L24" t="inlineStr">
        <is>
          <t>Lør</t>
        </is>
      </c>
      <c r="M24" t="inlineStr">
        <is>
          <t>Za</t>
        </is>
      </c>
      <c r="N24" t="inlineStr">
        <is>
          <t>Ley</t>
        </is>
      </c>
      <c r="O24" t="inlineStr">
        <is>
          <t>Sat</t>
        </is>
      </c>
      <c r="P24" t="inlineStr">
        <is>
          <t>შაბ</t>
        </is>
      </c>
      <c r="Q24" t="inlineStr">
        <is>
          <t>Sat</t>
        </is>
      </c>
      <c r="R24" t="inlineStr">
        <is>
          <t>Σαβ</t>
        </is>
      </c>
      <c r="S24" t="inlineStr">
        <is>
          <t>שבת</t>
        </is>
      </c>
      <c r="T24" t="inlineStr">
        <is>
          <t>Szo</t>
        </is>
      </c>
      <c r="U24" t="inlineStr">
        <is>
          <t>Sab</t>
        </is>
      </c>
      <c r="V24" t="inlineStr">
        <is>
          <t>Lau</t>
        </is>
      </c>
      <c r="W24" t="inlineStr">
        <is>
          <t>Sab</t>
        </is>
      </c>
      <c r="X24" t="inlineStr">
        <is>
          <t>토</t>
        </is>
      </c>
      <c r="Y24" t="inlineStr">
        <is>
          <t>Šešt</t>
        </is>
      </c>
      <c r="Z24" t="inlineStr">
        <is>
          <t>Саб</t>
        </is>
      </c>
      <c r="AA24" t="inlineStr">
        <is>
          <t>Sib</t>
        </is>
      </c>
      <c r="AB24" t="inlineStr">
        <is>
          <t>Lør</t>
        </is>
      </c>
      <c r="AC24" t="inlineStr">
        <is>
          <t>شنبه</t>
        </is>
      </c>
      <c r="AD24" t="inlineStr">
        <is>
          <t>So</t>
        </is>
      </c>
      <c r="AE24" t="inlineStr">
        <is>
          <t>Sab</t>
        </is>
      </c>
      <c r="AF24" t="inlineStr">
        <is>
          <t>Sam</t>
        </is>
      </c>
      <c r="AG24" t="inlineStr">
        <is>
          <t>Sub</t>
        </is>
      </c>
      <c r="AH24" t="inlineStr">
        <is>
          <t>So</t>
        </is>
      </c>
      <c r="AI24" t="inlineStr">
        <is>
          <t>Sob</t>
        </is>
      </c>
      <c r="AJ24" t="inlineStr">
        <is>
          <t>Sat</t>
        </is>
      </c>
      <c r="AK24" t="inlineStr">
        <is>
          <t>Lör</t>
        </is>
      </c>
      <c r="AL24" t="inlineStr">
        <is>
          <t>เสาร์</t>
        </is>
      </c>
      <c r="AM24" t="inlineStr">
        <is>
          <t>Cmt</t>
        </is>
      </c>
      <c r="AN24" t="inlineStr">
        <is>
          <t>T7</t>
        </is>
      </c>
      <c r="AO24" t="inlineStr">
        <is>
          <t>Сб</t>
        </is>
      </c>
      <c r="AP24" t="inlineStr">
        <is>
          <t>سنیچر</t>
        </is>
      </c>
    </row>
    <row r="25">
      <c r="A25" t="inlineStr">
        <is>
          <t>Jan</t>
        </is>
      </c>
      <c r="B25" t="inlineStr">
        <is>
          <t>Jan</t>
        </is>
      </c>
      <c r="C25" t="inlineStr">
        <is>
          <t>كانون ثاني</t>
        </is>
      </c>
      <c r="D25" t="inlineStr">
        <is>
          <t>Հունվ.</t>
        </is>
      </c>
      <c r="E25" t="inlineStr">
        <is>
          <t>Yan</t>
        </is>
      </c>
      <c r="F25" t="inlineStr">
        <is>
          <t>Януари</t>
        </is>
      </c>
      <c r="G25" t="inlineStr">
        <is>
          <t>Gen</t>
        </is>
      </c>
      <c r="H25" t="inlineStr">
        <is>
          <t>一月</t>
        </is>
      </c>
      <c r="I25" t="inlineStr">
        <is>
          <t>Jan</t>
        </is>
      </c>
      <c r="J25" t="inlineStr">
        <is>
          <t>Sij</t>
        </is>
      </c>
      <c r="K25" t="inlineStr">
        <is>
          <t>Jan</t>
        </is>
      </c>
      <c r="L25" t="inlineStr">
        <is>
          <t>Jan</t>
        </is>
      </c>
      <c r="M25" t="inlineStr">
        <is>
          <t>Jan</t>
        </is>
      </c>
      <c r="N25" t="inlineStr">
        <is>
          <t>Jan</t>
        </is>
      </c>
      <c r="O25" t="inlineStr">
        <is>
          <t>Janv</t>
        </is>
      </c>
      <c r="P25" t="inlineStr">
        <is>
          <t>იან</t>
        </is>
      </c>
      <c r="Q25" t="inlineStr">
        <is>
          <t>Jan</t>
        </is>
      </c>
      <c r="R25" t="inlineStr">
        <is>
          <t>Ιαν</t>
        </is>
      </c>
      <c r="S25" t="inlineStr">
        <is>
          <t>ינואר</t>
        </is>
      </c>
      <c r="T25" t="inlineStr">
        <is>
          <t>Jan</t>
        </is>
      </c>
      <c r="U25" t="inlineStr">
        <is>
          <t>Jan</t>
        </is>
      </c>
      <c r="V25" t="inlineStr">
        <is>
          <t>Jan</t>
        </is>
      </c>
      <c r="W25" t="inlineStr">
        <is>
          <t>Gen</t>
        </is>
      </c>
      <c r="X25" t="inlineStr">
        <is>
          <t>1월</t>
        </is>
      </c>
      <c r="Y25" t="inlineStr">
        <is>
          <t>Saus</t>
        </is>
      </c>
      <c r="Z25" t="inlineStr">
        <is>
          <t>Јан</t>
        </is>
      </c>
      <c r="AA25" t="inlineStr">
        <is>
          <t>Jan</t>
        </is>
      </c>
      <c r="AB25" t="inlineStr">
        <is>
          <t>Jan</t>
        </is>
      </c>
      <c r="AC25" t="inlineStr">
        <is>
          <t>زانویه</t>
        </is>
      </c>
      <c r="AD25" t="inlineStr">
        <is>
          <t>Sty</t>
        </is>
      </c>
      <c r="AE25" t="inlineStr">
        <is>
          <t>Jan</t>
        </is>
      </c>
      <c r="AF25" t="inlineStr">
        <is>
          <t>Ian</t>
        </is>
      </c>
      <c r="AG25" t="inlineStr">
        <is>
          <t>Jan</t>
        </is>
      </c>
      <c r="AH25" t="inlineStr">
        <is>
          <t>Jan</t>
        </is>
      </c>
      <c r="AI25" t="inlineStr">
        <is>
          <t>Jan</t>
        </is>
      </c>
      <c r="AJ25" t="inlineStr">
        <is>
          <t>Ene</t>
        </is>
      </c>
      <c r="AK25" t="inlineStr">
        <is>
          <t>jan</t>
        </is>
      </c>
      <c r="AL25" t="inlineStr">
        <is>
          <t>มกราคม</t>
        </is>
      </c>
      <c r="AM25" t="inlineStr">
        <is>
          <t>Oca</t>
        </is>
      </c>
      <c r="AN25" t="inlineStr">
        <is>
          <t>Tháng 1</t>
        </is>
      </c>
      <c r="AO25" t="inlineStr">
        <is>
          <t>Січ</t>
        </is>
      </c>
      <c r="AP25" t="inlineStr">
        <is>
          <t>جنوری</t>
        </is>
      </c>
    </row>
    <row r="26">
      <c r="A26" t="inlineStr">
        <is>
          <t>Feb</t>
        </is>
      </c>
      <c r="B26" t="inlineStr">
        <is>
          <t>Shk</t>
        </is>
      </c>
      <c r="C26" t="inlineStr">
        <is>
          <t>شباط</t>
        </is>
      </c>
      <c r="D26" t="inlineStr">
        <is>
          <t>Փետր.</t>
        </is>
      </c>
      <c r="E26" t="inlineStr">
        <is>
          <t>Fev</t>
        </is>
      </c>
      <c r="F26" t="inlineStr">
        <is>
          <t>Февруари</t>
        </is>
      </c>
      <c r="G26" t="inlineStr">
        <is>
          <t>Feb</t>
        </is>
      </c>
      <c r="H26" t="inlineStr">
        <is>
          <t>二月</t>
        </is>
      </c>
      <c r="I26" t="inlineStr">
        <is>
          <t>Feb</t>
        </is>
      </c>
      <c r="J26" t="inlineStr">
        <is>
          <t>Vel</t>
        </is>
      </c>
      <c r="K26" t="inlineStr">
        <is>
          <t>Feb</t>
        </is>
      </c>
      <c r="L26" t="inlineStr">
        <is>
          <t>Feb</t>
        </is>
      </c>
      <c r="M26" t="inlineStr">
        <is>
          <t>Feb</t>
        </is>
      </c>
      <c r="N26" t="inlineStr">
        <is>
          <t>Feb</t>
        </is>
      </c>
      <c r="O26" t="inlineStr">
        <is>
          <t>Févr</t>
        </is>
      </c>
      <c r="P26" t="inlineStr">
        <is>
          <t>თებ</t>
        </is>
      </c>
      <c r="Q26" t="inlineStr">
        <is>
          <t>Feb</t>
        </is>
      </c>
      <c r="R26" t="inlineStr">
        <is>
          <t>Φεβ</t>
        </is>
      </c>
      <c r="S26" t="inlineStr">
        <is>
          <t>פברואר</t>
        </is>
      </c>
      <c r="T26" t="inlineStr">
        <is>
          <t>Feb</t>
        </is>
      </c>
      <c r="U26" t="inlineStr">
        <is>
          <t>Peb</t>
        </is>
      </c>
      <c r="V26" t="inlineStr">
        <is>
          <t>Feb</t>
        </is>
      </c>
      <c r="W26" t="inlineStr">
        <is>
          <t>Feb</t>
        </is>
      </c>
      <c r="X26" t="inlineStr">
        <is>
          <t>2월</t>
        </is>
      </c>
      <c r="Y26" t="inlineStr">
        <is>
          <t>Vas</t>
        </is>
      </c>
      <c r="Z26" t="inlineStr">
        <is>
          <t>Фев</t>
        </is>
      </c>
      <c r="AA26" t="inlineStr">
        <is>
          <t>Fra</t>
        </is>
      </c>
      <c r="AB26" t="inlineStr">
        <is>
          <t>Feb</t>
        </is>
      </c>
      <c r="AC26" t="inlineStr">
        <is>
          <t>فوریه</t>
        </is>
      </c>
      <c r="AD26" t="inlineStr">
        <is>
          <t>Lut</t>
        </is>
      </c>
      <c r="AE26" t="inlineStr">
        <is>
          <t>Fev</t>
        </is>
      </c>
      <c r="AF26" t="inlineStr">
        <is>
          <t>Feb</t>
        </is>
      </c>
      <c r="AG26" t="inlineStr">
        <is>
          <t>Feb</t>
        </is>
      </c>
      <c r="AH26" t="inlineStr">
        <is>
          <t>Feb</t>
        </is>
      </c>
      <c r="AI26" t="inlineStr">
        <is>
          <t>Feb</t>
        </is>
      </c>
      <c r="AJ26" t="inlineStr">
        <is>
          <t>Feb</t>
        </is>
      </c>
      <c r="AK26" t="inlineStr">
        <is>
          <t>Feb</t>
        </is>
      </c>
      <c r="AL26" t="inlineStr">
        <is>
          <t>กุมภาพันธ์</t>
        </is>
      </c>
      <c r="AM26" t="inlineStr">
        <is>
          <t>Şub</t>
        </is>
      </c>
      <c r="AN26" t="inlineStr">
        <is>
          <t>Tháng 2</t>
        </is>
      </c>
      <c r="AO26" t="inlineStr">
        <is>
          <t>Лют</t>
        </is>
      </c>
      <c r="AP26" t="inlineStr">
        <is>
          <t>فروری</t>
        </is>
      </c>
    </row>
    <row r="27">
      <c r="A27" t="inlineStr">
        <is>
          <t>Mar</t>
        </is>
      </c>
      <c r="B27" t="inlineStr">
        <is>
          <t>Mar</t>
        </is>
      </c>
      <c r="C27" t="inlineStr">
        <is>
          <t>آذار</t>
        </is>
      </c>
      <c r="D27" t="inlineStr">
        <is>
          <t>Մարտ</t>
        </is>
      </c>
      <c r="E27" t="inlineStr">
        <is>
          <t>Mar</t>
        </is>
      </c>
      <c r="F27" t="inlineStr">
        <is>
          <t>Март</t>
        </is>
      </c>
      <c r="G27" t="inlineStr">
        <is>
          <t>Mar</t>
        </is>
      </c>
      <c r="H27" t="inlineStr">
        <is>
          <t>三月</t>
        </is>
      </c>
      <c r="I27" t="inlineStr">
        <is>
          <t>Mar</t>
        </is>
      </c>
      <c r="J27" t="inlineStr">
        <is>
          <t>Ožu</t>
        </is>
      </c>
      <c r="K27" t="inlineStr">
        <is>
          <t>Mar</t>
        </is>
      </c>
      <c r="L27" t="inlineStr">
        <is>
          <t>Mar</t>
        </is>
      </c>
      <c r="M27" t="inlineStr">
        <is>
          <t>Mrt</t>
        </is>
      </c>
      <c r="N27" t="inlineStr">
        <is>
          <t>Mar</t>
        </is>
      </c>
      <c r="O27" t="inlineStr">
        <is>
          <t>Mars</t>
        </is>
      </c>
      <c r="P27" t="inlineStr">
        <is>
          <t>მარ</t>
        </is>
      </c>
      <c r="Q27" t="inlineStr">
        <is>
          <t>Mrz</t>
        </is>
      </c>
      <c r="R27" t="inlineStr">
        <is>
          <t>Μαρ</t>
        </is>
      </c>
      <c r="S27" t="inlineStr">
        <is>
          <t>מרץ</t>
        </is>
      </c>
      <c r="T27" t="inlineStr">
        <is>
          <t>Már</t>
        </is>
      </c>
      <c r="U27" t="inlineStr">
        <is>
          <t>Mar</t>
        </is>
      </c>
      <c r="V27" t="inlineStr">
        <is>
          <t>Mar</t>
        </is>
      </c>
      <c r="W27" t="inlineStr">
        <is>
          <t>Mar</t>
        </is>
      </c>
      <c r="X27" t="inlineStr">
        <is>
          <t>3월</t>
        </is>
      </c>
      <c r="Y27" t="inlineStr">
        <is>
          <t>Kov</t>
        </is>
      </c>
      <c r="Z27" t="inlineStr">
        <is>
          <t>Мар</t>
        </is>
      </c>
      <c r="AA27" t="inlineStr">
        <is>
          <t>Mar</t>
        </is>
      </c>
      <c r="AB27" t="inlineStr">
        <is>
          <t>Mar</t>
        </is>
      </c>
      <c r="AC27" t="inlineStr">
        <is>
          <t>مارس</t>
        </is>
      </c>
      <c r="AD27" t="inlineStr">
        <is>
          <t>Mar</t>
        </is>
      </c>
      <c r="AE27" t="inlineStr">
        <is>
          <t>Mar</t>
        </is>
      </c>
      <c r="AF27" t="inlineStr">
        <is>
          <t>Mar</t>
        </is>
      </c>
      <c r="AG27" t="inlineStr">
        <is>
          <t>Mar</t>
        </is>
      </c>
      <c r="AH27" t="inlineStr">
        <is>
          <t>Mar</t>
        </is>
      </c>
      <c r="AI27" t="inlineStr">
        <is>
          <t>Mar</t>
        </is>
      </c>
      <c r="AJ27" t="inlineStr">
        <is>
          <t>Mar</t>
        </is>
      </c>
      <c r="AK27" t="inlineStr">
        <is>
          <t>mar</t>
        </is>
      </c>
      <c r="AL27" t="inlineStr">
        <is>
          <t>มีนาคม</t>
        </is>
      </c>
      <c r="AM27" t="inlineStr">
        <is>
          <t>Mar</t>
        </is>
      </c>
      <c r="AN27" t="inlineStr">
        <is>
          <t>Tháng 3</t>
        </is>
      </c>
      <c r="AO27" t="inlineStr">
        <is>
          <t>Бер</t>
        </is>
      </c>
      <c r="AP27" t="inlineStr">
        <is>
          <t>مارچ</t>
        </is>
      </c>
    </row>
    <row r="28">
      <c r="A28" t="inlineStr">
        <is>
          <t>Apr</t>
        </is>
      </c>
      <c r="B28" t="inlineStr">
        <is>
          <t>Pri</t>
        </is>
      </c>
      <c r="C28" t="inlineStr">
        <is>
          <t>نيسان</t>
        </is>
      </c>
      <c r="D28" t="inlineStr">
        <is>
          <t>Ապրիլ</t>
        </is>
      </c>
      <c r="E28" t="inlineStr">
        <is>
          <t>Apr</t>
        </is>
      </c>
      <c r="F28" t="inlineStr">
        <is>
          <t>Април</t>
        </is>
      </c>
      <c r="G28" t="inlineStr">
        <is>
          <t>Abr</t>
        </is>
      </c>
      <c r="H28" t="inlineStr">
        <is>
          <t>四月</t>
        </is>
      </c>
      <c r="I28" t="inlineStr">
        <is>
          <t>Apr</t>
        </is>
      </c>
      <c r="J28" t="inlineStr">
        <is>
          <t>Tra</t>
        </is>
      </c>
      <c r="K28" t="inlineStr">
        <is>
          <t>Apr</t>
        </is>
      </c>
      <c r="L28" t="inlineStr">
        <is>
          <t>Apr</t>
        </is>
      </c>
      <c r="M28" t="inlineStr">
        <is>
          <t>Apr</t>
        </is>
      </c>
      <c r="N28" t="inlineStr">
        <is>
          <t>Apr</t>
        </is>
      </c>
      <c r="O28" t="inlineStr">
        <is>
          <t>Avr</t>
        </is>
      </c>
      <c r="P28" t="inlineStr">
        <is>
          <t>აპრ</t>
        </is>
      </c>
      <c r="Q28" t="inlineStr">
        <is>
          <t>Apr</t>
        </is>
      </c>
      <c r="R28" t="inlineStr">
        <is>
          <t>Απρ</t>
        </is>
      </c>
      <c r="S28" t="inlineStr">
        <is>
          <t>אפריל</t>
        </is>
      </c>
      <c r="T28" t="inlineStr">
        <is>
          <t>Ápr</t>
        </is>
      </c>
      <c r="U28" t="inlineStr">
        <is>
          <t>Apr</t>
        </is>
      </c>
      <c r="V28" t="inlineStr">
        <is>
          <t>Apr</t>
        </is>
      </c>
      <c r="W28" t="inlineStr">
        <is>
          <t>Apr</t>
        </is>
      </c>
      <c r="X28" t="inlineStr">
        <is>
          <t>4월</t>
        </is>
      </c>
      <c r="Y28" t="inlineStr">
        <is>
          <t>Bal</t>
        </is>
      </c>
      <c r="Z28" t="inlineStr">
        <is>
          <t>Апр</t>
        </is>
      </c>
      <c r="AA28" t="inlineStr">
        <is>
          <t>Apr</t>
        </is>
      </c>
      <c r="AB28" t="inlineStr">
        <is>
          <t>Apr</t>
        </is>
      </c>
      <c r="AC28" t="inlineStr">
        <is>
          <t>آوریل</t>
        </is>
      </c>
      <c r="AD28" t="inlineStr">
        <is>
          <t>Kwi</t>
        </is>
      </c>
      <c r="AE28" t="inlineStr">
        <is>
          <t>Abr</t>
        </is>
      </c>
      <c r="AF28" t="inlineStr">
        <is>
          <t>Apr</t>
        </is>
      </c>
      <c r="AG28" t="inlineStr">
        <is>
          <t>Apr</t>
        </is>
      </c>
      <c r="AH28" t="inlineStr">
        <is>
          <t>Apr</t>
        </is>
      </c>
      <c r="AI28" t="inlineStr">
        <is>
          <t>Apr</t>
        </is>
      </c>
      <c r="AJ28" t="inlineStr">
        <is>
          <t>Abr</t>
        </is>
      </c>
      <c r="AK28" t="inlineStr">
        <is>
          <t>apr</t>
        </is>
      </c>
      <c r="AL28" t="inlineStr">
        <is>
          <t>เมษายน</t>
        </is>
      </c>
      <c r="AM28" t="inlineStr">
        <is>
          <t>Nis</t>
        </is>
      </c>
      <c r="AN28" t="inlineStr">
        <is>
          <t>Tháng 4</t>
        </is>
      </c>
      <c r="AO28" t="inlineStr">
        <is>
          <t>Квіт</t>
        </is>
      </c>
      <c r="AP28" t="inlineStr">
        <is>
          <t>اپریل</t>
        </is>
      </c>
    </row>
    <row r="29">
      <c r="A29" t="inlineStr">
        <is>
          <t>May</t>
        </is>
      </c>
      <c r="B29" t="inlineStr">
        <is>
          <t>Maj</t>
        </is>
      </c>
      <c r="C29" t="inlineStr">
        <is>
          <t>أياد</t>
        </is>
      </c>
      <c r="D29" t="inlineStr">
        <is>
          <t>Մայիս</t>
        </is>
      </c>
      <c r="E29" t="inlineStr">
        <is>
          <t>May</t>
        </is>
      </c>
      <c r="F29" t="inlineStr">
        <is>
          <t>Май</t>
        </is>
      </c>
      <c r="G29" t="inlineStr">
        <is>
          <t>Mai</t>
        </is>
      </c>
      <c r="H29" t="inlineStr">
        <is>
          <t>五月</t>
        </is>
      </c>
      <c r="I29" t="inlineStr">
        <is>
          <t>May</t>
        </is>
      </c>
      <c r="J29" t="inlineStr">
        <is>
          <t>Svi</t>
        </is>
      </c>
      <c r="K29" t="inlineStr">
        <is>
          <t>May</t>
        </is>
      </c>
      <c r="L29" t="inlineStr">
        <is>
          <t>Maj</t>
        </is>
      </c>
      <c r="M29" t="inlineStr">
        <is>
          <t>Mei</t>
        </is>
      </c>
      <c r="N29" t="inlineStr">
        <is>
          <t>Mai</t>
        </is>
      </c>
      <c r="O29" t="inlineStr">
        <is>
          <t>Mai</t>
        </is>
      </c>
      <c r="P29" t="inlineStr">
        <is>
          <t>მაი</t>
        </is>
      </c>
      <c r="Q29" t="inlineStr">
        <is>
          <t>Mai</t>
        </is>
      </c>
      <c r="R29" t="inlineStr">
        <is>
          <t>Μαϊ</t>
        </is>
      </c>
      <c r="S29" t="inlineStr">
        <is>
          <t>מאי</t>
        </is>
      </c>
      <c r="T29" t="inlineStr">
        <is>
          <t>Máj</t>
        </is>
      </c>
      <c r="U29" t="inlineStr">
        <is>
          <t>Mei</t>
        </is>
      </c>
      <c r="V29" t="inlineStr">
        <is>
          <t>Maí</t>
        </is>
      </c>
      <c r="W29" t="inlineStr">
        <is>
          <t>Mag</t>
        </is>
      </c>
      <c r="X29" t="inlineStr">
        <is>
          <t>5월</t>
        </is>
      </c>
      <c r="Y29" t="inlineStr">
        <is>
          <t>Geg</t>
        </is>
      </c>
      <c r="Z29" t="inlineStr">
        <is>
          <t>Мај</t>
        </is>
      </c>
      <c r="AA29" t="inlineStr">
        <is>
          <t>Mej</t>
        </is>
      </c>
      <c r="AB29" t="inlineStr">
        <is>
          <t>Mai</t>
        </is>
      </c>
      <c r="AC29" t="inlineStr">
        <is>
          <t>می</t>
        </is>
      </c>
      <c r="AD29" t="inlineStr">
        <is>
          <t>Maj</t>
        </is>
      </c>
      <c r="AE29" t="inlineStr">
        <is>
          <t>Mai</t>
        </is>
      </c>
      <c r="AF29" t="inlineStr">
        <is>
          <t>Mai</t>
        </is>
      </c>
      <c r="AG29" t="inlineStr">
        <is>
          <t>Maj</t>
        </is>
      </c>
      <c r="AH29" t="inlineStr">
        <is>
          <t>Máj</t>
        </is>
      </c>
      <c r="AI29" t="inlineStr">
        <is>
          <t>Maj</t>
        </is>
      </c>
      <c r="AJ29" t="inlineStr">
        <is>
          <t>May</t>
        </is>
      </c>
      <c r="AK29" t="inlineStr">
        <is>
          <t>maj</t>
        </is>
      </c>
      <c r="AL29" t="inlineStr">
        <is>
          <t>พฤษภาคม</t>
        </is>
      </c>
      <c r="AM29" t="inlineStr">
        <is>
          <t>May</t>
        </is>
      </c>
      <c r="AN29" t="inlineStr">
        <is>
          <t>Tháng 5</t>
        </is>
      </c>
      <c r="AO29" t="inlineStr">
        <is>
          <t>Трав</t>
        </is>
      </c>
      <c r="AP29" t="inlineStr">
        <is>
          <t>مئی</t>
        </is>
      </c>
    </row>
    <row r="30">
      <c r="A30" t="inlineStr">
        <is>
          <t>Jun</t>
        </is>
      </c>
      <c r="B30" t="inlineStr">
        <is>
          <t>Qer</t>
        </is>
      </c>
      <c r="C30" t="inlineStr">
        <is>
          <t>حزيران</t>
        </is>
      </c>
      <c r="D30" t="inlineStr">
        <is>
          <t>Հունիս</t>
        </is>
      </c>
      <c r="E30" t="inlineStr">
        <is>
          <t>İyn</t>
        </is>
      </c>
      <c r="F30" t="inlineStr">
        <is>
          <t>Юни</t>
        </is>
      </c>
      <c r="G30" t="inlineStr">
        <is>
          <t>Jun</t>
        </is>
      </c>
      <c r="H30" t="inlineStr">
        <is>
          <t>六月</t>
        </is>
      </c>
      <c r="I30" t="inlineStr">
        <is>
          <t>Jun</t>
        </is>
      </c>
      <c r="J30" t="inlineStr">
        <is>
          <t>Lip</t>
        </is>
      </c>
      <c r="K30" t="inlineStr">
        <is>
          <t>Čer</t>
        </is>
      </c>
      <c r="L30" t="inlineStr">
        <is>
          <t>Jun</t>
        </is>
      </c>
      <c r="M30" t="inlineStr">
        <is>
          <t>Jun</t>
        </is>
      </c>
      <c r="N30" t="inlineStr">
        <is>
          <t>Jun</t>
        </is>
      </c>
      <c r="O30" t="inlineStr">
        <is>
          <t>Juin</t>
        </is>
      </c>
      <c r="P30" t="inlineStr">
        <is>
          <t>ივნ</t>
        </is>
      </c>
      <c r="Q30" t="inlineStr">
        <is>
          <t>Jun</t>
        </is>
      </c>
      <c r="R30" t="inlineStr">
        <is>
          <t>Ιουν</t>
        </is>
      </c>
      <c r="S30" t="inlineStr">
        <is>
          <t>יוני</t>
        </is>
      </c>
      <c r="T30" t="inlineStr">
        <is>
          <t>Jún</t>
        </is>
      </c>
      <c r="U30" t="inlineStr">
        <is>
          <t>Jun</t>
        </is>
      </c>
      <c r="V30" t="inlineStr">
        <is>
          <t>Jún</t>
        </is>
      </c>
      <c r="W30" t="inlineStr">
        <is>
          <t>Giu</t>
        </is>
      </c>
      <c r="X30" t="inlineStr">
        <is>
          <t>6월</t>
        </is>
      </c>
      <c r="Y30" t="inlineStr">
        <is>
          <t>Birž</t>
        </is>
      </c>
      <c r="Z30" t="inlineStr">
        <is>
          <t>Јун</t>
        </is>
      </c>
      <c r="AA30" t="inlineStr">
        <is>
          <t>Ġun</t>
        </is>
      </c>
      <c r="AB30" t="inlineStr">
        <is>
          <t>Jun</t>
        </is>
      </c>
      <c r="AC30" t="inlineStr">
        <is>
          <t>ژوئن</t>
        </is>
      </c>
      <c r="AD30" t="inlineStr">
        <is>
          <t>Cze</t>
        </is>
      </c>
      <c r="AE30" t="inlineStr">
        <is>
          <t>Jun</t>
        </is>
      </c>
      <c r="AF30" t="inlineStr">
        <is>
          <t>Iun</t>
        </is>
      </c>
      <c r="AG30" t="inlineStr">
        <is>
          <t>Jun</t>
        </is>
      </c>
      <c r="AH30" t="inlineStr">
        <is>
          <t>Jún</t>
        </is>
      </c>
      <c r="AI30" t="inlineStr">
        <is>
          <t>Jun</t>
        </is>
      </c>
      <c r="AJ30" t="inlineStr">
        <is>
          <t>Jun</t>
        </is>
      </c>
      <c r="AK30" t="inlineStr">
        <is>
          <t>jun</t>
        </is>
      </c>
      <c r="AL30" t="inlineStr">
        <is>
          <t>มิถุนายน</t>
        </is>
      </c>
      <c r="AM30" t="inlineStr">
        <is>
          <t>Haz</t>
        </is>
      </c>
      <c r="AN30" t="inlineStr">
        <is>
          <t>Tháng 6</t>
        </is>
      </c>
      <c r="AO30" t="inlineStr">
        <is>
          <t>Черв</t>
        </is>
      </c>
      <c r="AP30" t="inlineStr">
        <is>
          <t>جون</t>
        </is>
      </c>
    </row>
    <row r="31">
      <c r="A31" t="inlineStr">
        <is>
          <t>Jul</t>
        </is>
      </c>
      <c r="B31" t="inlineStr">
        <is>
          <t>Kor</t>
        </is>
      </c>
      <c r="C31" t="inlineStr">
        <is>
          <t>تموز</t>
        </is>
      </c>
      <c r="D31" t="inlineStr">
        <is>
          <t>Հուլիս</t>
        </is>
      </c>
      <c r="E31" t="inlineStr">
        <is>
          <t>İyl</t>
        </is>
      </c>
      <c r="F31" t="inlineStr">
        <is>
          <t>Юли</t>
        </is>
      </c>
      <c r="G31" t="inlineStr">
        <is>
          <t>Jul</t>
        </is>
      </c>
      <c r="H31" t="inlineStr">
        <is>
          <t>七月</t>
        </is>
      </c>
      <c r="I31" t="inlineStr">
        <is>
          <t>Jul</t>
        </is>
      </c>
      <c r="J31" t="inlineStr">
        <is>
          <t>Srp</t>
        </is>
      </c>
      <c r="K31" t="inlineStr">
        <is>
          <t>Čec</t>
        </is>
      </c>
      <c r="L31" t="inlineStr">
        <is>
          <t>Jul</t>
        </is>
      </c>
      <c r="M31" t="inlineStr">
        <is>
          <t>Jul</t>
        </is>
      </c>
      <c r="N31" t="inlineStr">
        <is>
          <t>Jul</t>
        </is>
      </c>
      <c r="O31" t="inlineStr">
        <is>
          <t>Juil</t>
        </is>
      </c>
      <c r="P31" t="inlineStr">
        <is>
          <t>ივლ</t>
        </is>
      </c>
      <c r="Q31" t="inlineStr">
        <is>
          <t>Jul</t>
        </is>
      </c>
      <c r="R31" t="inlineStr">
        <is>
          <t>Ιουλ</t>
        </is>
      </c>
      <c r="S31" t="inlineStr">
        <is>
          <t>יולי</t>
        </is>
      </c>
      <c r="T31" t="inlineStr">
        <is>
          <t>Júl</t>
        </is>
      </c>
      <c r="U31" t="inlineStr">
        <is>
          <t>Jul</t>
        </is>
      </c>
      <c r="V31" t="inlineStr">
        <is>
          <t>Júl</t>
        </is>
      </c>
      <c r="W31" t="inlineStr">
        <is>
          <t>Lug</t>
        </is>
      </c>
      <c r="X31" t="inlineStr">
        <is>
          <t>7월</t>
        </is>
      </c>
      <c r="Y31" t="inlineStr">
        <is>
          <t>Lie</t>
        </is>
      </c>
      <c r="Z31" t="inlineStr">
        <is>
          <t>Јул</t>
        </is>
      </c>
      <c r="AA31" t="inlineStr">
        <is>
          <t>Lul</t>
        </is>
      </c>
      <c r="AB31" t="inlineStr">
        <is>
          <t>Jul</t>
        </is>
      </c>
      <c r="AC31" t="inlineStr">
        <is>
          <t>ژولای</t>
        </is>
      </c>
      <c r="AD31" t="inlineStr">
        <is>
          <t>Lip</t>
        </is>
      </c>
      <c r="AE31" t="inlineStr">
        <is>
          <t>Jul</t>
        </is>
      </c>
      <c r="AF31" t="inlineStr">
        <is>
          <t>Iul</t>
        </is>
      </c>
      <c r="AG31" t="inlineStr">
        <is>
          <t>Jul</t>
        </is>
      </c>
      <c r="AH31" t="inlineStr">
        <is>
          <t>Júl</t>
        </is>
      </c>
      <c r="AI31" t="inlineStr">
        <is>
          <t>Jul</t>
        </is>
      </c>
      <c r="AJ31" t="inlineStr">
        <is>
          <t>Jul</t>
        </is>
      </c>
      <c r="AK31" t="inlineStr">
        <is>
          <t>jul</t>
        </is>
      </c>
      <c r="AL31" t="inlineStr">
        <is>
          <t>กรกฎาคม</t>
        </is>
      </c>
      <c r="AM31" t="inlineStr">
        <is>
          <t>Tem</t>
        </is>
      </c>
      <c r="AN31" t="inlineStr">
        <is>
          <t>Tháng 7</t>
        </is>
      </c>
      <c r="AO31" t="inlineStr">
        <is>
          <t>Лип</t>
        </is>
      </c>
      <c r="AP31" t="inlineStr">
        <is>
          <t>جولائی</t>
        </is>
      </c>
    </row>
    <row r="32">
      <c r="A32" t="inlineStr">
        <is>
          <t>Aug</t>
        </is>
      </c>
      <c r="B32" t="inlineStr">
        <is>
          <t>Gus</t>
        </is>
      </c>
      <c r="C32" t="inlineStr">
        <is>
          <t>آب</t>
        </is>
      </c>
      <c r="D32" t="inlineStr">
        <is>
          <t>Օգոս.</t>
        </is>
      </c>
      <c r="E32" t="inlineStr">
        <is>
          <t>Avq</t>
        </is>
      </c>
      <c r="F32" t="inlineStr">
        <is>
          <t>Август</t>
        </is>
      </c>
      <c r="G32" t="inlineStr">
        <is>
          <t>Ago</t>
        </is>
      </c>
      <c r="H32" t="inlineStr">
        <is>
          <t>八月</t>
        </is>
      </c>
      <c r="I32" t="inlineStr">
        <is>
          <t>Aug</t>
        </is>
      </c>
      <c r="J32" t="inlineStr">
        <is>
          <t>Kol</t>
        </is>
      </c>
      <c r="K32" t="inlineStr">
        <is>
          <t>Aug</t>
        </is>
      </c>
      <c r="L32" t="inlineStr">
        <is>
          <t>Aug</t>
        </is>
      </c>
      <c r="M32" t="inlineStr">
        <is>
          <t>Aug</t>
        </is>
      </c>
      <c r="N32" t="inlineStr">
        <is>
          <t>Aug</t>
        </is>
      </c>
      <c r="O32" t="inlineStr">
        <is>
          <t>Août</t>
        </is>
      </c>
      <c r="P32" t="inlineStr">
        <is>
          <t>აგვ</t>
        </is>
      </c>
      <c r="Q32" t="inlineStr">
        <is>
          <t>Aug</t>
        </is>
      </c>
      <c r="R32" t="inlineStr">
        <is>
          <t>Αυγ</t>
        </is>
      </c>
      <c r="S32" t="inlineStr">
        <is>
          <t>אוגוסט</t>
        </is>
      </c>
      <c r="T32" t="inlineStr">
        <is>
          <t>Aug</t>
        </is>
      </c>
      <c r="U32" t="inlineStr">
        <is>
          <t>Agu</t>
        </is>
      </c>
      <c r="V32" t="inlineStr">
        <is>
          <t>Ágú</t>
        </is>
      </c>
      <c r="W32" t="inlineStr">
        <is>
          <t>Ago</t>
        </is>
      </c>
      <c r="X32" t="inlineStr">
        <is>
          <t>8월</t>
        </is>
      </c>
      <c r="Y32" t="inlineStr">
        <is>
          <t>Rugp</t>
        </is>
      </c>
      <c r="Z32" t="inlineStr">
        <is>
          <t>Авг</t>
        </is>
      </c>
      <c r="AA32" t="inlineStr">
        <is>
          <t>Aww</t>
        </is>
      </c>
      <c r="AB32" t="inlineStr">
        <is>
          <t>Aug</t>
        </is>
      </c>
      <c r="AC32" t="inlineStr">
        <is>
          <t>اگوست</t>
        </is>
      </c>
      <c r="AD32" t="inlineStr">
        <is>
          <t>Się</t>
        </is>
      </c>
      <c r="AE32" t="inlineStr">
        <is>
          <t>Ago</t>
        </is>
      </c>
      <c r="AF32" t="inlineStr">
        <is>
          <t>Aug</t>
        </is>
      </c>
      <c r="AG32" t="inlineStr">
        <is>
          <t>Avg</t>
        </is>
      </c>
      <c r="AH32" t="inlineStr">
        <is>
          <t>Aug</t>
        </is>
      </c>
      <c r="AI32" t="inlineStr">
        <is>
          <t>Avg</t>
        </is>
      </c>
      <c r="AJ32" t="inlineStr">
        <is>
          <t>Ago</t>
        </is>
      </c>
      <c r="AK32" t="inlineStr">
        <is>
          <t>Aug</t>
        </is>
      </c>
      <c r="AL32" t="inlineStr">
        <is>
          <t>สิงหาคม</t>
        </is>
      </c>
      <c r="AM32" t="inlineStr">
        <is>
          <t>Ağu</t>
        </is>
      </c>
      <c r="AN32" t="inlineStr">
        <is>
          <t>Tháng 8</t>
        </is>
      </c>
      <c r="AO32" t="inlineStr">
        <is>
          <t>Серп</t>
        </is>
      </c>
      <c r="AP32" t="inlineStr">
        <is>
          <t>اگست</t>
        </is>
      </c>
    </row>
    <row r="33">
      <c r="A33" t="inlineStr">
        <is>
          <t>Sep</t>
        </is>
      </c>
      <c r="B33" t="inlineStr">
        <is>
          <t>Shta</t>
        </is>
      </c>
      <c r="C33" t="inlineStr">
        <is>
          <t>أيلول</t>
        </is>
      </c>
      <c r="D33" t="inlineStr">
        <is>
          <t>Սեպտ.</t>
        </is>
      </c>
      <c r="E33" t="inlineStr">
        <is>
          <t>Sen</t>
        </is>
      </c>
      <c r="F33" t="inlineStr">
        <is>
          <t>Септември</t>
        </is>
      </c>
      <c r="G33" t="inlineStr">
        <is>
          <t>Set</t>
        </is>
      </c>
      <c r="H33" t="inlineStr">
        <is>
          <t>九月</t>
        </is>
      </c>
      <c r="I33" t="inlineStr">
        <is>
          <t>Sep</t>
        </is>
      </c>
      <c r="J33" t="inlineStr">
        <is>
          <t>Ruj</t>
        </is>
      </c>
      <c r="K33" t="inlineStr">
        <is>
          <t>Sep</t>
        </is>
      </c>
      <c r="L33" t="inlineStr">
        <is>
          <t>Sep</t>
        </is>
      </c>
      <c r="M33" t="inlineStr">
        <is>
          <t>Sep</t>
        </is>
      </c>
      <c r="N33" t="inlineStr">
        <is>
          <t>Sep</t>
        </is>
      </c>
      <c r="O33" t="inlineStr">
        <is>
          <t>Sept</t>
        </is>
      </c>
      <c r="P33" t="inlineStr">
        <is>
          <t>სექ</t>
        </is>
      </c>
      <c r="Q33" t="inlineStr">
        <is>
          <t>Sep</t>
        </is>
      </c>
      <c r="R33" t="inlineStr">
        <is>
          <t>Σεπ</t>
        </is>
      </c>
      <c r="S33" t="inlineStr">
        <is>
          <t>ספטמבר</t>
        </is>
      </c>
      <c r="T33" t="inlineStr">
        <is>
          <t>Szep</t>
        </is>
      </c>
      <c r="U33" t="inlineStr">
        <is>
          <t>Sep</t>
        </is>
      </c>
      <c r="V33" t="inlineStr">
        <is>
          <t>Sep</t>
        </is>
      </c>
      <c r="W33" t="inlineStr">
        <is>
          <t>Set</t>
        </is>
      </c>
      <c r="X33" t="inlineStr">
        <is>
          <t>9월</t>
        </is>
      </c>
      <c r="Y33" t="inlineStr">
        <is>
          <t>Rugs</t>
        </is>
      </c>
      <c r="Z33" t="inlineStr">
        <is>
          <t>Сеп</t>
        </is>
      </c>
      <c r="AA33" t="inlineStr">
        <is>
          <t>Set</t>
        </is>
      </c>
      <c r="AB33" t="inlineStr">
        <is>
          <t>Sep</t>
        </is>
      </c>
      <c r="AC33" t="inlineStr">
        <is>
          <t>سپتامبر</t>
        </is>
      </c>
      <c r="AD33" t="inlineStr">
        <is>
          <t>Wrz</t>
        </is>
      </c>
      <c r="AE33" t="inlineStr">
        <is>
          <t>Set</t>
        </is>
      </c>
      <c r="AF33" t="inlineStr">
        <is>
          <t>Sep</t>
        </is>
      </c>
      <c r="AG33" t="inlineStr">
        <is>
          <t>Sep</t>
        </is>
      </c>
      <c r="AH33" t="inlineStr">
        <is>
          <t>Sep</t>
        </is>
      </c>
      <c r="AI33" t="inlineStr">
        <is>
          <t>Sep</t>
        </is>
      </c>
      <c r="AJ33" t="inlineStr">
        <is>
          <t>Sep</t>
        </is>
      </c>
      <c r="AK33" t="inlineStr">
        <is>
          <t>sep</t>
        </is>
      </c>
      <c r="AL33" t="inlineStr">
        <is>
          <t>กันยายน</t>
        </is>
      </c>
      <c r="AM33" t="inlineStr">
        <is>
          <t>Eyl</t>
        </is>
      </c>
      <c r="AN33" t="inlineStr">
        <is>
          <t>Tháng 9</t>
        </is>
      </c>
      <c r="AO33" t="inlineStr">
        <is>
          <t>Вер</t>
        </is>
      </c>
      <c r="AP33" t="inlineStr">
        <is>
          <t>ستمبر</t>
        </is>
      </c>
    </row>
    <row r="34">
      <c r="A34" t="inlineStr">
        <is>
          <t>Oct</t>
        </is>
      </c>
      <c r="B34" t="inlineStr">
        <is>
          <t>Tet</t>
        </is>
      </c>
      <c r="C34" t="inlineStr">
        <is>
          <t>تشرين أول</t>
        </is>
      </c>
      <c r="D34" t="inlineStr">
        <is>
          <t>Հոկտ.</t>
        </is>
      </c>
      <c r="E34" t="inlineStr">
        <is>
          <t>Okt</t>
        </is>
      </c>
      <c r="F34" t="inlineStr">
        <is>
          <t>Октомври</t>
        </is>
      </c>
      <c r="G34" t="inlineStr">
        <is>
          <t>Oct</t>
        </is>
      </c>
      <c r="H34" t="inlineStr">
        <is>
          <t>十月</t>
        </is>
      </c>
      <c r="I34" t="inlineStr">
        <is>
          <t>Oct</t>
        </is>
      </c>
      <c r="J34" t="inlineStr">
        <is>
          <t>Lis</t>
        </is>
      </c>
      <c r="K34" t="inlineStr">
        <is>
          <t>Oct</t>
        </is>
      </c>
      <c r="L34" t="inlineStr">
        <is>
          <t>Okt</t>
        </is>
      </c>
      <c r="M34" t="inlineStr">
        <is>
          <t>Okt</t>
        </is>
      </c>
      <c r="N34" t="inlineStr">
        <is>
          <t>Okt</t>
        </is>
      </c>
      <c r="O34" t="inlineStr">
        <is>
          <t>Oct</t>
        </is>
      </c>
      <c r="P34" t="inlineStr">
        <is>
          <t>ოქტ</t>
        </is>
      </c>
      <c r="Q34" t="inlineStr">
        <is>
          <t>Okt</t>
        </is>
      </c>
      <c r="R34" t="inlineStr">
        <is>
          <t>Οκτ</t>
        </is>
      </c>
      <c r="S34" t="inlineStr">
        <is>
          <t>אוקטובר</t>
        </is>
      </c>
      <c r="T34" t="inlineStr">
        <is>
          <t>Okt</t>
        </is>
      </c>
      <c r="U34" t="inlineStr">
        <is>
          <t>Okt</t>
        </is>
      </c>
      <c r="V34" t="inlineStr">
        <is>
          <t>Okt</t>
        </is>
      </c>
      <c r="W34" t="inlineStr">
        <is>
          <t>Ott</t>
        </is>
      </c>
      <c r="X34" t="inlineStr">
        <is>
          <t>10월</t>
        </is>
      </c>
      <c r="Y34" t="inlineStr">
        <is>
          <t>Spa</t>
        </is>
      </c>
      <c r="Z34" t="inlineStr">
        <is>
          <t>Окт</t>
        </is>
      </c>
      <c r="AA34" t="inlineStr">
        <is>
          <t>Ott</t>
        </is>
      </c>
      <c r="AB34" t="inlineStr">
        <is>
          <t>Okt</t>
        </is>
      </c>
      <c r="AC34" t="inlineStr">
        <is>
          <t>اکتبر</t>
        </is>
      </c>
      <c r="AD34" t="inlineStr">
        <is>
          <t>Paź</t>
        </is>
      </c>
      <c r="AE34" t="inlineStr">
        <is>
          <t>Out</t>
        </is>
      </c>
      <c r="AF34" t="inlineStr">
        <is>
          <t>Oct</t>
        </is>
      </c>
      <c r="AG34" t="inlineStr">
        <is>
          <t>Okt</t>
        </is>
      </c>
      <c r="AH34" t="inlineStr">
        <is>
          <t>Okt</t>
        </is>
      </c>
      <c r="AI34" t="inlineStr">
        <is>
          <t>Oct</t>
        </is>
      </c>
      <c r="AJ34" t="inlineStr">
        <is>
          <t>Oct</t>
        </is>
      </c>
      <c r="AK34" t="inlineStr">
        <is>
          <t>okt</t>
        </is>
      </c>
      <c r="AL34" t="inlineStr">
        <is>
          <t>ตุลาคม</t>
        </is>
      </c>
      <c r="AM34" t="inlineStr">
        <is>
          <t>Eki</t>
        </is>
      </c>
      <c r="AN34" t="inlineStr">
        <is>
          <t>Tháng 10</t>
        </is>
      </c>
      <c r="AO34" t="inlineStr">
        <is>
          <t>Жовт</t>
        </is>
      </c>
      <c r="AP34" t="inlineStr">
        <is>
          <t>اکتوبر</t>
        </is>
      </c>
    </row>
    <row r="35">
      <c r="A35" t="inlineStr">
        <is>
          <t>Nov</t>
        </is>
      </c>
      <c r="B35" t="inlineStr">
        <is>
          <t>Nën</t>
        </is>
      </c>
      <c r="C35" t="inlineStr">
        <is>
          <t>تشرين ثاني</t>
        </is>
      </c>
      <c r="D35" t="inlineStr">
        <is>
          <t>Նոյեմ.</t>
        </is>
      </c>
      <c r="E35" t="inlineStr">
        <is>
          <t>Noy</t>
        </is>
      </c>
      <c r="F35" t="inlineStr">
        <is>
          <t>Ноември</t>
        </is>
      </c>
      <c r="G35" t="inlineStr">
        <is>
          <t>Nov</t>
        </is>
      </c>
      <c r="H35" t="inlineStr">
        <is>
          <t>十一月</t>
        </is>
      </c>
      <c r="I35" t="inlineStr">
        <is>
          <t>Nov</t>
        </is>
      </c>
      <c r="J35" t="inlineStr">
        <is>
          <t>Stu</t>
        </is>
      </c>
      <c r="K35" t="inlineStr">
        <is>
          <t>Nov</t>
        </is>
      </c>
      <c r="L35" t="inlineStr">
        <is>
          <t>Nov</t>
        </is>
      </c>
      <c r="M35" t="inlineStr">
        <is>
          <t>Nov</t>
        </is>
      </c>
      <c r="N35" t="inlineStr">
        <is>
          <t>Nov</t>
        </is>
      </c>
      <c r="O35" t="inlineStr">
        <is>
          <t>Nov</t>
        </is>
      </c>
      <c r="P35" t="inlineStr">
        <is>
          <t>ნოე</t>
        </is>
      </c>
      <c r="Q35" t="inlineStr">
        <is>
          <t>Nov</t>
        </is>
      </c>
      <c r="R35" t="inlineStr">
        <is>
          <t>Νοε</t>
        </is>
      </c>
      <c r="S35" t="inlineStr">
        <is>
          <t>נובמבר</t>
        </is>
      </c>
      <c r="T35" t="inlineStr">
        <is>
          <t>Nov</t>
        </is>
      </c>
      <c r="U35" t="inlineStr">
        <is>
          <t>Nop</t>
        </is>
      </c>
      <c r="V35" t="inlineStr">
        <is>
          <t>Nóv</t>
        </is>
      </c>
      <c r="W35" t="inlineStr">
        <is>
          <t>Nov</t>
        </is>
      </c>
      <c r="X35" t="inlineStr">
        <is>
          <t>11월</t>
        </is>
      </c>
      <c r="Y35" t="inlineStr">
        <is>
          <t>Lapk</t>
        </is>
      </c>
      <c r="Z35" t="inlineStr">
        <is>
          <t>Ное</t>
        </is>
      </c>
      <c r="AA35" t="inlineStr">
        <is>
          <t>Nov</t>
        </is>
      </c>
      <c r="AB35" t="inlineStr">
        <is>
          <t>Nov</t>
        </is>
      </c>
      <c r="AC35" t="inlineStr">
        <is>
          <t>نوامبر</t>
        </is>
      </c>
      <c r="AD35" t="inlineStr">
        <is>
          <t>Lis</t>
        </is>
      </c>
      <c r="AE35" t="inlineStr">
        <is>
          <t>Nov</t>
        </is>
      </c>
      <c r="AF35" t="inlineStr">
        <is>
          <t>Noi</t>
        </is>
      </c>
      <c r="AG35" t="inlineStr">
        <is>
          <t>Nov</t>
        </is>
      </c>
      <c r="AH35" t="inlineStr">
        <is>
          <t>Nov</t>
        </is>
      </c>
      <c r="AI35" t="inlineStr">
        <is>
          <t>Nov</t>
        </is>
      </c>
      <c r="AJ35" t="inlineStr">
        <is>
          <t>Nov</t>
        </is>
      </c>
      <c r="AK35" t="inlineStr">
        <is>
          <t>nov</t>
        </is>
      </c>
      <c r="AL35" t="inlineStr">
        <is>
          <t>พฤศจิกายน</t>
        </is>
      </c>
      <c r="AM35" t="inlineStr">
        <is>
          <t>Kas</t>
        </is>
      </c>
      <c r="AN35" t="inlineStr">
        <is>
          <t>Tháng 11</t>
        </is>
      </c>
      <c r="AO35" t="inlineStr">
        <is>
          <t>Лист</t>
        </is>
      </c>
      <c r="AP35" t="inlineStr">
        <is>
          <t>نومبر</t>
        </is>
      </c>
    </row>
    <row r="36">
      <c r="A36" t="inlineStr">
        <is>
          <t>Dec</t>
        </is>
      </c>
      <c r="B36" t="inlineStr">
        <is>
          <t>Dhj</t>
        </is>
      </c>
      <c r="C36" t="inlineStr">
        <is>
          <t>كانون أول</t>
        </is>
      </c>
      <c r="D36" t="inlineStr">
        <is>
          <t>Դեկտ.</t>
        </is>
      </c>
      <c r="E36" t="inlineStr">
        <is>
          <t>Dek</t>
        </is>
      </c>
      <c r="F36" t="inlineStr">
        <is>
          <t>Декември</t>
        </is>
      </c>
      <c r="G36" t="inlineStr">
        <is>
          <t>Des</t>
        </is>
      </c>
      <c r="H36" t="inlineStr">
        <is>
          <t>十二月</t>
        </is>
      </c>
      <c r="I36" t="inlineStr">
        <is>
          <t>Dec</t>
        </is>
      </c>
      <c r="J36" t="inlineStr">
        <is>
          <t>Pro</t>
        </is>
      </c>
      <c r="K36" t="inlineStr">
        <is>
          <t>Dec</t>
        </is>
      </c>
      <c r="L36" t="inlineStr">
        <is>
          <t>Dec</t>
        </is>
      </c>
      <c r="M36" t="inlineStr">
        <is>
          <t>Dec</t>
        </is>
      </c>
      <c r="N36" t="inlineStr">
        <is>
          <t>Des</t>
        </is>
      </c>
      <c r="O36" t="inlineStr">
        <is>
          <t>Déc</t>
        </is>
      </c>
      <c r="P36" t="inlineStr">
        <is>
          <t>დეკ</t>
        </is>
      </c>
      <c r="Q36" t="inlineStr">
        <is>
          <t>Dez</t>
        </is>
      </c>
      <c r="R36" t="inlineStr">
        <is>
          <t>Δεκ</t>
        </is>
      </c>
      <c r="S36" t="inlineStr">
        <is>
          <t>דצמבר</t>
        </is>
      </c>
      <c r="T36" t="inlineStr">
        <is>
          <t>Dec</t>
        </is>
      </c>
      <c r="U36" t="inlineStr">
        <is>
          <t>Des</t>
        </is>
      </c>
      <c r="V36" t="inlineStr">
        <is>
          <t>Des</t>
        </is>
      </c>
      <c r="W36" t="inlineStr">
        <is>
          <t>Dic</t>
        </is>
      </c>
      <c r="X36" t="inlineStr">
        <is>
          <t>12월</t>
        </is>
      </c>
      <c r="Y36" t="inlineStr">
        <is>
          <t>Gruo</t>
        </is>
      </c>
      <c r="Z36" t="inlineStr">
        <is>
          <t>Дек</t>
        </is>
      </c>
      <c r="AA36" t="inlineStr">
        <is>
          <t>Deċ</t>
        </is>
      </c>
      <c r="AB36" t="inlineStr">
        <is>
          <t>Des</t>
        </is>
      </c>
      <c r="AC36" t="inlineStr">
        <is>
          <t>دسامبر</t>
        </is>
      </c>
      <c r="AD36" t="inlineStr">
        <is>
          <t>Gru</t>
        </is>
      </c>
      <c r="AE36" t="inlineStr">
        <is>
          <t>Dez</t>
        </is>
      </c>
      <c r="AF36" t="inlineStr">
        <is>
          <t>Dec</t>
        </is>
      </c>
      <c r="AG36" t="inlineStr">
        <is>
          <t>Dec</t>
        </is>
      </c>
      <c r="AH36" t="inlineStr">
        <is>
          <t>Dec</t>
        </is>
      </c>
      <c r="AI36" t="inlineStr">
        <is>
          <t>Dec</t>
        </is>
      </c>
      <c r="AJ36" t="inlineStr">
        <is>
          <t>Dic</t>
        </is>
      </c>
      <c r="AK36" t="inlineStr">
        <is>
          <t>dec</t>
        </is>
      </c>
      <c r="AL36" t="inlineStr">
        <is>
          <t>ธันวาคม</t>
        </is>
      </c>
      <c r="AM36" t="inlineStr">
        <is>
          <t>Ara</t>
        </is>
      </c>
      <c r="AN36" t="inlineStr">
        <is>
          <t>Tháng 12</t>
        </is>
      </c>
      <c r="AO36" t="inlineStr">
        <is>
          <t>Груд</t>
        </is>
      </c>
      <c r="AP36" t="inlineStr">
        <is>
          <t>دسمبر</t>
        </is>
      </c>
    </row>
    <row r="37">
      <c r="A37" t="inlineStr">
        <is>
          <t>Team</t>
        </is>
      </c>
      <c r="B37" t="inlineStr">
        <is>
          <t>Ekipi</t>
        </is>
      </c>
      <c r="C37" t="inlineStr">
        <is>
          <t>المنتخب</t>
        </is>
      </c>
      <c r="D37" t="inlineStr">
        <is>
          <t>Հավաքական</t>
        </is>
      </c>
      <c r="E37" t="inlineStr">
        <is>
          <t>Komanda</t>
        </is>
      </c>
      <c r="F37" t="inlineStr">
        <is>
          <t>Отбор</t>
        </is>
      </c>
      <c r="G37" t="inlineStr">
        <is>
          <t>Equip</t>
        </is>
      </c>
      <c r="H37" t="inlineStr">
        <is>
          <t>球队</t>
        </is>
      </c>
      <c r="I37" t="inlineStr">
        <is>
          <t>隊伍</t>
        </is>
      </c>
      <c r="J37" t="inlineStr">
        <is>
          <t>Team</t>
        </is>
      </c>
      <c r="K37" t="inlineStr">
        <is>
          <t>Team</t>
        </is>
      </c>
      <c r="L37" t="inlineStr">
        <is>
          <t>Hold</t>
        </is>
      </c>
      <c r="M37" t="inlineStr">
        <is>
          <t>Team</t>
        </is>
      </c>
      <c r="N37" t="inlineStr">
        <is>
          <t>Lið</t>
        </is>
      </c>
      <c r="O37" t="inlineStr">
        <is>
          <t>Équipe</t>
        </is>
      </c>
      <c r="P37" t="inlineStr">
        <is>
          <t>ნაკრები</t>
        </is>
      </c>
      <c r="Q37" t="inlineStr">
        <is>
          <t>Team</t>
        </is>
      </c>
      <c r="R37" t="inlineStr">
        <is>
          <t>Ομάδα</t>
        </is>
      </c>
      <c r="S37" t="inlineStr">
        <is>
          <t>קבוצה</t>
        </is>
      </c>
      <c r="T37" t="inlineStr">
        <is>
          <t>Csapat</t>
        </is>
      </c>
      <c r="U37" t="inlineStr">
        <is>
          <t>Tim</t>
        </is>
      </c>
      <c r="V37" t="inlineStr">
        <is>
          <t>Lið</t>
        </is>
      </c>
      <c r="W37" t="inlineStr">
        <is>
          <t>Squadra</t>
        </is>
      </c>
      <c r="X37" t="inlineStr">
        <is>
          <t>팀</t>
        </is>
      </c>
      <c r="Y37" t="inlineStr">
        <is>
          <t>Komanda</t>
        </is>
      </c>
      <c r="Z37" t="inlineStr">
        <is>
          <t>Тим</t>
        </is>
      </c>
      <c r="AA37" t="inlineStr">
        <is>
          <t>Tim</t>
        </is>
      </c>
      <c r="AB37" t="inlineStr">
        <is>
          <t>Lag</t>
        </is>
      </c>
      <c r="AC37" t="inlineStr">
        <is>
          <t>تیم</t>
        </is>
      </c>
      <c r="AD37" t="inlineStr">
        <is>
          <t>Drużyna</t>
        </is>
      </c>
      <c r="AE37" t="inlineStr">
        <is>
          <t>Equipa</t>
        </is>
      </c>
      <c r="AF37" t="inlineStr">
        <is>
          <t>Echipa</t>
        </is>
      </c>
      <c r="AG37" t="inlineStr">
        <is>
          <t>Reprezentacija</t>
        </is>
      </c>
      <c r="AH37" t="inlineStr">
        <is>
          <t>Mužstvo</t>
        </is>
      </c>
      <c r="AI37" t="inlineStr">
        <is>
          <t>Moštvo</t>
        </is>
      </c>
      <c r="AJ37" t="inlineStr">
        <is>
          <t>Equipo</t>
        </is>
      </c>
      <c r="AK37" t="inlineStr">
        <is>
          <t>Lag</t>
        </is>
      </c>
      <c r="AL37" t="inlineStr">
        <is>
          <t>ทึม</t>
        </is>
      </c>
      <c r="AM37" t="inlineStr">
        <is>
          <t>Takım</t>
        </is>
      </c>
      <c r="AN37" t="inlineStr">
        <is>
          <t>Đội</t>
        </is>
      </c>
      <c r="AO37" t="inlineStr">
        <is>
          <t>Команда</t>
        </is>
      </c>
      <c r="AP37" t="inlineStr">
        <is>
          <t>ٹیم</t>
        </is>
      </c>
    </row>
    <row r="38">
      <c r="A38" t="inlineStr">
        <is>
          <t>Senegal</t>
        </is>
      </c>
      <c r="B38" t="inlineStr">
        <is>
          <t>Senegal</t>
        </is>
      </c>
      <c r="C38" t="inlineStr">
        <is>
          <t>السنغال</t>
        </is>
      </c>
      <c r="D38" t="inlineStr">
        <is>
          <t>Սենեգալ</t>
        </is>
      </c>
      <c r="E38" t="inlineStr">
        <is>
          <t>Seneqal</t>
        </is>
      </c>
      <c r="F38" t="inlineStr">
        <is>
          <t>Сенегал</t>
        </is>
      </c>
      <c r="G38" t="inlineStr">
        <is>
          <t>Senegal</t>
        </is>
      </c>
      <c r="H38" t="inlineStr">
        <is>
          <t>塞内加尔</t>
        </is>
      </c>
      <c r="I38" t="inlineStr">
        <is>
          <t>塞內加爾</t>
        </is>
      </c>
      <c r="J38" t="inlineStr">
        <is>
          <t>Senegal</t>
        </is>
      </c>
      <c r="K38" t="inlineStr">
        <is>
          <t>Senegal</t>
        </is>
      </c>
      <c r="L38" t="inlineStr">
        <is>
          <t>Senegal</t>
        </is>
      </c>
      <c r="M38" t="inlineStr">
        <is>
          <t>Senegal</t>
        </is>
      </c>
      <c r="N38" t="inlineStr">
        <is>
          <t>Senegal</t>
        </is>
      </c>
      <c r="O38" t="inlineStr">
        <is>
          <t>Sénégal</t>
        </is>
      </c>
      <c r="P38" t="inlineStr">
        <is>
          <t>სენეგალი</t>
        </is>
      </c>
      <c r="Q38" t="inlineStr">
        <is>
          <t>Senegal</t>
        </is>
      </c>
      <c r="R38" t="inlineStr">
        <is>
          <t>Σενεγάλη</t>
        </is>
      </c>
      <c r="S38" t="inlineStr">
        <is>
          <t>סנגל</t>
        </is>
      </c>
      <c r="T38" t="inlineStr">
        <is>
          <t>Szenegál</t>
        </is>
      </c>
      <c r="U38" t="inlineStr">
        <is>
          <t>senegal</t>
        </is>
      </c>
      <c r="V38" t="inlineStr">
        <is>
          <t>Senegal</t>
        </is>
      </c>
      <c r="W38" t="inlineStr">
        <is>
          <t>Senegal</t>
        </is>
      </c>
      <c r="X38" t="inlineStr">
        <is>
          <t>세네갈</t>
        </is>
      </c>
      <c r="Y38" t="inlineStr">
        <is>
          <t>Senegalas</t>
        </is>
      </c>
      <c r="Z38" t="inlineStr">
        <is>
          <t>Сенегал</t>
        </is>
      </c>
      <c r="AA38" t="inlineStr">
        <is>
          <t>senegal</t>
        </is>
      </c>
      <c r="AB38" t="inlineStr">
        <is>
          <t>Senegal</t>
        </is>
      </c>
      <c r="AC38" t="inlineStr">
        <is>
          <t>سنگال</t>
        </is>
      </c>
      <c r="AD38" t="inlineStr">
        <is>
          <t>Senegal</t>
        </is>
      </c>
      <c r="AE38" t="inlineStr">
        <is>
          <t>Senegal</t>
        </is>
      </c>
      <c r="AF38" t="inlineStr">
        <is>
          <t>Senegal</t>
        </is>
      </c>
      <c r="AG38" t="inlineStr">
        <is>
          <t>сенегал</t>
        </is>
      </c>
      <c r="AH38" t="inlineStr">
        <is>
          <t>Senegal</t>
        </is>
      </c>
      <c r="AI38" t="inlineStr">
        <is>
          <t>Senegal</t>
        </is>
      </c>
      <c r="AJ38" t="inlineStr">
        <is>
          <t>Senegal</t>
        </is>
      </c>
      <c r="AK38" t="inlineStr">
        <is>
          <t>Senegal</t>
        </is>
      </c>
      <c r="AL38" t="inlineStr">
        <is>
          <t>ประเทศเซเนกัล</t>
        </is>
      </c>
      <c r="AM38" t="inlineStr">
        <is>
          <t>Senegal</t>
        </is>
      </c>
      <c r="AN38" t="inlineStr">
        <is>
          <t>Senegal</t>
        </is>
      </c>
      <c r="AO38" t="inlineStr">
        <is>
          <t>Сенегал</t>
        </is>
      </c>
      <c r="AP38" t="inlineStr">
        <is>
          <t>سنیگال</t>
        </is>
      </c>
    </row>
    <row r="39">
      <c r="A39" t="inlineStr">
        <is>
          <t>Qatar</t>
        </is>
      </c>
      <c r="B39" t="inlineStr">
        <is>
          <t>Katari</t>
        </is>
      </c>
      <c r="C39" t="inlineStr">
        <is>
          <t>دولة قطر</t>
        </is>
      </c>
      <c r="D39" t="inlineStr">
        <is>
          <t>Քաթար</t>
        </is>
      </c>
      <c r="E39" t="inlineStr">
        <is>
          <t>Qatar</t>
        </is>
      </c>
      <c r="F39" t="inlineStr">
        <is>
          <t>Катар</t>
        </is>
      </c>
      <c r="G39" t="inlineStr">
        <is>
          <t>Qatar</t>
        </is>
      </c>
      <c r="H39" t="inlineStr">
        <is>
          <t>卡塔尔</t>
        </is>
      </c>
      <c r="I39" t="inlineStr">
        <is>
          <t>卡塔爾</t>
        </is>
      </c>
      <c r="J39" t="inlineStr">
        <is>
          <t>Katar</t>
        </is>
      </c>
      <c r="K39" t="inlineStr">
        <is>
          <t>Katar</t>
        </is>
      </c>
      <c r="L39" t="inlineStr">
        <is>
          <t>Qatar</t>
        </is>
      </c>
      <c r="M39" t="inlineStr">
        <is>
          <t>Qatar</t>
        </is>
      </c>
      <c r="N39" t="inlineStr">
        <is>
          <t>Qatar</t>
        </is>
      </c>
      <c r="O39" t="inlineStr">
        <is>
          <t>Qatar</t>
        </is>
      </c>
      <c r="P39" t="inlineStr">
        <is>
          <t>ᲙᲐᲢᲐᲠᲘ</t>
        </is>
      </c>
      <c r="Q39" t="inlineStr">
        <is>
          <t>Katar</t>
        </is>
      </c>
      <c r="R39" t="inlineStr">
        <is>
          <t>Κατάρ</t>
        </is>
      </c>
      <c r="S39" t="inlineStr">
        <is>
          <t>קטאר</t>
        </is>
      </c>
      <c r="T39" t="inlineStr">
        <is>
          <t>Katar</t>
        </is>
      </c>
      <c r="U39" t="inlineStr">
        <is>
          <t>Qatar</t>
        </is>
      </c>
      <c r="V39" t="inlineStr">
        <is>
          <t>Katar</t>
        </is>
      </c>
      <c r="W39" t="inlineStr">
        <is>
          <t>Qatar</t>
        </is>
      </c>
      <c r="X39" t="inlineStr">
        <is>
          <t>카타르</t>
        </is>
      </c>
      <c r="Y39" t="inlineStr">
        <is>
          <t>Kataras</t>
        </is>
      </c>
      <c r="Z39" t="inlineStr">
        <is>
          <t>Катар</t>
        </is>
      </c>
      <c r="AA39" t="inlineStr">
        <is>
          <t>Qatar</t>
        </is>
      </c>
      <c r="AB39" t="inlineStr">
        <is>
          <t>Qatar</t>
        </is>
      </c>
      <c r="AC39" t="inlineStr">
        <is>
          <t>قطر</t>
        </is>
      </c>
      <c r="AD39" t="inlineStr">
        <is>
          <t>Katar</t>
        </is>
      </c>
      <c r="AE39" t="inlineStr">
        <is>
          <t>Catar</t>
        </is>
      </c>
      <c r="AF39" t="inlineStr">
        <is>
          <t>Qatar</t>
        </is>
      </c>
      <c r="AG39" t="inlineStr">
        <is>
          <t>Катар</t>
        </is>
      </c>
      <c r="AH39" t="inlineStr">
        <is>
          <t>Katar</t>
        </is>
      </c>
      <c r="AI39" t="inlineStr">
        <is>
          <t>Katar</t>
        </is>
      </c>
      <c r="AJ39" t="inlineStr">
        <is>
          <t>Katar</t>
        </is>
      </c>
      <c r="AK39" t="inlineStr">
        <is>
          <t>Qatar</t>
        </is>
      </c>
      <c r="AL39" t="inlineStr">
        <is>
          <t>กาตาร์</t>
        </is>
      </c>
      <c r="AM39" t="inlineStr">
        <is>
          <t>Katar</t>
        </is>
      </c>
      <c r="AN39" t="inlineStr">
        <is>
          <t>Qatar</t>
        </is>
      </c>
      <c r="AO39" t="inlineStr">
        <is>
          <t>Катар</t>
        </is>
      </c>
      <c r="AP39" t="inlineStr">
        <is>
          <t>قطر</t>
        </is>
      </c>
    </row>
    <row r="40">
      <c r="A40" t="inlineStr">
        <is>
          <t>Ecuador</t>
        </is>
      </c>
      <c r="B40" t="inlineStr">
        <is>
          <t>Ekuador</t>
        </is>
      </c>
      <c r="C40" t="inlineStr">
        <is>
          <t>الإكوادور</t>
        </is>
      </c>
      <c r="D40" t="inlineStr">
        <is>
          <t>Էկվադոր</t>
        </is>
      </c>
      <c r="E40" t="inlineStr">
        <is>
          <t>Ekvador</t>
        </is>
      </c>
      <c r="F40" t="inlineStr">
        <is>
          <t>Еквадор</t>
        </is>
      </c>
      <c r="G40" t="inlineStr">
        <is>
          <t>Ecuador</t>
        </is>
      </c>
      <c r="H40" t="inlineStr">
        <is>
          <t>厄瓜多尔</t>
        </is>
      </c>
      <c r="I40" t="inlineStr">
        <is>
          <t>厄瓜多爾</t>
        </is>
      </c>
      <c r="J40" t="inlineStr">
        <is>
          <t>Ekvador</t>
        </is>
      </c>
      <c r="K40" t="inlineStr">
        <is>
          <t>Ekvádor</t>
        </is>
      </c>
      <c r="L40" t="inlineStr">
        <is>
          <t>Ecuador</t>
        </is>
      </c>
      <c r="M40" t="inlineStr">
        <is>
          <t>Ecuador</t>
        </is>
      </c>
      <c r="N40" t="inlineStr">
        <is>
          <t>Equateur</t>
        </is>
      </c>
      <c r="O40" t="inlineStr">
        <is>
          <t>Equateur</t>
        </is>
      </c>
      <c r="P40" t="inlineStr">
        <is>
          <t>ᲔᲙᲕᲐᲓᲝᲠᲘ</t>
        </is>
      </c>
      <c r="Q40" t="inlineStr">
        <is>
          <t>Ecuador</t>
        </is>
      </c>
      <c r="R40" t="inlineStr">
        <is>
          <t>Εκουαδόρ</t>
        </is>
      </c>
      <c r="S40" t="inlineStr">
        <is>
          <t>אקוודור</t>
        </is>
      </c>
      <c r="T40" t="inlineStr">
        <is>
          <t>Ecuador</t>
        </is>
      </c>
      <c r="U40" t="inlineStr">
        <is>
          <t>Ekuador</t>
        </is>
      </c>
      <c r="V40" t="inlineStr">
        <is>
          <t>Ekvador</t>
        </is>
      </c>
      <c r="W40" t="inlineStr">
        <is>
          <t>Ecuador</t>
        </is>
      </c>
      <c r="X40" t="inlineStr">
        <is>
          <t>에콰도르</t>
        </is>
      </c>
      <c r="Y40" t="inlineStr">
        <is>
          <t>Ekvadoras</t>
        </is>
      </c>
      <c r="Z40" t="inlineStr">
        <is>
          <t>Еквадор</t>
        </is>
      </c>
      <c r="AA40" t="inlineStr">
        <is>
          <t>Ekwador</t>
        </is>
      </c>
      <c r="AB40" t="inlineStr">
        <is>
          <t>Ecuador</t>
        </is>
      </c>
      <c r="AC40" t="inlineStr">
        <is>
          <t>اکوادور</t>
        </is>
      </c>
      <c r="AD40" t="inlineStr">
        <is>
          <t>Ekwador</t>
        </is>
      </c>
      <c r="AE40" t="inlineStr">
        <is>
          <t>Equador</t>
        </is>
      </c>
      <c r="AF40" t="inlineStr">
        <is>
          <t>Ecuador</t>
        </is>
      </c>
      <c r="AG40" t="inlineStr">
        <is>
          <t>Еквадор</t>
        </is>
      </c>
      <c r="AH40" t="inlineStr">
        <is>
          <t>Ekvádor</t>
        </is>
      </c>
      <c r="AI40" t="inlineStr">
        <is>
          <t>Ekvador</t>
        </is>
      </c>
      <c r="AJ40" t="inlineStr">
        <is>
          <t>Ecuador</t>
        </is>
      </c>
      <c r="AK40" t="inlineStr">
        <is>
          <t>Ecuador</t>
        </is>
      </c>
      <c r="AL40" t="inlineStr">
        <is>
          <t>เอกวาดอร์</t>
        </is>
      </c>
      <c r="AM40" t="inlineStr">
        <is>
          <t>Ekvador</t>
        </is>
      </c>
      <c r="AN40" t="inlineStr">
        <is>
          <t>Ecuador</t>
        </is>
      </c>
      <c r="AO40" t="inlineStr">
        <is>
          <t>Еквадор</t>
        </is>
      </c>
      <c r="AP40" t="inlineStr">
        <is>
          <t>ایکواڈور</t>
        </is>
      </c>
    </row>
    <row r="41">
      <c r="A41" t="inlineStr">
        <is>
          <t>Netherlands</t>
        </is>
      </c>
      <c r="B41" t="inlineStr">
        <is>
          <t>Hollandë</t>
        </is>
      </c>
      <c r="C41" t="inlineStr">
        <is>
          <t>هولندا</t>
        </is>
      </c>
      <c r="D41" t="inlineStr">
        <is>
          <t>Նիդեռլանդներ</t>
        </is>
      </c>
      <c r="E41" t="inlineStr">
        <is>
          <t>Hollandiya</t>
        </is>
      </c>
      <c r="F41" t="inlineStr">
        <is>
          <t>Холандия</t>
        </is>
      </c>
      <c r="G41" t="inlineStr">
        <is>
          <t>Països Baixos</t>
        </is>
      </c>
      <c r="H41" t="inlineStr">
        <is>
          <t>荷兰</t>
        </is>
      </c>
      <c r="I41" t="inlineStr">
        <is>
          <t>荷蘭</t>
        </is>
      </c>
      <c r="J41" t="inlineStr">
        <is>
          <t>Nizozemska</t>
        </is>
      </c>
      <c r="K41" t="inlineStr">
        <is>
          <t>Holandsko</t>
        </is>
      </c>
      <c r="L41" t="inlineStr">
        <is>
          <t>Holland</t>
        </is>
      </c>
      <c r="M41" t="inlineStr">
        <is>
          <t>Nederland</t>
        </is>
      </c>
      <c r="N41" t="inlineStr">
        <is>
          <t>Pays-Bas</t>
        </is>
      </c>
      <c r="O41" t="inlineStr">
        <is>
          <t>Pays-Bas</t>
        </is>
      </c>
      <c r="P41" t="inlineStr">
        <is>
          <t>ᲜᲘᲓᲔᲠᲚᲐᲜᲓᲔᲑᲘ</t>
        </is>
      </c>
      <c r="Q41" t="inlineStr">
        <is>
          <t>Niederlande</t>
        </is>
      </c>
      <c r="R41" t="inlineStr">
        <is>
          <t>Ολλανδία</t>
        </is>
      </c>
      <c r="S41" t="inlineStr">
        <is>
          <t>הולנד</t>
        </is>
      </c>
      <c r="T41" t="inlineStr">
        <is>
          <t>Hollandia</t>
        </is>
      </c>
      <c r="U41" t="inlineStr">
        <is>
          <t>Belanda</t>
        </is>
      </c>
      <c r="V41" t="inlineStr">
        <is>
          <t>Holland</t>
        </is>
      </c>
      <c r="W41" t="inlineStr">
        <is>
          <t>Olanda</t>
        </is>
      </c>
      <c r="X41" t="inlineStr">
        <is>
          <t>네덜란드</t>
        </is>
      </c>
      <c r="Y41" t="inlineStr">
        <is>
          <t>Nyderlandai</t>
        </is>
      </c>
      <c r="Z41" t="inlineStr">
        <is>
          <t>Холандија</t>
        </is>
      </c>
      <c r="AA41" t="inlineStr">
        <is>
          <t>Olanda</t>
        </is>
      </c>
      <c r="AB41" t="inlineStr">
        <is>
          <t>Nederland</t>
        </is>
      </c>
      <c r="AC41" t="inlineStr">
        <is>
          <t>هلند</t>
        </is>
      </c>
      <c r="AD41" t="inlineStr">
        <is>
          <t>Holandia</t>
        </is>
      </c>
      <c r="AE41" t="inlineStr">
        <is>
          <t>Holanda</t>
        </is>
      </c>
      <c r="AF41" t="inlineStr">
        <is>
          <t>Olanda</t>
        </is>
      </c>
      <c r="AG41" t="inlineStr">
        <is>
          <t>Низоземска</t>
        </is>
      </c>
      <c r="AH41" t="inlineStr">
        <is>
          <t>Holandsko</t>
        </is>
      </c>
      <c r="AI41" t="inlineStr">
        <is>
          <t>Nizozemska</t>
        </is>
      </c>
      <c r="AJ41" t="inlineStr">
        <is>
          <t>Países Bajos</t>
        </is>
      </c>
      <c r="AK41" t="inlineStr">
        <is>
          <t>Nederländska</t>
        </is>
      </c>
      <c r="AL41" t="inlineStr">
        <is>
          <t>เนเธอร์แลนด์</t>
        </is>
      </c>
      <c r="AM41" t="inlineStr">
        <is>
          <t>Hollanda</t>
        </is>
      </c>
      <c r="AN41" t="inlineStr">
        <is>
          <t>NướC Hà Lan</t>
        </is>
      </c>
      <c r="AO41" t="inlineStr">
        <is>
          <t>Нідерланди</t>
        </is>
      </c>
      <c r="AP41" t="inlineStr">
        <is>
          <t>نیدرلینڈز</t>
        </is>
      </c>
    </row>
    <row r="42">
      <c r="A42" t="inlineStr">
        <is>
          <t>England</t>
        </is>
      </c>
      <c r="B42" t="inlineStr">
        <is>
          <t>Angli</t>
        </is>
      </c>
      <c r="C42" t="inlineStr">
        <is>
          <t>انجلترا</t>
        </is>
      </c>
      <c r="D42" t="inlineStr">
        <is>
          <t>Անգլիա</t>
        </is>
      </c>
      <c r="E42" t="inlineStr">
        <is>
          <t>İngiltərə</t>
        </is>
      </c>
      <c r="F42" t="inlineStr">
        <is>
          <t>Англия</t>
        </is>
      </c>
      <c r="G42" t="inlineStr">
        <is>
          <t>Anglaterra</t>
        </is>
      </c>
      <c r="H42" t="inlineStr">
        <is>
          <t>英国</t>
        </is>
      </c>
      <c r="I42" t="inlineStr">
        <is>
          <t>英國</t>
        </is>
      </c>
      <c r="J42" t="inlineStr">
        <is>
          <t>Engleska</t>
        </is>
      </c>
      <c r="K42" t="inlineStr">
        <is>
          <t>Anglie</t>
        </is>
      </c>
      <c r="L42" t="inlineStr">
        <is>
          <t>England</t>
        </is>
      </c>
      <c r="M42" t="inlineStr">
        <is>
          <t>Engeland</t>
        </is>
      </c>
      <c r="N42" t="inlineStr">
        <is>
          <t>England</t>
        </is>
      </c>
      <c r="O42" t="inlineStr">
        <is>
          <t>Angleterre</t>
        </is>
      </c>
      <c r="P42" t="inlineStr">
        <is>
          <t>ინგლისი</t>
        </is>
      </c>
      <c r="Q42" t="inlineStr">
        <is>
          <t>England</t>
        </is>
      </c>
      <c r="R42" t="inlineStr">
        <is>
          <t>Αγγλία</t>
        </is>
      </c>
      <c r="S42" t="inlineStr">
        <is>
          <t>אנגליה</t>
        </is>
      </c>
      <c r="T42" t="inlineStr">
        <is>
          <t>Anglia</t>
        </is>
      </c>
      <c r="U42" t="inlineStr">
        <is>
          <t>Inggris</t>
        </is>
      </c>
      <c r="V42" t="inlineStr">
        <is>
          <t>England</t>
        </is>
      </c>
      <c r="W42" t="inlineStr">
        <is>
          <t>Inghilterra</t>
        </is>
      </c>
      <c r="X42" t="inlineStr">
        <is>
          <t>영국</t>
        </is>
      </c>
      <c r="Y42" t="inlineStr">
        <is>
          <t>Anglija</t>
        </is>
      </c>
      <c r="Z42" t="inlineStr">
        <is>
          <t>Англија</t>
        </is>
      </c>
      <c r="AA42" t="inlineStr">
        <is>
          <t>Ingilterra</t>
        </is>
      </c>
      <c r="AB42" t="inlineStr">
        <is>
          <t>England</t>
        </is>
      </c>
      <c r="AC42" t="inlineStr">
        <is>
          <t>انگلستان</t>
        </is>
      </c>
      <c r="AD42" t="inlineStr">
        <is>
          <t>Anglia</t>
        </is>
      </c>
      <c r="AE42" t="inlineStr">
        <is>
          <t>Inglaterra</t>
        </is>
      </c>
      <c r="AF42" t="inlineStr">
        <is>
          <t>Anglia</t>
        </is>
      </c>
      <c r="AG42" t="inlineStr">
        <is>
          <t>Енглеска</t>
        </is>
      </c>
      <c r="AH42" t="inlineStr">
        <is>
          <t>Anglicko</t>
        </is>
      </c>
      <c r="AI42" t="inlineStr">
        <is>
          <t>Anglija</t>
        </is>
      </c>
      <c r="AJ42" t="inlineStr">
        <is>
          <t>Inglaterra</t>
        </is>
      </c>
      <c r="AK42" t="inlineStr">
        <is>
          <t>England</t>
        </is>
      </c>
      <c r="AL42" t="inlineStr">
        <is>
          <t>อังกฤษ</t>
        </is>
      </c>
      <c r="AM42" t="inlineStr">
        <is>
          <t>İngiltere</t>
        </is>
      </c>
      <c r="AN42" t="inlineStr">
        <is>
          <t>Anh</t>
        </is>
      </c>
      <c r="AO42" t="inlineStr">
        <is>
          <t>Англія</t>
        </is>
      </c>
      <c r="AP42" t="inlineStr">
        <is>
          <t>انگلینڈ</t>
        </is>
      </c>
    </row>
    <row r="43">
      <c r="A43" t="inlineStr">
        <is>
          <t>Iran</t>
        </is>
      </c>
      <c r="B43" t="inlineStr">
        <is>
          <t>Iran</t>
        </is>
      </c>
      <c r="C43" t="inlineStr">
        <is>
          <t>ايران</t>
        </is>
      </c>
      <c r="D43" t="inlineStr">
        <is>
          <t>Իրան</t>
        </is>
      </c>
      <c r="E43" t="inlineStr">
        <is>
          <t>İran</t>
        </is>
      </c>
      <c r="F43" t="inlineStr">
        <is>
          <t>Иран</t>
        </is>
      </c>
      <c r="G43" t="inlineStr">
        <is>
          <t>Iran</t>
        </is>
      </c>
      <c r="H43" t="inlineStr">
        <is>
          <t>伊朗</t>
        </is>
      </c>
      <c r="I43" t="inlineStr">
        <is>
          <t>伊朗</t>
        </is>
      </c>
      <c r="J43" t="inlineStr">
        <is>
          <t>Iran</t>
        </is>
      </c>
      <c r="K43" t="inlineStr">
        <is>
          <t>Írán</t>
        </is>
      </c>
      <c r="L43" t="inlineStr">
        <is>
          <t>Iran</t>
        </is>
      </c>
      <c r="M43" t="inlineStr">
        <is>
          <t>Iran</t>
        </is>
      </c>
      <c r="N43" t="inlineStr">
        <is>
          <t>Iran</t>
        </is>
      </c>
      <c r="O43" t="inlineStr">
        <is>
          <t>Iran</t>
        </is>
      </c>
      <c r="P43" t="inlineStr">
        <is>
          <t>ირანის</t>
        </is>
      </c>
      <c r="Q43" t="inlineStr">
        <is>
          <t>Iran</t>
        </is>
      </c>
      <c r="R43" t="inlineStr">
        <is>
          <t>Ιράν</t>
        </is>
      </c>
      <c r="S43" t="inlineStr">
        <is>
          <t>אירן</t>
        </is>
      </c>
      <c r="T43" t="inlineStr">
        <is>
          <t>Irán</t>
        </is>
      </c>
      <c r="U43" t="inlineStr">
        <is>
          <t>Iran</t>
        </is>
      </c>
      <c r="V43" t="inlineStr">
        <is>
          <t>Íran</t>
        </is>
      </c>
      <c r="W43" t="inlineStr">
        <is>
          <t>Iran</t>
        </is>
      </c>
      <c r="X43" t="inlineStr">
        <is>
          <t>이란</t>
        </is>
      </c>
      <c r="Y43" t="inlineStr">
        <is>
          <t>Iranas</t>
        </is>
      </c>
      <c r="Z43" t="inlineStr">
        <is>
          <t>Иран</t>
        </is>
      </c>
      <c r="AA43" t="inlineStr">
        <is>
          <t>Iran</t>
        </is>
      </c>
      <c r="AB43" t="inlineStr">
        <is>
          <t>Iran</t>
        </is>
      </c>
      <c r="AC43" t="inlineStr">
        <is>
          <t>ایران</t>
        </is>
      </c>
      <c r="AD43" t="inlineStr">
        <is>
          <t>Iran</t>
        </is>
      </c>
      <c r="AE43" t="inlineStr">
        <is>
          <t>Irã</t>
        </is>
      </c>
      <c r="AF43" t="inlineStr">
        <is>
          <t>Iran</t>
        </is>
      </c>
      <c r="AG43" t="inlineStr">
        <is>
          <t>Иран</t>
        </is>
      </c>
      <c r="AH43" t="inlineStr">
        <is>
          <t>Irán</t>
        </is>
      </c>
      <c r="AI43" t="inlineStr">
        <is>
          <t>Iran</t>
        </is>
      </c>
      <c r="AJ43" t="inlineStr">
        <is>
          <t>Irán</t>
        </is>
      </c>
      <c r="AK43" t="inlineStr">
        <is>
          <t>Iran</t>
        </is>
      </c>
      <c r="AL43" t="inlineStr">
        <is>
          <t>อิหร่าน</t>
        </is>
      </c>
      <c r="AM43" t="inlineStr">
        <is>
          <t>İran</t>
        </is>
      </c>
      <c r="AN43" t="inlineStr">
        <is>
          <t>Iran</t>
        </is>
      </c>
      <c r="AO43" t="inlineStr">
        <is>
          <t>Іран</t>
        </is>
      </c>
      <c r="AP43" t="inlineStr">
        <is>
          <t>ایران</t>
        </is>
      </c>
    </row>
    <row r="44">
      <c r="A44" t="inlineStr">
        <is>
          <t>United States</t>
        </is>
      </c>
      <c r="B44" t="inlineStr">
        <is>
          <t>Shtetet E Bashkuara</t>
        </is>
      </c>
      <c r="C44" t="inlineStr">
        <is>
          <t>الولايات المتحدة</t>
        </is>
      </c>
      <c r="D44" t="inlineStr">
        <is>
          <t>Միացյալ Նահանգներ</t>
        </is>
      </c>
      <c r="E44" t="inlineStr">
        <is>
          <t>Amerika BirləŞmiş Ştatları</t>
        </is>
      </c>
      <c r="F44" t="inlineStr">
        <is>
          <t>Съединени Щати</t>
        </is>
      </c>
      <c r="G44" t="inlineStr">
        <is>
          <t>Estats Units</t>
        </is>
      </c>
      <c r="H44" t="inlineStr">
        <is>
          <t>美国</t>
        </is>
      </c>
      <c r="I44" t="inlineStr">
        <is>
          <t>美國</t>
        </is>
      </c>
      <c r="J44" t="inlineStr">
        <is>
          <t>Ujedinjene Države</t>
        </is>
      </c>
      <c r="K44" t="inlineStr">
        <is>
          <t>Spojené Státy</t>
        </is>
      </c>
      <c r="L44" t="inlineStr">
        <is>
          <t>Forenede Stater</t>
        </is>
      </c>
      <c r="M44" t="inlineStr">
        <is>
          <t>Verenigde Staten</t>
        </is>
      </c>
      <c r="N44" t="inlineStr">
        <is>
          <t>États-Unis</t>
        </is>
      </c>
      <c r="O44" t="inlineStr">
        <is>
          <t>États-Unis</t>
        </is>
      </c>
      <c r="P44" t="inlineStr">
        <is>
          <t>ᲨᲔᲔᲠᲗᲔᲑᲣᲚᲘ ᲨᲢᲐᲢᲔᲑᲘ</t>
        </is>
      </c>
      <c r="Q44" t="inlineStr">
        <is>
          <t>Vereinigte Staaten</t>
        </is>
      </c>
      <c r="R44" t="inlineStr">
        <is>
          <t>Ηνωμένες Πολιτείες</t>
        </is>
      </c>
      <c r="S44" t="inlineStr">
        <is>
          <t>ארצות הברית</t>
        </is>
      </c>
      <c r="T44" t="inlineStr">
        <is>
          <t>Egyesült Államok</t>
        </is>
      </c>
      <c r="U44" t="inlineStr">
        <is>
          <t>Amerika Serikat</t>
        </is>
      </c>
      <c r="V44" t="inlineStr">
        <is>
          <t>Bandaríkin</t>
        </is>
      </c>
      <c r="W44" t="inlineStr">
        <is>
          <t>Stati Uniti</t>
        </is>
      </c>
      <c r="X44" t="inlineStr">
        <is>
          <t>미국</t>
        </is>
      </c>
      <c r="Y44" t="inlineStr">
        <is>
          <t>Jungtinės Valstijos</t>
        </is>
      </c>
      <c r="Z44" t="inlineStr">
        <is>
          <t>Соединети Држави</t>
        </is>
      </c>
      <c r="AA44" t="inlineStr">
        <is>
          <t>Stati Uniti</t>
        </is>
      </c>
      <c r="AB44" t="inlineStr">
        <is>
          <t>USA</t>
        </is>
      </c>
      <c r="AC44" t="inlineStr">
        <is>
          <t>ایالات متحده</t>
        </is>
      </c>
      <c r="AD44" t="inlineStr">
        <is>
          <t>Stany Zjednoczone</t>
        </is>
      </c>
      <c r="AE44" t="inlineStr">
        <is>
          <t>Estados Unidos</t>
        </is>
      </c>
      <c r="AF44" t="inlineStr">
        <is>
          <t>Statele Unite</t>
        </is>
      </c>
      <c r="AG44" t="inlineStr">
        <is>
          <t>Америка</t>
        </is>
      </c>
      <c r="AH44" t="inlineStr">
        <is>
          <t>Spojené Štáty</t>
        </is>
      </c>
      <c r="AI44" t="inlineStr">
        <is>
          <t>Združene Države</t>
        </is>
      </c>
      <c r="AJ44" t="inlineStr">
        <is>
          <t>Estados Unidos</t>
        </is>
      </c>
      <c r="AK44" t="inlineStr">
        <is>
          <t>Förenta Staterna</t>
        </is>
      </c>
      <c r="AL44" t="inlineStr">
        <is>
          <t>สหรัฐ</t>
        </is>
      </c>
      <c r="AM44" t="inlineStr">
        <is>
          <t>Amerika Birleşik Devletleri</t>
        </is>
      </c>
      <c r="AN44" t="inlineStr">
        <is>
          <t>Hoa Kỳ</t>
        </is>
      </c>
      <c r="AO44" t="inlineStr">
        <is>
          <t>Сполучені Штати</t>
        </is>
      </c>
      <c r="AP44" t="inlineStr">
        <is>
          <t>ریاستہائے متحدہ</t>
        </is>
      </c>
    </row>
    <row r="45">
      <c r="A45" t="inlineStr">
        <is>
          <t>Wales</t>
        </is>
      </c>
      <c r="B45" t="inlineStr">
        <is>
          <t>Uells</t>
        </is>
      </c>
      <c r="C45" t="inlineStr">
        <is>
          <t>ويلز</t>
        </is>
      </c>
      <c r="D45" t="inlineStr">
        <is>
          <t>Ուելս</t>
        </is>
      </c>
      <c r="E45" t="inlineStr">
        <is>
          <t>Uels</t>
        </is>
      </c>
      <c r="F45" t="inlineStr">
        <is>
          <t>Уелс</t>
        </is>
      </c>
      <c r="G45" t="inlineStr">
        <is>
          <t>Gal·Les</t>
        </is>
      </c>
      <c r="H45" t="inlineStr">
        <is>
          <t>威尔士</t>
        </is>
      </c>
      <c r="I45" t="inlineStr">
        <is>
          <t>威爾士</t>
        </is>
      </c>
      <c r="J45" t="inlineStr">
        <is>
          <t>Wales</t>
        </is>
      </c>
      <c r="K45" t="inlineStr">
        <is>
          <t>Wales</t>
        </is>
      </c>
      <c r="L45" t="inlineStr">
        <is>
          <t>Wales</t>
        </is>
      </c>
      <c r="M45" t="inlineStr">
        <is>
          <t>Wales</t>
        </is>
      </c>
      <c r="N45" t="inlineStr">
        <is>
          <t>Pays De Galles</t>
        </is>
      </c>
      <c r="O45" t="inlineStr">
        <is>
          <t>Pays De Galles</t>
        </is>
      </c>
      <c r="P45" t="inlineStr">
        <is>
          <t>ᲣᲔᲚᲡᲘ</t>
        </is>
      </c>
      <c r="Q45" t="inlineStr">
        <is>
          <t>Wales</t>
        </is>
      </c>
      <c r="R45" t="inlineStr">
        <is>
          <t>Ουαλία</t>
        </is>
      </c>
      <c r="S45" t="inlineStr">
        <is>
          <t>וויילס</t>
        </is>
      </c>
      <c r="T45" t="inlineStr">
        <is>
          <t>Wales</t>
        </is>
      </c>
      <c r="U45" t="inlineStr">
        <is>
          <t>Wales</t>
        </is>
      </c>
      <c r="V45" t="inlineStr">
        <is>
          <t>Wales</t>
        </is>
      </c>
      <c r="W45" t="inlineStr">
        <is>
          <t>Galles</t>
        </is>
      </c>
      <c r="X45" t="inlineStr">
        <is>
          <t>웨일즈</t>
        </is>
      </c>
      <c r="Y45" t="inlineStr">
        <is>
          <t>Velsas</t>
        </is>
      </c>
      <c r="Z45" t="inlineStr">
        <is>
          <t>Велс</t>
        </is>
      </c>
      <c r="AA45" t="inlineStr">
        <is>
          <t>Wales</t>
        </is>
      </c>
      <c r="AB45" t="inlineStr">
        <is>
          <t>Wales</t>
        </is>
      </c>
      <c r="AC45" t="inlineStr">
        <is>
          <t>ولز</t>
        </is>
      </c>
      <c r="AD45" t="inlineStr">
        <is>
          <t>Walia</t>
        </is>
      </c>
      <c r="AE45" t="inlineStr">
        <is>
          <t>Gales</t>
        </is>
      </c>
      <c r="AF45" t="inlineStr">
        <is>
          <t>Țara Galilor</t>
        </is>
      </c>
      <c r="AG45" t="inlineStr">
        <is>
          <t>Веллес</t>
        </is>
      </c>
      <c r="AH45" t="inlineStr">
        <is>
          <t>Wales</t>
        </is>
      </c>
      <c r="AI45" t="inlineStr">
        <is>
          <t>Wales</t>
        </is>
      </c>
      <c r="AJ45" t="inlineStr">
        <is>
          <t>Gales</t>
        </is>
      </c>
      <c r="AK45" t="inlineStr">
        <is>
          <t>Wales</t>
        </is>
      </c>
      <c r="AL45" t="inlineStr">
        <is>
          <t>เวลส์</t>
        </is>
      </c>
      <c r="AM45" t="inlineStr">
        <is>
          <t>Galler</t>
        </is>
      </c>
      <c r="AN45" t="inlineStr">
        <is>
          <t>Xứ Wales</t>
        </is>
      </c>
      <c r="AO45" t="inlineStr">
        <is>
          <t>Уельс</t>
        </is>
      </c>
      <c r="AP45" t="inlineStr">
        <is>
          <t>ویلز</t>
        </is>
      </c>
    </row>
    <row r="46">
      <c r="A46" t="inlineStr">
        <is>
          <t>Argentina</t>
        </is>
      </c>
      <c r="B46" t="inlineStr">
        <is>
          <t>Argjentinë</t>
        </is>
      </c>
      <c r="C46" t="inlineStr">
        <is>
          <t>الأرجنتين</t>
        </is>
      </c>
      <c r="D46" t="inlineStr">
        <is>
          <t>Արգենտինա</t>
        </is>
      </c>
      <c r="E46" t="inlineStr">
        <is>
          <t>Argentina</t>
        </is>
      </c>
      <c r="F46" t="inlineStr">
        <is>
          <t>Аржентина</t>
        </is>
      </c>
      <c r="G46" t="inlineStr">
        <is>
          <t>Argentina</t>
        </is>
      </c>
      <c r="H46" t="inlineStr">
        <is>
          <t>阿根廷</t>
        </is>
      </c>
      <c r="I46" t="inlineStr">
        <is>
          <t>阿根廷</t>
        </is>
      </c>
      <c r="J46" t="inlineStr">
        <is>
          <t>Argentina</t>
        </is>
      </c>
      <c r="K46" t="inlineStr">
        <is>
          <t>Argentina</t>
        </is>
      </c>
      <c r="L46" t="inlineStr">
        <is>
          <t>Argentina</t>
        </is>
      </c>
      <c r="M46" t="inlineStr">
        <is>
          <t>Argentinië</t>
        </is>
      </c>
      <c r="N46" t="inlineStr">
        <is>
          <t>Argentina</t>
        </is>
      </c>
      <c r="O46" t="inlineStr">
        <is>
          <t>Argentine</t>
        </is>
      </c>
      <c r="P46" t="inlineStr">
        <is>
          <t>არგენტინის</t>
        </is>
      </c>
      <c r="Q46" t="inlineStr">
        <is>
          <t>Argentinien</t>
        </is>
      </c>
      <c r="R46" t="inlineStr">
        <is>
          <t>Αργεντινή</t>
        </is>
      </c>
      <c r="S46" t="inlineStr">
        <is>
          <t>ארגנטינה</t>
        </is>
      </c>
      <c r="T46" t="inlineStr">
        <is>
          <t>Argentína</t>
        </is>
      </c>
      <c r="U46" t="inlineStr">
        <is>
          <t>Argentina</t>
        </is>
      </c>
      <c r="V46" t="inlineStr">
        <is>
          <t>Argentina</t>
        </is>
      </c>
      <c r="W46" t="inlineStr">
        <is>
          <t>Argentina</t>
        </is>
      </c>
      <c r="X46" t="inlineStr">
        <is>
          <t>아르헨티나</t>
        </is>
      </c>
      <c r="Y46" t="inlineStr">
        <is>
          <t>Argentina</t>
        </is>
      </c>
      <c r="Z46" t="inlineStr">
        <is>
          <t>Аргентина</t>
        </is>
      </c>
      <c r="AA46" t="inlineStr">
        <is>
          <t>Arġentina</t>
        </is>
      </c>
      <c r="AB46" t="inlineStr">
        <is>
          <t>Argentina</t>
        </is>
      </c>
      <c r="AC46" t="inlineStr">
        <is>
          <t>آرژانتین</t>
        </is>
      </c>
      <c r="AD46" t="inlineStr">
        <is>
          <t>Argentyna</t>
        </is>
      </c>
      <c r="AE46" t="inlineStr">
        <is>
          <t>Argentina</t>
        </is>
      </c>
      <c r="AF46" t="inlineStr">
        <is>
          <t>Argentina</t>
        </is>
      </c>
      <c r="AG46" t="inlineStr">
        <is>
          <t>Аргентина</t>
        </is>
      </c>
      <c r="AH46" t="inlineStr">
        <is>
          <t>Argentína</t>
        </is>
      </c>
      <c r="AI46" t="inlineStr">
        <is>
          <t>Argentina</t>
        </is>
      </c>
      <c r="AJ46" t="inlineStr">
        <is>
          <t>Argentina</t>
        </is>
      </c>
      <c r="AK46" t="inlineStr">
        <is>
          <t>Argentina</t>
        </is>
      </c>
      <c r="AL46" t="inlineStr">
        <is>
          <t>อาร์เจนตินา</t>
        </is>
      </c>
      <c r="AM46" t="inlineStr">
        <is>
          <t>Arjantin</t>
        </is>
      </c>
      <c r="AN46" t="inlineStr">
        <is>
          <t>Argentina</t>
        </is>
      </c>
      <c r="AO46" t="inlineStr">
        <is>
          <t>Аргентина</t>
        </is>
      </c>
      <c r="AP46" t="inlineStr">
        <is>
          <t>ارجنٹینا</t>
        </is>
      </c>
    </row>
    <row r="47">
      <c r="A47" t="inlineStr">
        <is>
          <t>Saudi Arabia</t>
        </is>
      </c>
      <c r="B47" t="inlineStr">
        <is>
          <t>Arabia Saudite</t>
        </is>
      </c>
      <c r="C47" t="inlineStr">
        <is>
          <t>المملكة العربية السعودية</t>
        </is>
      </c>
      <c r="D47" t="inlineStr">
        <is>
          <t>Սաուդյան Արաբիան</t>
        </is>
      </c>
      <c r="E47" t="inlineStr">
        <is>
          <t>Səudiyyə Ərəbistanı</t>
        </is>
      </c>
      <c r="F47" t="inlineStr">
        <is>
          <t>Саудитска Арабия</t>
        </is>
      </c>
      <c r="G47" t="inlineStr">
        <is>
          <t>Aràbia Saudita</t>
        </is>
      </c>
      <c r="H47" t="inlineStr">
        <is>
          <t>沙特阿拉伯</t>
        </is>
      </c>
      <c r="I47" t="inlineStr">
        <is>
          <t>沙特阿拉伯</t>
        </is>
      </c>
      <c r="J47" t="inlineStr">
        <is>
          <t>Saudijska Arabija</t>
        </is>
      </c>
      <c r="K47" t="inlineStr">
        <is>
          <t>Saudská arábie</t>
        </is>
      </c>
      <c r="L47" t="inlineStr">
        <is>
          <t>Saudi Arabien</t>
        </is>
      </c>
      <c r="M47" t="inlineStr">
        <is>
          <t>Saoedi-Arabië</t>
        </is>
      </c>
      <c r="N47" t="inlineStr">
        <is>
          <t>Saudi Arabia</t>
        </is>
      </c>
      <c r="O47" t="inlineStr">
        <is>
          <t>Arabie Saoudite</t>
        </is>
      </c>
      <c r="P47" t="inlineStr">
        <is>
          <t>საუდის არაბეთი</t>
        </is>
      </c>
      <c r="Q47" t="inlineStr">
        <is>
          <t>Saudi Arabien</t>
        </is>
      </c>
      <c r="R47" t="inlineStr">
        <is>
          <t>Σαουδική Αραβία</t>
        </is>
      </c>
      <c r="S47" t="inlineStr">
        <is>
          <t>ערב הסעודית</t>
        </is>
      </c>
      <c r="T47" t="inlineStr">
        <is>
          <t>Szaud-Arábia</t>
        </is>
      </c>
      <c r="U47" t="inlineStr">
        <is>
          <t>Arab Saudi</t>
        </is>
      </c>
      <c r="V47" t="inlineStr">
        <is>
          <t>Sádí-Arabía</t>
        </is>
      </c>
      <c r="W47" t="inlineStr">
        <is>
          <t>Arabia Saudita</t>
        </is>
      </c>
      <c r="X47" t="inlineStr">
        <is>
          <t>사우디 아라비아</t>
        </is>
      </c>
      <c r="Y47" t="inlineStr">
        <is>
          <t>Saudo Arabija</t>
        </is>
      </c>
      <c r="Z47" t="inlineStr">
        <is>
          <t>Саудиска Арабија</t>
        </is>
      </c>
      <c r="AA47" t="inlineStr">
        <is>
          <t>Għarabja Sawdita</t>
        </is>
      </c>
      <c r="AB47" t="inlineStr">
        <is>
          <t>Saudi-Arabia</t>
        </is>
      </c>
      <c r="AC47" t="inlineStr">
        <is>
          <t>عربستان سعودی</t>
        </is>
      </c>
      <c r="AD47" t="inlineStr">
        <is>
          <t>Arabia Saudyjska</t>
        </is>
      </c>
      <c r="AE47" t="inlineStr">
        <is>
          <t>Arábia Saudita</t>
        </is>
      </c>
      <c r="AF47" t="inlineStr">
        <is>
          <t>Arabia Saudită</t>
        </is>
      </c>
      <c r="AG47" t="inlineStr">
        <is>
          <t>Саудијска Арабија</t>
        </is>
      </c>
      <c r="AH47" t="inlineStr">
        <is>
          <t>Saudská Arábia</t>
        </is>
      </c>
      <c r="AI47" t="inlineStr">
        <is>
          <t>Savdska Arabija</t>
        </is>
      </c>
      <c r="AJ47" t="inlineStr">
        <is>
          <t>Arabia Saudita</t>
        </is>
      </c>
      <c r="AK47" t="inlineStr">
        <is>
          <t>Saudiarabien</t>
        </is>
      </c>
      <c r="AL47" t="inlineStr">
        <is>
          <t>ซาอุดิอาราเบีย</t>
        </is>
      </c>
      <c r="AM47" t="inlineStr">
        <is>
          <t>Suudi Arabistan</t>
        </is>
      </c>
      <c r="AN47" t="inlineStr">
        <is>
          <t>Ả Rập Xê-út</t>
        </is>
      </c>
      <c r="AO47" t="inlineStr">
        <is>
          <t>Саудівська Аравія</t>
        </is>
      </c>
      <c r="AP47" t="inlineStr">
        <is>
          <t>سعودی عرب</t>
        </is>
      </c>
    </row>
    <row r="48">
      <c r="A48" t="inlineStr">
        <is>
          <t>Mexico</t>
        </is>
      </c>
      <c r="B48" t="inlineStr">
        <is>
          <t>Meksikë</t>
        </is>
      </c>
      <c r="C48" t="inlineStr">
        <is>
          <t>المكسيك</t>
        </is>
      </c>
      <c r="D48" t="inlineStr">
        <is>
          <t>Մեքսիկա</t>
        </is>
      </c>
      <c r="E48" t="inlineStr">
        <is>
          <t>Meksika</t>
        </is>
      </c>
      <c r="F48" t="inlineStr">
        <is>
          <t>Мексико</t>
        </is>
      </c>
      <c r="G48" t="inlineStr">
        <is>
          <t>Mèxic</t>
        </is>
      </c>
      <c r="H48" t="inlineStr">
        <is>
          <t>墨西哥</t>
        </is>
      </c>
      <c r="I48" t="inlineStr">
        <is>
          <t>墨西哥</t>
        </is>
      </c>
      <c r="J48" t="inlineStr">
        <is>
          <t>Meksiko</t>
        </is>
      </c>
      <c r="K48" t="inlineStr">
        <is>
          <t>Mexiko</t>
        </is>
      </c>
      <c r="L48" t="inlineStr">
        <is>
          <t>Mexico</t>
        </is>
      </c>
      <c r="M48" t="inlineStr">
        <is>
          <t>Mexico</t>
        </is>
      </c>
      <c r="N48" t="inlineStr">
        <is>
          <t>Meksiko</t>
        </is>
      </c>
      <c r="O48" t="inlineStr">
        <is>
          <t>Mexique</t>
        </is>
      </c>
      <c r="P48" t="inlineStr">
        <is>
          <t>მექსიკა</t>
        </is>
      </c>
      <c r="Q48" t="inlineStr">
        <is>
          <t>Mexiko</t>
        </is>
      </c>
      <c r="R48" t="inlineStr">
        <is>
          <t>Μεξικό</t>
        </is>
      </c>
      <c r="S48" t="inlineStr">
        <is>
          <t>מקסיקו</t>
        </is>
      </c>
      <c r="T48" t="inlineStr">
        <is>
          <t>Mexikó</t>
        </is>
      </c>
      <c r="U48" t="inlineStr">
        <is>
          <t>Meksiko</t>
        </is>
      </c>
      <c r="V48" t="inlineStr">
        <is>
          <t>Mexico</t>
        </is>
      </c>
      <c r="W48" t="inlineStr">
        <is>
          <t>Messico</t>
        </is>
      </c>
      <c r="X48" t="inlineStr">
        <is>
          <t>멕시코</t>
        </is>
      </c>
      <c r="Y48" t="inlineStr">
        <is>
          <t>Meksika</t>
        </is>
      </c>
      <c r="Z48" t="inlineStr">
        <is>
          <t>Мексико</t>
        </is>
      </c>
      <c r="AA48" t="inlineStr">
        <is>
          <t>Messiku</t>
        </is>
      </c>
      <c r="AB48" t="inlineStr">
        <is>
          <t>Mexico</t>
        </is>
      </c>
      <c r="AC48" t="inlineStr">
        <is>
          <t>مکزیک</t>
        </is>
      </c>
      <c r="AD48" t="inlineStr">
        <is>
          <t>Meksyk</t>
        </is>
      </c>
      <c r="AE48" t="inlineStr">
        <is>
          <t>México</t>
        </is>
      </c>
      <c r="AF48" t="inlineStr">
        <is>
          <t>Mexic</t>
        </is>
      </c>
      <c r="AG48" t="inlineStr">
        <is>
          <t>Мексико</t>
        </is>
      </c>
      <c r="AH48" t="inlineStr">
        <is>
          <t>Mexiko</t>
        </is>
      </c>
      <c r="AI48" t="inlineStr">
        <is>
          <t>mexico</t>
        </is>
      </c>
      <c r="AJ48" t="inlineStr">
        <is>
          <t>México</t>
        </is>
      </c>
      <c r="AK48" t="inlineStr">
        <is>
          <t>Mexiko</t>
        </is>
      </c>
      <c r="AL48" t="inlineStr">
        <is>
          <t>ประเทศเม็กซิโก</t>
        </is>
      </c>
      <c r="AM48" t="inlineStr">
        <is>
          <t>Meksika</t>
        </is>
      </c>
      <c r="AN48" t="inlineStr">
        <is>
          <t>Mexico</t>
        </is>
      </c>
      <c r="AO48" t="inlineStr">
        <is>
          <t>Мексика</t>
        </is>
      </c>
      <c r="AP48" t="inlineStr">
        <is>
          <t>میکسیکو</t>
        </is>
      </c>
    </row>
    <row r="49">
      <c r="A49" t="inlineStr">
        <is>
          <t>Poland</t>
        </is>
      </c>
      <c r="B49" t="inlineStr">
        <is>
          <t>Poloni</t>
        </is>
      </c>
      <c r="C49" t="inlineStr">
        <is>
          <t>بولندا</t>
        </is>
      </c>
      <c r="D49" t="inlineStr">
        <is>
          <t>Լեհաստան</t>
        </is>
      </c>
      <c r="E49" t="inlineStr">
        <is>
          <t>Polşa</t>
        </is>
      </c>
      <c r="F49" t="inlineStr">
        <is>
          <t>Полша</t>
        </is>
      </c>
      <c r="G49" t="inlineStr">
        <is>
          <t>Polònia</t>
        </is>
      </c>
      <c r="H49" t="inlineStr">
        <is>
          <t>波兰</t>
        </is>
      </c>
      <c r="I49" t="inlineStr">
        <is>
          <t>波蘭</t>
        </is>
      </c>
      <c r="J49" t="inlineStr">
        <is>
          <t>Poljska</t>
        </is>
      </c>
      <c r="K49" t="inlineStr">
        <is>
          <t>Polsko</t>
        </is>
      </c>
      <c r="L49" t="inlineStr">
        <is>
          <t>Polen</t>
        </is>
      </c>
      <c r="M49" t="inlineStr">
        <is>
          <t>Polen</t>
        </is>
      </c>
      <c r="N49" t="inlineStr">
        <is>
          <t>PÓland</t>
        </is>
      </c>
      <c r="O49" t="inlineStr">
        <is>
          <t>Pologne</t>
        </is>
      </c>
      <c r="P49" t="inlineStr">
        <is>
          <t>პოლონეთი</t>
        </is>
      </c>
      <c r="Q49" t="inlineStr">
        <is>
          <t>Polen</t>
        </is>
      </c>
      <c r="R49" t="inlineStr">
        <is>
          <t>Πολωνία</t>
        </is>
      </c>
      <c r="S49" t="inlineStr">
        <is>
          <t>פּוֹלִין</t>
        </is>
      </c>
      <c r="T49" t="inlineStr">
        <is>
          <t>Lengyelország</t>
        </is>
      </c>
      <c r="U49" t="inlineStr">
        <is>
          <t>Polandia</t>
        </is>
      </c>
      <c r="V49" t="inlineStr">
        <is>
          <t>Poland</t>
        </is>
      </c>
      <c r="W49" t="inlineStr">
        <is>
          <t>Polonia</t>
        </is>
      </c>
      <c r="X49" t="inlineStr">
        <is>
          <t>폴란드</t>
        </is>
      </c>
      <c r="Y49" t="inlineStr">
        <is>
          <t>Lenkija</t>
        </is>
      </c>
      <c r="Z49" t="inlineStr">
        <is>
          <t>Полска</t>
        </is>
      </c>
      <c r="AA49" t="inlineStr">
        <is>
          <t>Polonja</t>
        </is>
      </c>
      <c r="AB49" t="inlineStr">
        <is>
          <t>Polen</t>
        </is>
      </c>
      <c r="AC49" t="inlineStr">
        <is>
          <t>لهستان</t>
        </is>
      </c>
      <c r="AD49" t="inlineStr">
        <is>
          <t>Polska</t>
        </is>
      </c>
      <c r="AE49" t="inlineStr">
        <is>
          <t>Polônia</t>
        </is>
      </c>
      <c r="AF49" t="inlineStr">
        <is>
          <t>Polonia</t>
        </is>
      </c>
      <c r="AG49" t="inlineStr">
        <is>
          <t>Пољска</t>
        </is>
      </c>
      <c r="AH49" t="inlineStr">
        <is>
          <t>Poľsko</t>
        </is>
      </c>
      <c r="AI49" t="inlineStr">
        <is>
          <t>Poljska</t>
        </is>
      </c>
      <c r="AJ49" t="inlineStr">
        <is>
          <t>Polonia</t>
        </is>
      </c>
      <c r="AK49" t="inlineStr">
        <is>
          <t>polen</t>
        </is>
      </c>
      <c r="AL49" t="inlineStr">
        <is>
          <t>โปแลนด์</t>
        </is>
      </c>
      <c r="AM49" t="inlineStr">
        <is>
          <t>Polonya</t>
        </is>
      </c>
      <c r="AN49" t="inlineStr">
        <is>
          <t>Ba Lan</t>
        </is>
      </c>
      <c r="AO49" t="inlineStr">
        <is>
          <t>Польща</t>
        </is>
      </c>
      <c r="AP49" t="inlineStr">
        <is>
          <t>پولینڈ</t>
        </is>
      </c>
    </row>
    <row r="50">
      <c r="A50" t="inlineStr">
        <is>
          <t>France</t>
        </is>
      </c>
      <c r="B50" t="inlineStr">
        <is>
          <t>Francë</t>
        </is>
      </c>
      <c r="C50" t="inlineStr">
        <is>
          <t>فرنسا</t>
        </is>
      </c>
      <c r="D50" t="inlineStr">
        <is>
          <t>Ֆրանսիա</t>
        </is>
      </c>
      <c r="E50" t="inlineStr">
        <is>
          <t>Fransa</t>
        </is>
      </c>
      <c r="F50" t="inlineStr">
        <is>
          <t>Франция</t>
        </is>
      </c>
      <c r="G50" t="inlineStr">
        <is>
          <t>França</t>
        </is>
      </c>
      <c r="H50" t="inlineStr">
        <is>
          <t>法国</t>
        </is>
      </c>
      <c r="I50" t="inlineStr">
        <is>
          <t>法國</t>
        </is>
      </c>
      <c r="J50" t="inlineStr">
        <is>
          <t>Francuska</t>
        </is>
      </c>
      <c r="K50" t="inlineStr">
        <is>
          <t>Francie</t>
        </is>
      </c>
      <c r="L50" t="inlineStr">
        <is>
          <t>Frankrig</t>
        </is>
      </c>
      <c r="M50" t="inlineStr">
        <is>
          <t>Frankrijk</t>
        </is>
      </c>
      <c r="N50" t="inlineStr">
        <is>
          <t>Frankaríki</t>
        </is>
      </c>
      <c r="O50" t="inlineStr">
        <is>
          <t>France</t>
        </is>
      </c>
      <c r="P50" t="inlineStr">
        <is>
          <t>საფრანგეთი</t>
        </is>
      </c>
      <c r="Q50" t="inlineStr">
        <is>
          <t>Frankreich</t>
        </is>
      </c>
      <c r="R50" t="inlineStr">
        <is>
          <t>Γαλλία</t>
        </is>
      </c>
      <c r="S50" t="inlineStr">
        <is>
          <t>צרפת</t>
        </is>
      </c>
      <c r="T50" t="inlineStr">
        <is>
          <t>Franciaország</t>
        </is>
      </c>
      <c r="U50" t="inlineStr">
        <is>
          <t>Perancis</t>
        </is>
      </c>
      <c r="V50" t="inlineStr">
        <is>
          <t>France</t>
        </is>
      </c>
      <c r="W50" t="inlineStr">
        <is>
          <t>Francia</t>
        </is>
      </c>
      <c r="X50" t="inlineStr">
        <is>
          <t>프랑스</t>
        </is>
      </c>
      <c r="Y50" t="inlineStr">
        <is>
          <t>Prancūzija</t>
        </is>
      </c>
      <c r="Z50" t="inlineStr">
        <is>
          <t>Франција</t>
        </is>
      </c>
      <c r="AA50" t="inlineStr">
        <is>
          <t>Franza</t>
        </is>
      </c>
      <c r="AB50" t="inlineStr">
        <is>
          <t>Frankrike</t>
        </is>
      </c>
      <c r="AC50" t="inlineStr">
        <is>
          <t>فرانسه</t>
        </is>
      </c>
      <c r="AD50" t="inlineStr">
        <is>
          <t>Francja</t>
        </is>
      </c>
      <c r="AE50" t="inlineStr">
        <is>
          <t>França</t>
        </is>
      </c>
      <c r="AF50" t="inlineStr">
        <is>
          <t>Franța</t>
        </is>
      </c>
      <c r="AG50" t="inlineStr">
        <is>
          <t>Француска</t>
        </is>
      </c>
      <c r="AH50" t="inlineStr">
        <is>
          <t>Francúzsko</t>
        </is>
      </c>
      <c r="AI50" t="inlineStr">
        <is>
          <t>France</t>
        </is>
      </c>
      <c r="AJ50" t="inlineStr">
        <is>
          <t>Francia</t>
        </is>
      </c>
      <c r="AK50" t="inlineStr">
        <is>
          <t>Frankrike</t>
        </is>
      </c>
      <c r="AL50" t="inlineStr">
        <is>
          <t>ฝรั่งเศส</t>
        </is>
      </c>
      <c r="AM50" t="inlineStr">
        <is>
          <t>Fransa</t>
        </is>
      </c>
      <c r="AN50" t="inlineStr">
        <is>
          <t>Pháp</t>
        </is>
      </c>
      <c r="AO50" t="inlineStr">
        <is>
          <t>Франція</t>
        </is>
      </c>
      <c r="AP50" t="inlineStr">
        <is>
          <t>فرانس</t>
        </is>
      </c>
    </row>
    <row r="51">
      <c r="A51" t="inlineStr">
        <is>
          <t>Australia</t>
        </is>
      </c>
      <c r="B51" t="inlineStr">
        <is>
          <t>Australi</t>
        </is>
      </c>
      <c r="C51" t="inlineStr">
        <is>
          <t>أستراليا</t>
        </is>
      </c>
      <c r="D51" t="inlineStr">
        <is>
          <t>Ավստրալիա</t>
        </is>
      </c>
      <c r="E51" t="inlineStr">
        <is>
          <t>Avstraliya</t>
        </is>
      </c>
      <c r="F51" t="inlineStr">
        <is>
          <t>Австралия</t>
        </is>
      </c>
      <c r="G51" t="inlineStr">
        <is>
          <t>Austràlia</t>
        </is>
      </c>
      <c r="H51" t="inlineStr">
        <is>
          <t>澳大利亚</t>
        </is>
      </c>
      <c r="I51" t="inlineStr">
        <is>
          <t>澳大利亞</t>
        </is>
      </c>
      <c r="J51" t="inlineStr">
        <is>
          <t>Australija</t>
        </is>
      </c>
      <c r="K51" t="inlineStr">
        <is>
          <t>Austrálie</t>
        </is>
      </c>
      <c r="L51" t="inlineStr">
        <is>
          <t>Australien</t>
        </is>
      </c>
      <c r="M51" t="inlineStr">
        <is>
          <t>Australië</t>
        </is>
      </c>
      <c r="N51" t="inlineStr">
        <is>
          <t>Australia</t>
        </is>
      </c>
      <c r="O51" t="inlineStr">
        <is>
          <t>Australie</t>
        </is>
      </c>
      <c r="P51" t="inlineStr">
        <is>
          <t>ავსტრალიაში</t>
        </is>
      </c>
      <c r="Q51" t="inlineStr">
        <is>
          <t>Australien</t>
        </is>
      </c>
      <c r="R51" t="inlineStr">
        <is>
          <t>Αυστραλία</t>
        </is>
      </c>
      <c r="S51" t="inlineStr">
        <is>
          <t>אוסטרליה</t>
        </is>
      </c>
      <c r="T51" t="inlineStr">
        <is>
          <t>Ausztrália</t>
        </is>
      </c>
      <c r="U51" t="inlineStr">
        <is>
          <t>Australia</t>
        </is>
      </c>
      <c r="V51" t="inlineStr">
        <is>
          <t>Australia</t>
        </is>
      </c>
      <c r="W51" t="inlineStr">
        <is>
          <t>Australia</t>
        </is>
      </c>
      <c r="X51" t="inlineStr">
        <is>
          <t>호주</t>
        </is>
      </c>
      <c r="Y51" t="inlineStr">
        <is>
          <t>Australija</t>
        </is>
      </c>
      <c r="Z51" t="inlineStr">
        <is>
          <t>Австралија</t>
        </is>
      </c>
      <c r="AA51" t="inlineStr">
        <is>
          <t>Awstralja</t>
        </is>
      </c>
      <c r="AB51" t="inlineStr">
        <is>
          <t>Australia</t>
        </is>
      </c>
      <c r="AC51" t="inlineStr">
        <is>
          <t>استرالیا</t>
        </is>
      </c>
      <c r="AD51" t="inlineStr">
        <is>
          <t>Australia</t>
        </is>
      </c>
      <c r="AE51" t="inlineStr">
        <is>
          <t>Austrália</t>
        </is>
      </c>
      <c r="AF51" t="inlineStr">
        <is>
          <t>Australia</t>
        </is>
      </c>
      <c r="AG51" t="inlineStr">
        <is>
          <t>Аустралија</t>
        </is>
      </c>
      <c r="AH51" t="inlineStr">
        <is>
          <t>Austrália</t>
        </is>
      </c>
      <c r="AI51" t="inlineStr">
        <is>
          <t>Avstralija</t>
        </is>
      </c>
      <c r="AJ51" t="inlineStr">
        <is>
          <t>Australia</t>
        </is>
      </c>
      <c r="AK51" t="inlineStr">
        <is>
          <t>Australien</t>
        </is>
      </c>
      <c r="AL51" t="inlineStr">
        <is>
          <t>ออสเตรเลีย</t>
        </is>
      </c>
      <c r="AM51" t="inlineStr">
        <is>
          <t>Avustralya</t>
        </is>
      </c>
      <c r="AN51" t="inlineStr">
        <is>
          <t>Úc</t>
        </is>
      </c>
      <c r="AO51" t="inlineStr">
        <is>
          <t>Австралія</t>
        </is>
      </c>
      <c r="AP51" t="inlineStr">
        <is>
          <t>آسٹریلیا</t>
        </is>
      </c>
    </row>
    <row r="52">
      <c r="A52" t="inlineStr">
        <is>
          <t>Denmark</t>
        </is>
      </c>
      <c r="B52" t="inlineStr">
        <is>
          <t>Danimarkë</t>
        </is>
      </c>
      <c r="C52" t="inlineStr">
        <is>
          <t>الدنمارك</t>
        </is>
      </c>
      <c r="D52" t="inlineStr">
        <is>
          <t>Դանիա</t>
        </is>
      </c>
      <c r="E52" t="inlineStr">
        <is>
          <t>Danimarka</t>
        </is>
      </c>
      <c r="F52" t="inlineStr">
        <is>
          <t>Дания</t>
        </is>
      </c>
      <c r="G52" t="inlineStr">
        <is>
          <t>Dinamarca</t>
        </is>
      </c>
      <c r="H52" t="inlineStr">
        <is>
          <t>丹麦</t>
        </is>
      </c>
      <c r="I52" t="inlineStr">
        <is>
          <t>丹麥</t>
        </is>
      </c>
      <c r="J52" t="inlineStr">
        <is>
          <t>Danska</t>
        </is>
      </c>
      <c r="K52" t="inlineStr">
        <is>
          <t>Dánsko</t>
        </is>
      </c>
      <c r="L52" t="inlineStr">
        <is>
          <t>Danmark</t>
        </is>
      </c>
      <c r="M52" t="inlineStr">
        <is>
          <t>Denemarken</t>
        </is>
      </c>
      <c r="N52" t="inlineStr">
        <is>
          <t>Danmark</t>
        </is>
      </c>
      <c r="O52" t="inlineStr">
        <is>
          <t>Danemark</t>
        </is>
      </c>
      <c r="P52" t="inlineStr">
        <is>
          <t>დანია</t>
        </is>
      </c>
      <c r="Q52" t="inlineStr">
        <is>
          <t>Dänemark</t>
        </is>
      </c>
      <c r="R52" t="inlineStr">
        <is>
          <t>Δανία</t>
        </is>
      </c>
      <c r="S52" t="inlineStr">
        <is>
          <t>דנמרק</t>
        </is>
      </c>
      <c r="T52" t="inlineStr">
        <is>
          <t>Dánia</t>
        </is>
      </c>
      <c r="U52" t="inlineStr">
        <is>
          <t>Denmark</t>
        </is>
      </c>
      <c r="V52" t="inlineStr">
        <is>
          <t>Denmark</t>
        </is>
      </c>
      <c r="W52" t="inlineStr">
        <is>
          <t>Danimarca</t>
        </is>
      </c>
      <c r="X52" t="inlineStr">
        <is>
          <t>덴마크</t>
        </is>
      </c>
      <c r="Y52" t="inlineStr">
        <is>
          <t>Danija</t>
        </is>
      </c>
      <c r="Z52" t="inlineStr">
        <is>
          <t>Данска</t>
        </is>
      </c>
      <c r="AA52" t="inlineStr">
        <is>
          <t>Danimarka</t>
        </is>
      </c>
      <c r="AB52" t="inlineStr">
        <is>
          <t>Danmark</t>
        </is>
      </c>
      <c r="AC52" t="inlineStr">
        <is>
          <t>دانمارک</t>
        </is>
      </c>
      <c r="AD52" t="inlineStr">
        <is>
          <t>Dania</t>
        </is>
      </c>
      <c r="AE52" t="inlineStr">
        <is>
          <t>Dinamarca</t>
        </is>
      </c>
      <c r="AF52" t="inlineStr">
        <is>
          <t>Danemarca</t>
        </is>
      </c>
      <c r="AG52" t="inlineStr">
        <is>
          <t>Данска</t>
        </is>
      </c>
      <c r="AH52" t="inlineStr">
        <is>
          <t>Dánsko</t>
        </is>
      </c>
      <c r="AI52" t="inlineStr">
        <is>
          <t>Danska</t>
        </is>
      </c>
      <c r="AJ52" t="inlineStr">
        <is>
          <t>Dinamarca</t>
        </is>
      </c>
      <c r="AK52" t="inlineStr">
        <is>
          <t>Danmark</t>
        </is>
      </c>
      <c r="AL52" t="inlineStr">
        <is>
          <t>เดนมาร์ก</t>
        </is>
      </c>
      <c r="AM52" t="inlineStr">
        <is>
          <t>Danimarka</t>
        </is>
      </c>
      <c r="AN52" t="inlineStr">
        <is>
          <t>Đan mạch</t>
        </is>
      </c>
      <c r="AO52" t="inlineStr">
        <is>
          <t>Данія</t>
        </is>
      </c>
      <c r="AP52" t="inlineStr">
        <is>
          <t>ڈنمارک</t>
        </is>
      </c>
    </row>
    <row r="53">
      <c r="A53" t="inlineStr">
        <is>
          <t>Tunisia</t>
        </is>
      </c>
      <c r="B53" t="inlineStr">
        <is>
          <t>Tunizi</t>
        </is>
      </c>
      <c r="C53" t="inlineStr">
        <is>
          <t>تونس</t>
        </is>
      </c>
      <c r="D53" t="inlineStr">
        <is>
          <t>Թունիս</t>
        </is>
      </c>
      <c r="E53" t="inlineStr">
        <is>
          <t>Tunis</t>
        </is>
      </c>
      <c r="F53" t="inlineStr">
        <is>
          <t>Тунис</t>
        </is>
      </c>
      <c r="G53" t="inlineStr">
        <is>
          <t>Tunísia</t>
        </is>
      </c>
      <c r="H53" t="inlineStr">
        <is>
          <t>突尼斯</t>
        </is>
      </c>
      <c r="I53" t="inlineStr">
        <is>
          <t>突尼斯</t>
        </is>
      </c>
      <c r="J53" t="inlineStr">
        <is>
          <t>Tunis</t>
        </is>
      </c>
      <c r="K53" t="inlineStr">
        <is>
          <t>Tunisko</t>
        </is>
      </c>
      <c r="L53" t="inlineStr">
        <is>
          <t>Tunesien</t>
        </is>
      </c>
      <c r="M53" t="inlineStr">
        <is>
          <t>Tunesië</t>
        </is>
      </c>
      <c r="N53" t="inlineStr">
        <is>
          <t>Tunesia</t>
        </is>
      </c>
      <c r="O53" t="inlineStr">
        <is>
          <t>Tunisie</t>
        </is>
      </c>
      <c r="P53" t="inlineStr">
        <is>
          <t>ტუნისში</t>
        </is>
      </c>
      <c r="Q53" t="inlineStr">
        <is>
          <t>Tunesien</t>
        </is>
      </c>
      <c r="R53" t="inlineStr">
        <is>
          <t>Τυνησία</t>
        </is>
      </c>
      <c r="S53" t="inlineStr">
        <is>
          <t>תוניסיה</t>
        </is>
      </c>
      <c r="T53" t="inlineStr">
        <is>
          <t>Tunézia</t>
        </is>
      </c>
      <c r="U53" t="inlineStr">
        <is>
          <t>Tunisia</t>
        </is>
      </c>
      <c r="V53" t="inlineStr">
        <is>
          <t>Túnis</t>
        </is>
      </c>
      <c r="W53" t="inlineStr">
        <is>
          <t>Tunisia</t>
        </is>
      </c>
      <c r="X53" t="inlineStr">
        <is>
          <t>튀니지</t>
        </is>
      </c>
      <c r="Y53" t="inlineStr">
        <is>
          <t>Tunisas</t>
        </is>
      </c>
      <c r="Z53" t="inlineStr">
        <is>
          <t>Тунис</t>
        </is>
      </c>
      <c r="AA53" t="inlineStr">
        <is>
          <t>Tuneżija</t>
        </is>
      </c>
      <c r="AB53" t="inlineStr">
        <is>
          <t>Tunisia</t>
        </is>
      </c>
      <c r="AC53" t="inlineStr">
        <is>
          <t>تونس</t>
        </is>
      </c>
      <c r="AD53" t="inlineStr">
        <is>
          <t>Tunezja</t>
        </is>
      </c>
      <c r="AE53" t="inlineStr">
        <is>
          <t>Tunísia</t>
        </is>
      </c>
      <c r="AF53" t="inlineStr">
        <is>
          <t>Tunisia</t>
        </is>
      </c>
      <c r="AG53" t="inlineStr">
        <is>
          <t>Тунис</t>
        </is>
      </c>
      <c r="AH53" t="inlineStr">
        <is>
          <t>Tunisko</t>
        </is>
      </c>
      <c r="AI53" t="inlineStr">
        <is>
          <t>Tunizija</t>
        </is>
      </c>
      <c r="AJ53" t="inlineStr">
        <is>
          <t>Túnez</t>
        </is>
      </c>
      <c r="AK53" t="inlineStr">
        <is>
          <t>Tunisien</t>
        </is>
      </c>
      <c r="AL53" t="inlineStr">
        <is>
          <t>ตูนิเซีย</t>
        </is>
      </c>
      <c r="AM53" t="inlineStr">
        <is>
          <t>Tunus</t>
        </is>
      </c>
      <c r="AN53" t="inlineStr">
        <is>
          <t>Tunisia</t>
        </is>
      </c>
      <c r="AO53" t="inlineStr">
        <is>
          <t>Туніс</t>
        </is>
      </c>
      <c r="AP53" t="inlineStr">
        <is>
          <t>تیونس</t>
        </is>
      </c>
    </row>
    <row r="54">
      <c r="A54" t="inlineStr">
        <is>
          <t>Spain</t>
        </is>
      </c>
      <c r="B54" t="inlineStr">
        <is>
          <t>Spanjë</t>
        </is>
      </c>
      <c r="C54" t="inlineStr">
        <is>
          <t>إسبانيا</t>
        </is>
      </c>
      <c r="D54" t="inlineStr">
        <is>
          <t>Իսպանիա</t>
        </is>
      </c>
      <c r="E54" t="inlineStr">
        <is>
          <t>İspaniya</t>
        </is>
      </c>
      <c r="F54" t="inlineStr">
        <is>
          <t>Испания</t>
        </is>
      </c>
      <c r="G54" t="inlineStr">
        <is>
          <t>Espanya</t>
        </is>
      </c>
      <c r="H54" t="inlineStr">
        <is>
          <t>西班牙</t>
        </is>
      </c>
      <c r="I54" t="inlineStr">
        <is>
          <t>西班牙</t>
        </is>
      </c>
      <c r="J54" t="inlineStr">
        <is>
          <t>Španjolska</t>
        </is>
      </c>
      <c r="K54" t="inlineStr">
        <is>
          <t>Španělsko</t>
        </is>
      </c>
      <c r="L54" t="inlineStr">
        <is>
          <t>Spanien</t>
        </is>
      </c>
      <c r="M54" t="inlineStr">
        <is>
          <t>Spanje</t>
        </is>
      </c>
      <c r="N54" t="inlineStr">
        <is>
          <t>Spanien</t>
        </is>
      </c>
      <c r="O54" t="inlineStr">
        <is>
          <t>Espagne</t>
        </is>
      </c>
      <c r="P54" t="inlineStr">
        <is>
          <t>ესპანეთში</t>
        </is>
      </c>
      <c r="Q54" t="inlineStr">
        <is>
          <t>Spanien</t>
        </is>
      </c>
      <c r="R54" t="inlineStr">
        <is>
          <t>Ισπανία</t>
        </is>
      </c>
      <c r="S54" t="inlineStr">
        <is>
          <t>ספרד</t>
        </is>
      </c>
      <c r="T54" t="inlineStr">
        <is>
          <t>Spanyolország</t>
        </is>
      </c>
      <c r="U54" t="inlineStr">
        <is>
          <t>Spanyol</t>
        </is>
      </c>
      <c r="V54" t="inlineStr">
        <is>
          <t>spain</t>
        </is>
      </c>
      <c r="W54" t="inlineStr">
        <is>
          <t>Spagna</t>
        </is>
      </c>
      <c r="X54" t="inlineStr">
        <is>
          <t>스페인</t>
        </is>
      </c>
      <c r="Y54" t="inlineStr">
        <is>
          <t>Ispanija</t>
        </is>
      </c>
      <c r="Z54" t="inlineStr">
        <is>
          <t>Шпанија</t>
        </is>
      </c>
      <c r="AA54" t="inlineStr">
        <is>
          <t>Spanja</t>
        </is>
      </c>
      <c r="AB54" t="inlineStr">
        <is>
          <t>Spania</t>
        </is>
      </c>
      <c r="AC54" t="inlineStr">
        <is>
          <t>کشور اسپانیا</t>
        </is>
      </c>
      <c r="AD54" t="inlineStr">
        <is>
          <t>Hiszpania</t>
        </is>
      </c>
      <c r="AE54" t="inlineStr">
        <is>
          <t>Espanha</t>
        </is>
      </c>
      <c r="AF54" t="inlineStr">
        <is>
          <t>Spania</t>
        </is>
      </c>
      <c r="AG54" t="inlineStr">
        <is>
          <t>Шпанија</t>
        </is>
      </c>
      <c r="AH54" t="inlineStr">
        <is>
          <t>španielsko</t>
        </is>
      </c>
      <c r="AI54" t="inlineStr">
        <is>
          <t>Španija</t>
        </is>
      </c>
      <c r="AJ54" t="inlineStr">
        <is>
          <t>España</t>
        </is>
      </c>
      <c r="AK54" t="inlineStr">
        <is>
          <t>Spanien</t>
        </is>
      </c>
      <c r="AL54" t="inlineStr">
        <is>
          <t>สเปน</t>
        </is>
      </c>
      <c r="AM54" t="inlineStr">
        <is>
          <t>İspanya</t>
        </is>
      </c>
      <c r="AN54" t="inlineStr">
        <is>
          <t>Tây ban nha</t>
        </is>
      </c>
      <c r="AO54" t="inlineStr">
        <is>
          <t>Іспанія</t>
        </is>
      </c>
      <c r="AP54" t="inlineStr">
        <is>
          <t>سپین</t>
        </is>
      </c>
    </row>
    <row r="55">
      <c r="A55" t="inlineStr">
        <is>
          <t>Costa Rica</t>
        </is>
      </c>
      <c r="B55" t="inlineStr">
        <is>
          <t>Kostarikë</t>
        </is>
      </c>
      <c r="C55" t="inlineStr">
        <is>
          <t>كوستاريكا</t>
        </is>
      </c>
      <c r="D55" t="inlineStr">
        <is>
          <t>Կոստա - Ռիկա</t>
        </is>
      </c>
      <c r="E55" t="inlineStr">
        <is>
          <t>Costa Rica</t>
        </is>
      </c>
      <c r="F55" t="inlineStr">
        <is>
          <t>Costa Rica</t>
        </is>
      </c>
      <c r="G55" t="inlineStr">
        <is>
          <t>Costa Rica</t>
        </is>
      </c>
      <c r="H55" t="inlineStr">
        <is>
          <t>哥斯达黎加</t>
        </is>
      </c>
      <c r="I55" t="inlineStr">
        <is>
          <t>哥斯達黎加</t>
        </is>
      </c>
      <c r="J55" t="inlineStr">
        <is>
          <t>Kostarika</t>
        </is>
      </c>
      <c r="K55" t="inlineStr">
        <is>
          <t>Kostarika</t>
        </is>
      </c>
      <c r="L55" t="inlineStr">
        <is>
          <t>Costa Rica</t>
        </is>
      </c>
      <c r="M55" t="inlineStr">
        <is>
          <t>Costa Rica</t>
        </is>
      </c>
      <c r="N55" t="inlineStr">
        <is>
          <t>Kosta Rika</t>
        </is>
      </c>
      <c r="O55" t="inlineStr">
        <is>
          <t>Costa Rica</t>
        </is>
      </c>
      <c r="P55" t="inlineStr">
        <is>
          <t>კოსტა რიკის</t>
        </is>
      </c>
      <c r="Q55" t="inlineStr">
        <is>
          <t>Costa Rica</t>
        </is>
      </c>
      <c r="R55" t="inlineStr">
        <is>
          <t>Κόστα Ρίκα</t>
        </is>
      </c>
      <c r="S55" t="inlineStr">
        <is>
          <t>קוסטה ריקה</t>
        </is>
      </c>
      <c r="T55" t="inlineStr">
        <is>
          <t>Costa Rica</t>
        </is>
      </c>
      <c r="U55" t="inlineStr">
        <is>
          <t>Kosta Rika</t>
        </is>
      </c>
      <c r="V55" t="inlineStr">
        <is>
          <t>Costa Rica</t>
        </is>
      </c>
      <c r="W55" t="inlineStr">
        <is>
          <t>Costarica</t>
        </is>
      </c>
      <c r="X55" t="inlineStr">
        <is>
          <t>코스타리카</t>
        </is>
      </c>
      <c r="Y55" t="inlineStr">
        <is>
          <t>Kosta Rika</t>
        </is>
      </c>
      <c r="Z55" t="inlineStr">
        <is>
          <t>Коста Рика</t>
        </is>
      </c>
      <c r="AA55" t="inlineStr">
        <is>
          <t>Costa Rica</t>
        </is>
      </c>
      <c r="AB55" t="inlineStr">
        <is>
          <t>Costa Rica</t>
        </is>
      </c>
      <c r="AC55" t="inlineStr">
        <is>
          <t>کاستاریکا</t>
        </is>
      </c>
      <c r="AD55" t="inlineStr">
        <is>
          <t>Kostaryka</t>
        </is>
      </c>
      <c r="AE55" t="inlineStr">
        <is>
          <t>Costa Rica</t>
        </is>
      </c>
      <c r="AF55" t="inlineStr">
        <is>
          <t>Costa Rica</t>
        </is>
      </c>
      <c r="AG55" t="inlineStr">
        <is>
          <t>Костарика</t>
        </is>
      </c>
      <c r="AH55" t="inlineStr">
        <is>
          <t>Kostarika</t>
        </is>
      </c>
      <c r="AI55" t="inlineStr">
        <is>
          <t>Costa Rica</t>
        </is>
      </c>
      <c r="AJ55" t="inlineStr">
        <is>
          <t>Costa Rica</t>
        </is>
      </c>
      <c r="AK55" t="inlineStr">
        <is>
          <t>COSTA RICA</t>
        </is>
      </c>
      <c r="AL55" t="inlineStr">
        <is>
          <t>คอสตาริกา</t>
        </is>
      </c>
      <c r="AM55" t="inlineStr">
        <is>
          <t>Kostarika</t>
        </is>
      </c>
      <c r="AN55" t="inlineStr">
        <is>
          <t>Costa Rica</t>
        </is>
      </c>
      <c r="AO55" t="inlineStr">
        <is>
          <t>Коста -Ріка</t>
        </is>
      </c>
      <c r="AP55" t="inlineStr">
        <is>
          <t>کوسٹا ریکا</t>
        </is>
      </c>
    </row>
    <row r="56">
      <c r="A56" t="inlineStr">
        <is>
          <t>Germany</t>
        </is>
      </c>
      <c r="B56" t="inlineStr">
        <is>
          <t>Gjermani</t>
        </is>
      </c>
      <c r="C56" t="inlineStr">
        <is>
          <t>ألمانيا</t>
        </is>
      </c>
      <c r="D56" t="inlineStr">
        <is>
          <t>Գերմանիա</t>
        </is>
      </c>
      <c r="E56" t="inlineStr">
        <is>
          <t>Almaniya</t>
        </is>
      </c>
      <c r="F56" t="inlineStr">
        <is>
          <t>Германия</t>
        </is>
      </c>
      <c r="G56" t="inlineStr">
        <is>
          <t>Alemanya</t>
        </is>
      </c>
      <c r="H56" t="inlineStr">
        <is>
          <t>德国</t>
        </is>
      </c>
      <c r="I56" t="inlineStr">
        <is>
          <t>德國</t>
        </is>
      </c>
      <c r="J56" t="inlineStr">
        <is>
          <t>Njemačka</t>
        </is>
      </c>
      <c r="K56" t="inlineStr">
        <is>
          <t>Německo</t>
        </is>
      </c>
      <c r="L56" t="inlineStr">
        <is>
          <t>Tyskland</t>
        </is>
      </c>
      <c r="M56" t="inlineStr">
        <is>
          <t>Duitsland</t>
        </is>
      </c>
      <c r="N56" t="inlineStr">
        <is>
          <t>Týskland</t>
        </is>
      </c>
      <c r="O56" t="inlineStr">
        <is>
          <t>Allemagne</t>
        </is>
      </c>
      <c r="P56" t="inlineStr">
        <is>
          <t>გერმანია</t>
        </is>
      </c>
      <c r="Q56" t="inlineStr">
        <is>
          <t>Deutschland</t>
        </is>
      </c>
      <c r="R56" t="inlineStr">
        <is>
          <t>Γερμανία</t>
        </is>
      </c>
      <c r="S56" t="inlineStr">
        <is>
          <t>גרמניה</t>
        </is>
      </c>
      <c r="T56" t="inlineStr">
        <is>
          <t>Németország</t>
        </is>
      </c>
      <c r="U56" t="inlineStr">
        <is>
          <t>Jerman</t>
        </is>
      </c>
      <c r="V56" t="inlineStr">
        <is>
          <t>Þýskaland</t>
        </is>
      </c>
      <c r="W56" t="inlineStr">
        <is>
          <t>Germania</t>
        </is>
      </c>
      <c r="X56" t="inlineStr">
        <is>
          <t>독일</t>
        </is>
      </c>
      <c r="Y56" t="inlineStr">
        <is>
          <t>Vokietija</t>
        </is>
      </c>
      <c r="Z56" t="inlineStr">
        <is>
          <t>Германија</t>
        </is>
      </c>
      <c r="AA56" t="inlineStr">
        <is>
          <t>Ġermanja</t>
        </is>
      </c>
      <c r="AB56" t="inlineStr">
        <is>
          <t>Tyskland</t>
        </is>
      </c>
      <c r="AC56" t="inlineStr">
        <is>
          <t>آلمان</t>
        </is>
      </c>
      <c r="AD56" t="inlineStr">
        <is>
          <t>Niemcy</t>
        </is>
      </c>
      <c r="AE56" t="inlineStr">
        <is>
          <t>Alemanha</t>
        </is>
      </c>
      <c r="AF56" t="inlineStr">
        <is>
          <t>Germania</t>
        </is>
      </c>
      <c r="AG56" t="inlineStr">
        <is>
          <t>Немачка</t>
        </is>
      </c>
      <c r="AH56" t="inlineStr">
        <is>
          <t>Nemecko</t>
        </is>
      </c>
      <c r="AI56" t="inlineStr">
        <is>
          <t>Nemčija</t>
        </is>
      </c>
      <c r="AJ56" t="inlineStr">
        <is>
          <t>Alemania</t>
        </is>
      </c>
      <c r="AK56" t="inlineStr">
        <is>
          <t>Tyskland</t>
        </is>
      </c>
      <c r="AL56" t="inlineStr">
        <is>
          <t>ประเทศเยอรมัน</t>
        </is>
      </c>
      <c r="AM56" t="inlineStr">
        <is>
          <t>Almanya</t>
        </is>
      </c>
      <c r="AN56" t="inlineStr">
        <is>
          <t>Đức</t>
        </is>
      </c>
      <c r="AO56" t="inlineStr">
        <is>
          <t>Німеччина</t>
        </is>
      </c>
      <c r="AP56" t="inlineStr">
        <is>
          <t>جرمنی</t>
        </is>
      </c>
    </row>
    <row r="57">
      <c r="A57" t="inlineStr">
        <is>
          <t>Japan</t>
        </is>
      </c>
      <c r="B57" t="inlineStr">
        <is>
          <t>Japonia</t>
        </is>
      </c>
      <c r="C57" t="inlineStr">
        <is>
          <t>اليابان</t>
        </is>
      </c>
      <c r="D57" t="inlineStr">
        <is>
          <t>Ճապոնիա</t>
        </is>
      </c>
      <c r="E57" t="inlineStr">
        <is>
          <t>Yaponiya</t>
        </is>
      </c>
      <c r="F57" t="inlineStr">
        <is>
          <t>Япония</t>
        </is>
      </c>
      <c r="G57" t="inlineStr">
        <is>
          <t>Japó</t>
        </is>
      </c>
      <c r="H57" t="inlineStr">
        <is>
          <t>日本</t>
        </is>
      </c>
      <c r="I57" t="inlineStr">
        <is>
          <t>日本</t>
        </is>
      </c>
      <c r="J57" t="inlineStr">
        <is>
          <t>Japan</t>
        </is>
      </c>
      <c r="K57" t="inlineStr">
        <is>
          <t>Japonsko</t>
        </is>
      </c>
      <c r="L57" t="inlineStr">
        <is>
          <t>Japan</t>
        </is>
      </c>
      <c r="M57" t="inlineStr">
        <is>
          <t>Japan</t>
        </is>
      </c>
      <c r="N57" t="inlineStr">
        <is>
          <t>Japan</t>
        </is>
      </c>
      <c r="O57" t="inlineStr">
        <is>
          <t>Japon</t>
        </is>
      </c>
      <c r="P57" t="inlineStr">
        <is>
          <t>იაპონია</t>
        </is>
      </c>
      <c r="Q57" t="inlineStr">
        <is>
          <t>Japan</t>
        </is>
      </c>
      <c r="R57" t="inlineStr">
        <is>
          <t>Ιαπωνία</t>
        </is>
      </c>
      <c r="S57" t="inlineStr">
        <is>
          <t>יפן</t>
        </is>
      </c>
      <c r="T57" t="inlineStr">
        <is>
          <t>Japán</t>
        </is>
      </c>
      <c r="U57" t="inlineStr">
        <is>
          <t>Jepang</t>
        </is>
      </c>
      <c r="V57" t="inlineStr">
        <is>
          <t>Japan</t>
        </is>
      </c>
      <c r="W57" t="inlineStr">
        <is>
          <t>Giappone</t>
        </is>
      </c>
      <c r="X57" t="inlineStr">
        <is>
          <t>일본</t>
        </is>
      </c>
      <c r="Y57" t="inlineStr">
        <is>
          <t>Japonija</t>
        </is>
      </c>
      <c r="Z57" t="inlineStr">
        <is>
          <t>Јапонија</t>
        </is>
      </c>
      <c r="AA57" t="inlineStr">
        <is>
          <t>Ġappun</t>
        </is>
      </c>
      <c r="AB57" t="inlineStr">
        <is>
          <t>Japan</t>
        </is>
      </c>
      <c r="AC57" t="inlineStr">
        <is>
          <t>ژاپن</t>
        </is>
      </c>
      <c r="AD57" t="inlineStr">
        <is>
          <t>Japonia</t>
        </is>
      </c>
      <c r="AE57" t="inlineStr">
        <is>
          <t>Japão</t>
        </is>
      </c>
      <c r="AF57" t="inlineStr">
        <is>
          <t>Japonia</t>
        </is>
      </c>
      <c r="AG57" t="inlineStr">
        <is>
          <t>Japan</t>
        </is>
      </c>
      <c r="AH57" t="inlineStr">
        <is>
          <t>Japonsko</t>
        </is>
      </c>
      <c r="AI57" t="inlineStr">
        <is>
          <t>Japonska</t>
        </is>
      </c>
      <c r="AJ57" t="inlineStr">
        <is>
          <t>Japón</t>
        </is>
      </c>
      <c r="AK57" t="inlineStr">
        <is>
          <t>Japan</t>
        </is>
      </c>
      <c r="AL57" t="inlineStr">
        <is>
          <t>ญี่ปุ่น</t>
        </is>
      </c>
      <c r="AM57" t="inlineStr">
        <is>
          <t>Japonya</t>
        </is>
      </c>
      <c r="AN57" t="inlineStr">
        <is>
          <t>Nhật Bản</t>
        </is>
      </c>
      <c r="AO57" t="inlineStr">
        <is>
          <t>Японія</t>
        </is>
      </c>
      <c r="AP57" t="inlineStr">
        <is>
          <t>جاپان</t>
        </is>
      </c>
    </row>
    <row r="58">
      <c r="A58" t="inlineStr">
        <is>
          <t>Belgium</t>
        </is>
      </c>
      <c r="B58" t="inlineStr">
        <is>
          <t>Belgjikë</t>
        </is>
      </c>
      <c r="C58" t="inlineStr">
        <is>
          <t>بلجيكا</t>
        </is>
      </c>
      <c r="D58" t="inlineStr">
        <is>
          <t>Բելգիա</t>
        </is>
      </c>
      <c r="E58" t="inlineStr">
        <is>
          <t>Belçika</t>
        </is>
      </c>
      <c r="F58" t="inlineStr">
        <is>
          <t>Белгия</t>
        </is>
      </c>
      <c r="G58" t="inlineStr">
        <is>
          <t>Bèlgica</t>
        </is>
      </c>
      <c r="H58" t="inlineStr">
        <is>
          <t>比利时</t>
        </is>
      </c>
      <c r="I58" t="inlineStr">
        <is>
          <t>比利時</t>
        </is>
      </c>
      <c r="J58" t="inlineStr">
        <is>
          <t>Belgija</t>
        </is>
      </c>
      <c r="K58" t="inlineStr">
        <is>
          <t>Belgie</t>
        </is>
      </c>
      <c r="L58" t="inlineStr">
        <is>
          <t>Belgien</t>
        </is>
      </c>
      <c r="M58" t="inlineStr">
        <is>
          <t>België</t>
        </is>
      </c>
      <c r="N58" t="inlineStr">
        <is>
          <t>Belgia</t>
        </is>
      </c>
      <c r="O58" t="inlineStr">
        <is>
          <t>Belgique</t>
        </is>
      </c>
      <c r="P58" t="inlineStr">
        <is>
          <t>ბელგიის</t>
        </is>
      </c>
      <c r="Q58" t="inlineStr">
        <is>
          <t>Belgien</t>
        </is>
      </c>
      <c r="R58" t="inlineStr">
        <is>
          <t>Βέλγιο</t>
        </is>
      </c>
      <c r="S58" t="inlineStr">
        <is>
          <t>בלגיה</t>
        </is>
      </c>
      <c r="T58" t="inlineStr">
        <is>
          <t>Belgium</t>
        </is>
      </c>
      <c r="U58" t="inlineStr">
        <is>
          <t>Belgia</t>
        </is>
      </c>
      <c r="V58" t="inlineStr">
        <is>
          <t>Belgium</t>
        </is>
      </c>
      <c r="W58" t="inlineStr">
        <is>
          <t>Belgio</t>
        </is>
      </c>
      <c r="X58" t="inlineStr">
        <is>
          <t>벨기에</t>
        </is>
      </c>
      <c r="Y58" t="inlineStr">
        <is>
          <t>Belgija</t>
        </is>
      </c>
      <c r="Z58" t="inlineStr">
        <is>
          <t>Белгија</t>
        </is>
      </c>
      <c r="AA58" t="inlineStr">
        <is>
          <t>Belġju</t>
        </is>
      </c>
      <c r="AB58" t="inlineStr">
        <is>
          <t>Belgia</t>
        </is>
      </c>
      <c r="AC58" t="inlineStr">
        <is>
          <t>بلژیک</t>
        </is>
      </c>
      <c r="AD58" t="inlineStr">
        <is>
          <t>Belgia</t>
        </is>
      </c>
      <c r="AE58" t="inlineStr">
        <is>
          <t>Bélgica</t>
        </is>
      </c>
      <c r="AF58" t="inlineStr">
        <is>
          <t>Belgia</t>
        </is>
      </c>
      <c r="AG58" t="inlineStr">
        <is>
          <t>Белгија</t>
        </is>
      </c>
      <c r="AH58" t="inlineStr">
        <is>
          <t>belgicko</t>
        </is>
      </c>
      <c r="AI58" t="inlineStr">
        <is>
          <t>Belgija</t>
        </is>
      </c>
      <c r="AJ58" t="inlineStr">
        <is>
          <t>Bélgica</t>
        </is>
      </c>
      <c r="AK58" t="inlineStr">
        <is>
          <t>Belgien</t>
        </is>
      </c>
      <c r="AL58" t="inlineStr">
        <is>
          <t>เบลเยี่ยม</t>
        </is>
      </c>
      <c r="AM58" t="inlineStr">
        <is>
          <t>Belçika</t>
        </is>
      </c>
      <c r="AN58" t="inlineStr">
        <is>
          <t>Bỉ</t>
        </is>
      </c>
      <c r="AO58" t="inlineStr">
        <is>
          <t>Бельгія</t>
        </is>
      </c>
      <c r="AP58" t="inlineStr">
        <is>
          <t>بیلجئیم</t>
        </is>
      </c>
    </row>
    <row r="59">
      <c r="A59" t="inlineStr">
        <is>
          <t>Canada</t>
        </is>
      </c>
      <c r="B59" t="inlineStr">
        <is>
          <t>Kanada</t>
        </is>
      </c>
      <c r="C59" t="inlineStr">
        <is>
          <t>كندا</t>
        </is>
      </c>
      <c r="D59" t="inlineStr">
        <is>
          <t>Կանադա</t>
        </is>
      </c>
      <c r="E59" t="inlineStr">
        <is>
          <t>Kanada</t>
        </is>
      </c>
      <c r="F59" t="inlineStr">
        <is>
          <t>Канада</t>
        </is>
      </c>
      <c r="G59" t="inlineStr">
        <is>
          <t>Canadà</t>
        </is>
      </c>
      <c r="H59" t="inlineStr">
        <is>
          <t>加拿大</t>
        </is>
      </c>
      <c r="I59" t="inlineStr">
        <is>
          <t>加拿大</t>
        </is>
      </c>
      <c r="J59" t="inlineStr">
        <is>
          <t>Kanada</t>
        </is>
      </c>
      <c r="K59" t="inlineStr">
        <is>
          <t>Kanada</t>
        </is>
      </c>
      <c r="L59" t="inlineStr">
        <is>
          <t>Canada</t>
        </is>
      </c>
      <c r="M59" t="inlineStr">
        <is>
          <t>Canada</t>
        </is>
      </c>
      <c r="N59" t="inlineStr">
        <is>
          <t>Canada</t>
        </is>
      </c>
      <c r="O59" t="inlineStr">
        <is>
          <t>Canada</t>
        </is>
      </c>
      <c r="P59" t="inlineStr">
        <is>
          <t>ᲙᲐᲜᲐᲓᲐ</t>
        </is>
      </c>
      <c r="Q59" t="inlineStr">
        <is>
          <t>Kanada</t>
        </is>
      </c>
      <c r="R59" t="inlineStr">
        <is>
          <t>Καναδάς</t>
        </is>
      </c>
      <c r="S59" t="inlineStr">
        <is>
          <t>קנדה</t>
        </is>
      </c>
      <c r="T59" t="inlineStr">
        <is>
          <t>Kanada</t>
        </is>
      </c>
      <c r="U59" t="inlineStr">
        <is>
          <t>Kanada</t>
        </is>
      </c>
      <c r="V59" t="inlineStr">
        <is>
          <t>Kanada</t>
        </is>
      </c>
      <c r="W59" t="inlineStr">
        <is>
          <t>Canada</t>
        </is>
      </c>
      <c r="X59" t="inlineStr">
        <is>
          <t>캐나다</t>
        </is>
      </c>
      <c r="Y59" t="inlineStr">
        <is>
          <t>Kanada</t>
        </is>
      </c>
      <c r="Z59" t="inlineStr">
        <is>
          <t>Канада</t>
        </is>
      </c>
      <c r="AA59" t="inlineStr">
        <is>
          <t>Kanada</t>
        </is>
      </c>
      <c r="AB59" t="inlineStr">
        <is>
          <t>Canada</t>
        </is>
      </c>
      <c r="AC59" t="inlineStr">
        <is>
          <t>کانادا</t>
        </is>
      </c>
      <c r="AD59" t="inlineStr">
        <is>
          <t>Kanada</t>
        </is>
      </c>
      <c r="AE59" t="inlineStr">
        <is>
          <t>Canadá</t>
        </is>
      </c>
      <c r="AF59" t="inlineStr">
        <is>
          <t>Canada</t>
        </is>
      </c>
      <c r="AG59" t="inlineStr">
        <is>
          <t>Канада</t>
        </is>
      </c>
      <c r="AH59" t="inlineStr">
        <is>
          <t>Kanada</t>
        </is>
      </c>
      <c r="AI59" t="inlineStr">
        <is>
          <t>Kanada</t>
        </is>
      </c>
      <c r="AJ59" t="inlineStr">
        <is>
          <t>Canadá</t>
        </is>
      </c>
      <c r="AK59" t="inlineStr">
        <is>
          <t>Canada</t>
        </is>
      </c>
      <c r="AL59" t="inlineStr">
        <is>
          <t>แคนาดา</t>
        </is>
      </c>
      <c r="AM59" t="inlineStr">
        <is>
          <t>Kanada</t>
        </is>
      </c>
      <c r="AN59" t="inlineStr">
        <is>
          <t>Canada</t>
        </is>
      </c>
      <c r="AO59" t="inlineStr">
        <is>
          <t>Канада</t>
        </is>
      </c>
      <c r="AP59" t="inlineStr">
        <is>
          <t>کینیڈا</t>
        </is>
      </c>
    </row>
    <row r="60">
      <c r="A60" t="inlineStr">
        <is>
          <t>Morocco</t>
        </is>
      </c>
      <c r="B60" t="inlineStr">
        <is>
          <t>Marok</t>
        </is>
      </c>
      <c r="C60" t="inlineStr">
        <is>
          <t>المغرب</t>
        </is>
      </c>
      <c r="D60" t="inlineStr">
        <is>
          <t>սեկ</t>
        </is>
      </c>
      <c r="E60" t="inlineStr">
        <is>
          <t>Mərakeş</t>
        </is>
      </c>
      <c r="F60" t="inlineStr">
        <is>
          <t>Мароко</t>
        </is>
      </c>
      <c r="G60" t="inlineStr">
        <is>
          <t>Marroc</t>
        </is>
      </c>
      <c r="H60" t="inlineStr">
        <is>
          <t>摩洛哥</t>
        </is>
      </c>
      <c r="I60" t="inlineStr">
        <is>
          <t>摩洛哥</t>
        </is>
      </c>
      <c r="J60" t="inlineStr">
        <is>
          <t>Maroko</t>
        </is>
      </c>
      <c r="K60" t="inlineStr">
        <is>
          <t>Maroko</t>
        </is>
      </c>
      <c r="L60" t="inlineStr">
        <is>
          <t>Marokko</t>
        </is>
      </c>
      <c r="M60" t="inlineStr">
        <is>
          <t>Marokko</t>
        </is>
      </c>
      <c r="N60" t="inlineStr">
        <is>
          <t>Marokko</t>
        </is>
      </c>
      <c r="O60" t="inlineStr">
        <is>
          <t>Maroc</t>
        </is>
      </c>
      <c r="P60" t="inlineStr">
        <is>
          <t>მაროკო</t>
        </is>
      </c>
      <c r="Q60" t="inlineStr">
        <is>
          <t>Marokko</t>
        </is>
      </c>
      <c r="R60" t="inlineStr">
        <is>
          <t>Μαρόκο</t>
        </is>
      </c>
      <c r="S60" t="inlineStr">
        <is>
          <t>מָרוֹקוֹ</t>
        </is>
      </c>
      <c r="T60" t="inlineStr">
        <is>
          <t>Marokkó</t>
        </is>
      </c>
      <c r="U60" t="inlineStr">
        <is>
          <t>Maroko</t>
        </is>
      </c>
      <c r="V60" t="inlineStr">
        <is>
          <t>Marokkó</t>
        </is>
      </c>
      <c r="W60" t="inlineStr">
        <is>
          <t>Marocco</t>
        </is>
      </c>
      <c r="X60" t="inlineStr">
        <is>
          <t>모로코</t>
        </is>
      </c>
      <c r="Y60" t="inlineStr">
        <is>
          <t>Marokas</t>
        </is>
      </c>
      <c r="Z60" t="inlineStr">
        <is>
          <t>Мароко</t>
        </is>
      </c>
      <c r="AA60" t="inlineStr">
        <is>
          <t>Marokk</t>
        </is>
      </c>
      <c r="AB60" t="inlineStr">
        <is>
          <t>Marokko</t>
        </is>
      </c>
      <c r="AC60" t="inlineStr">
        <is>
          <t>مراکش</t>
        </is>
      </c>
      <c r="AD60" t="inlineStr">
        <is>
          <t>Maroko</t>
        </is>
      </c>
      <c r="AE60" t="inlineStr">
        <is>
          <t>Marrocos</t>
        </is>
      </c>
      <c r="AF60" t="inlineStr">
        <is>
          <t>Maroc</t>
        </is>
      </c>
      <c r="AG60" t="inlineStr">
        <is>
          <t>Мароко</t>
        </is>
      </c>
      <c r="AH60" t="inlineStr">
        <is>
          <t>Maroko</t>
        </is>
      </c>
      <c r="AI60" t="inlineStr">
        <is>
          <t>Maroko</t>
        </is>
      </c>
      <c r="AJ60" t="inlineStr">
        <is>
          <t>Marruecos</t>
        </is>
      </c>
      <c r="AK60" t="inlineStr">
        <is>
          <t>Marocko</t>
        </is>
      </c>
      <c r="AL60" t="inlineStr">
        <is>
          <t>โมร็อกโก</t>
        </is>
      </c>
      <c r="AM60" t="inlineStr">
        <is>
          <t>Fas</t>
        </is>
      </c>
      <c r="AN60" t="inlineStr">
        <is>
          <t>Morocco</t>
        </is>
      </c>
      <c r="AO60" t="inlineStr">
        <is>
          <t>Марокко</t>
        </is>
      </c>
      <c r="AP60" t="inlineStr">
        <is>
          <t>مراکش</t>
        </is>
      </c>
    </row>
    <row r="61">
      <c r="A61" t="inlineStr">
        <is>
          <t>Croatia</t>
        </is>
      </c>
      <c r="B61" t="inlineStr">
        <is>
          <t>Kroacia</t>
        </is>
      </c>
      <c r="C61" t="inlineStr">
        <is>
          <t>كرواتيا</t>
        </is>
      </c>
      <c r="D61" t="inlineStr">
        <is>
          <t>Խորվաթիա</t>
        </is>
      </c>
      <c r="E61" t="inlineStr">
        <is>
          <t>Xorvatiya</t>
        </is>
      </c>
      <c r="F61" t="inlineStr">
        <is>
          <t>Хърватия</t>
        </is>
      </c>
      <c r="G61" t="inlineStr">
        <is>
          <t>Croàcia</t>
        </is>
      </c>
      <c r="H61" t="inlineStr">
        <is>
          <t>克罗地亚</t>
        </is>
      </c>
      <c r="I61" t="inlineStr">
        <is>
          <t>克羅地亞</t>
        </is>
      </c>
      <c r="J61" t="inlineStr">
        <is>
          <t>Hrvatska</t>
        </is>
      </c>
      <c r="K61" t="inlineStr">
        <is>
          <t>Chorvatsko</t>
        </is>
      </c>
      <c r="L61" t="inlineStr">
        <is>
          <t>Kroatien</t>
        </is>
      </c>
      <c r="M61" t="inlineStr">
        <is>
          <t>Kroatië</t>
        </is>
      </c>
      <c r="N61" t="inlineStr">
        <is>
          <t>Kroatia</t>
        </is>
      </c>
      <c r="O61" t="inlineStr">
        <is>
          <t>Croatie</t>
        </is>
      </c>
      <c r="P61" t="inlineStr">
        <is>
          <t>ხორვატია</t>
        </is>
      </c>
      <c r="Q61" t="inlineStr">
        <is>
          <t>Kroatien</t>
        </is>
      </c>
      <c r="R61" t="inlineStr">
        <is>
          <t>Κροατία</t>
        </is>
      </c>
      <c r="S61" t="inlineStr">
        <is>
          <t>קרואטיה</t>
        </is>
      </c>
      <c r="T61" t="inlineStr">
        <is>
          <t>Horvátország</t>
        </is>
      </c>
      <c r="U61" t="inlineStr">
        <is>
          <t>Kroasia</t>
        </is>
      </c>
      <c r="V61" t="inlineStr">
        <is>
          <t>Croatia</t>
        </is>
      </c>
      <c r="W61" t="inlineStr">
        <is>
          <t>Croazia</t>
        </is>
      </c>
      <c r="X61" t="inlineStr">
        <is>
          <t>크로아티아</t>
        </is>
      </c>
      <c r="Y61" t="inlineStr">
        <is>
          <t>Kroatija</t>
        </is>
      </c>
      <c r="Z61" t="inlineStr">
        <is>
          <t>Хрватска</t>
        </is>
      </c>
      <c r="AA61" t="inlineStr">
        <is>
          <t>Kroazja</t>
        </is>
      </c>
      <c r="AB61" t="inlineStr">
        <is>
          <t>Kroatia</t>
        </is>
      </c>
      <c r="AC61" t="inlineStr">
        <is>
          <t>کرواسی</t>
        </is>
      </c>
      <c r="AD61" t="inlineStr">
        <is>
          <t>Chorwacja</t>
        </is>
      </c>
      <c r="AE61" t="inlineStr">
        <is>
          <t>Croácia</t>
        </is>
      </c>
      <c r="AF61" t="inlineStr">
        <is>
          <t>Croația</t>
        </is>
      </c>
      <c r="AG61" t="inlineStr">
        <is>
          <t>Хрватска</t>
        </is>
      </c>
      <c r="AH61" t="inlineStr">
        <is>
          <t>Chorvátsko</t>
        </is>
      </c>
      <c r="AI61" t="inlineStr">
        <is>
          <t>Hrvaška</t>
        </is>
      </c>
      <c r="AJ61" t="inlineStr">
        <is>
          <t>Croacia</t>
        </is>
      </c>
      <c r="AK61" t="inlineStr">
        <is>
          <t>Kroatien</t>
        </is>
      </c>
      <c r="AL61" t="inlineStr">
        <is>
          <t>โครเอเชีย</t>
        </is>
      </c>
      <c r="AM61" t="inlineStr">
        <is>
          <t>Hırvatistan</t>
        </is>
      </c>
      <c r="AN61" t="inlineStr">
        <is>
          <t>Croatia</t>
        </is>
      </c>
      <c r="AO61" t="inlineStr">
        <is>
          <t>Хорватія</t>
        </is>
      </c>
      <c r="AP61" t="inlineStr">
        <is>
          <t>کروشیا</t>
        </is>
      </c>
    </row>
    <row r="62">
      <c r="A62" t="inlineStr">
        <is>
          <t>Brazil</t>
        </is>
      </c>
      <c r="B62" t="inlineStr">
        <is>
          <t>Brazili</t>
        </is>
      </c>
      <c r="C62" t="inlineStr">
        <is>
          <t>البرازيل</t>
        </is>
      </c>
      <c r="D62" t="inlineStr">
        <is>
          <t>Բրազիլիա</t>
        </is>
      </c>
      <c r="E62" t="inlineStr">
        <is>
          <t>Braziliya</t>
        </is>
      </c>
      <c r="F62" t="inlineStr">
        <is>
          <t>Бразилия</t>
        </is>
      </c>
      <c r="G62" t="inlineStr">
        <is>
          <t>Brasil</t>
        </is>
      </c>
      <c r="H62" t="inlineStr">
        <is>
          <t>巴西</t>
        </is>
      </c>
      <c r="I62" t="inlineStr">
        <is>
          <t>巴西</t>
        </is>
      </c>
      <c r="J62" t="inlineStr">
        <is>
          <t>Brazil</t>
        </is>
      </c>
      <c r="K62" t="inlineStr">
        <is>
          <t>Brazílie</t>
        </is>
      </c>
      <c r="L62" t="inlineStr">
        <is>
          <t>Brasilien</t>
        </is>
      </c>
      <c r="M62" t="inlineStr">
        <is>
          <t>Brazilië</t>
        </is>
      </c>
      <c r="N62" t="inlineStr">
        <is>
          <t>Brasilia</t>
        </is>
      </c>
      <c r="O62" t="inlineStr">
        <is>
          <t>Brésil</t>
        </is>
      </c>
      <c r="P62" t="inlineStr">
        <is>
          <t>ბრაზილია</t>
        </is>
      </c>
      <c r="Q62" t="inlineStr">
        <is>
          <t>Brasilien</t>
        </is>
      </c>
      <c r="R62" t="inlineStr">
        <is>
          <t>Βραζιλία</t>
        </is>
      </c>
      <c r="S62" t="inlineStr">
        <is>
          <t>ברזיל</t>
        </is>
      </c>
      <c r="T62" t="inlineStr">
        <is>
          <t>Brazília</t>
        </is>
      </c>
      <c r="U62" t="inlineStr">
        <is>
          <t>Brazil</t>
        </is>
      </c>
      <c r="V62" t="inlineStr">
        <is>
          <t>Brasilía</t>
        </is>
      </c>
      <c r="W62" t="inlineStr">
        <is>
          <t>Brasile</t>
        </is>
      </c>
      <c r="X62" t="inlineStr">
        <is>
          <t>브라질</t>
        </is>
      </c>
      <c r="Y62" t="inlineStr">
        <is>
          <t>Brazilija</t>
        </is>
      </c>
      <c r="Z62" t="inlineStr">
        <is>
          <t>Бразил</t>
        </is>
      </c>
      <c r="AA62" t="inlineStr">
        <is>
          <t>Brażil</t>
        </is>
      </c>
      <c r="AB62" t="inlineStr">
        <is>
          <t>Brasil</t>
        </is>
      </c>
      <c r="AC62" t="inlineStr">
        <is>
          <t>برزیل</t>
        </is>
      </c>
      <c r="AD62" t="inlineStr">
        <is>
          <t>Brazylia</t>
        </is>
      </c>
      <c r="AE62" t="inlineStr">
        <is>
          <t>Brasil</t>
        </is>
      </c>
      <c r="AF62" t="inlineStr">
        <is>
          <t>Brazilia</t>
        </is>
      </c>
      <c r="AG62" t="inlineStr">
        <is>
          <t>Brazil</t>
        </is>
      </c>
      <c r="AH62" t="inlineStr">
        <is>
          <t>Brazília</t>
        </is>
      </c>
      <c r="AI62" t="inlineStr">
        <is>
          <t>Brazilija</t>
        </is>
      </c>
      <c r="AJ62" t="inlineStr">
        <is>
          <t>Brasil</t>
        </is>
      </c>
      <c r="AK62" t="inlineStr">
        <is>
          <t>Brasilien</t>
        </is>
      </c>
      <c r="AL62" t="inlineStr">
        <is>
          <t>บราซิล</t>
        </is>
      </c>
      <c r="AM62" t="inlineStr">
        <is>
          <t>Brezilya</t>
        </is>
      </c>
      <c r="AN62" t="inlineStr">
        <is>
          <t>B-ra-xin</t>
        </is>
      </c>
      <c r="AO62" t="inlineStr">
        <is>
          <t>Бразилія</t>
        </is>
      </c>
      <c r="AP62" t="inlineStr">
        <is>
          <t>برازیل</t>
        </is>
      </c>
    </row>
    <row r="63">
      <c r="A63" t="inlineStr">
        <is>
          <t>Serbia</t>
        </is>
      </c>
      <c r="B63" t="inlineStr">
        <is>
          <t>Serbia</t>
        </is>
      </c>
      <c r="C63" t="inlineStr">
        <is>
          <t>صربيا</t>
        </is>
      </c>
      <c r="D63" t="inlineStr">
        <is>
          <t>Սերբիա</t>
        </is>
      </c>
      <c r="E63" t="inlineStr">
        <is>
          <t>Serbiya</t>
        </is>
      </c>
      <c r="F63" t="inlineStr">
        <is>
          <t>Сърбия</t>
        </is>
      </c>
      <c r="G63" t="inlineStr">
        <is>
          <t>Sèrbia</t>
        </is>
      </c>
      <c r="H63" t="inlineStr">
        <is>
          <t>塞尔维亚</t>
        </is>
      </c>
      <c r="I63" t="inlineStr">
        <is>
          <t>塞爾維亞</t>
        </is>
      </c>
      <c r="J63" t="inlineStr">
        <is>
          <t>Srbija</t>
        </is>
      </c>
      <c r="K63" t="inlineStr">
        <is>
          <t>Srbsko</t>
        </is>
      </c>
      <c r="L63" t="inlineStr">
        <is>
          <t>Serbien</t>
        </is>
      </c>
      <c r="M63" t="inlineStr">
        <is>
          <t>Servië</t>
        </is>
      </c>
      <c r="N63" t="inlineStr">
        <is>
          <t>Serbia</t>
        </is>
      </c>
      <c r="O63" t="inlineStr">
        <is>
          <t>Serbie</t>
        </is>
      </c>
      <c r="P63" t="inlineStr">
        <is>
          <t>სერბეთი</t>
        </is>
      </c>
      <c r="Q63" t="inlineStr">
        <is>
          <t>Serbien</t>
        </is>
      </c>
      <c r="R63" t="inlineStr">
        <is>
          <t>Σερβία</t>
        </is>
      </c>
      <c r="S63" t="inlineStr">
        <is>
          <t>סרביה</t>
        </is>
      </c>
      <c r="T63" t="inlineStr">
        <is>
          <t>Szerbia</t>
        </is>
      </c>
      <c r="U63" t="inlineStr">
        <is>
          <t>Serbia</t>
        </is>
      </c>
      <c r="V63" t="inlineStr">
        <is>
          <t>Serbía</t>
        </is>
      </c>
      <c r="W63" t="inlineStr">
        <is>
          <t>Serbia</t>
        </is>
      </c>
      <c r="X63" t="inlineStr">
        <is>
          <t>세르비아</t>
        </is>
      </c>
      <c r="Y63" t="inlineStr">
        <is>
          <t>Serbija</t>
        </is>
      </c>
      <c r="Z63" t="inlineStr">
        <is>
          <t>Србија</t>
        </is>
      </c>
      <c r="AA63" t="inlineStr">
        <is>
          <t>Serbja</t>
        </is>
      </c>
      <c r="AB63" t="inlineStr">
        <is>
          <t>Serbia</t>
        </is>
      </c>
      <c r="AC63" t="inlineStr">
        <is>
          <t>صربستان</t>
        </is>
      </c>
      <c r="AD63" t="inlineStr">
        <is>
          <t>Serbia</t>
        </is>
      </c>
      <c r="AE63" t="inlineStr">
        <is>
          <t>Sérvia</t>
        </is>
      </c>
      <c r="AF63" t="inlineStr">
        <is>
          <t>Serbia</t>
        </is>
      </c>
      <c r="AG63" t="inlineStr">
        <is>
          <t>Србија</t>
        </is>
      </c>
      <c r="AH63" t="inlineStr">
        <is>
          <t>Srbsko</t>
        </is>
      </c>
      <c r="AI63" t="inlineStr">
        <is>
          <t>Srbija</t>
        </is>
      </c>
      <c r="AJ63" t="inlineStr">
        <is>
          <t>Serbia</t>
        </is>
      </c>
      <c r="AK63" t="inlineStr">
        <is>
          <t>Serbien</t>
        </is>
      </c>
      <c r="AL63" t="inlineStr">
        <is>
          <t>เซอร์เบีย</t>
        </is>
      </c>
      <c r="AM63" t="inlineStr">
        <is>
          <t>Sırbistan</t>
        </is>
      </c>
      <c r="AN63" t="inlineStr">
        <is>
          <t>Serbia</t>
        </is>
      </c>
      <c r="AO63" t="inlineStr">
        <is>
          <t>Сербія</t>
        </is>
      </c>
      <c r="AP63" t="inlineStr">
        <is>
          <t>سربیا</t>
        </is>
      </c>
    </row>
    <row r="64">
      <c r="A64" t="inlineStr">
        <is>
          <t>Switzerland</t>
        </is>
      </c>
      <c r="B64" t="inlineStr">
        <is>
          <t>Zvicër</t>
        </is>
      </c>
      <c r="C64" t="inlineStr">
        <is>
          <t>سويسرا</t>
        </is>
      </c>
      <c r="D64" t="inlineStr">
        <is>
          <t>Շվեյցարիա</t>
        </is>
      </c>
      <c r="E64" t="inlineStr">
        <is>
          <t>İsveçrə</t>
        </is>
      </c>
      <c r="F64" t="inlineStr">
        <is>
          <t>Швейцария</t>
        </is>
      </c>
      <c r="G64" t="inlineStr">
        <is>
          <t>Suïssa</t>
        </is>
      </c>
      <c r="H64" t="inlineStr">
        <is>
          <t>瑞士</t>
        </is>
      </c>
      <c r="I64" t="inlineStr">
        <is>
          <t>瑞士</t>
        </is>
      </c>
      <c r="J64" t="inlineStr">
        <is>
          <t>Švajcarska</t>
        </is>
      </c>
      <c r="K64" t="inlineStr">
        <is>
          <t>Švýcarsko</t>
        </is>
      </c>
      <c r="L64" t="inlineStr">
        <is>
          <t>Schweiz</t>
        </is>
      </c>
      <c r="M64" t="inlineStr">
        <is>
          <t>Zwitserland</t>
        </is>
      </c>
      <c r="N64" t="inlineStr">
        <is>
          <t>Sveis</t>
        </is>
      </c>
      <c r="O64" t="inlineStr">
        <is>
          <t>Suisse</t>
        </is>
      </c>
      <c r="P64" t="inlineStr">
        <is>
          <t>Switzerland</t>
        </is>
      </c>
      <c r="Q64" t="inlineStr">
        <is>
          <t>Schweiz</t>
        </is>
      </c>
      <c r="R64" t="inlineStr">
        <is>
          <t>Ελβετία</t>
        </is>
      </c>
      <c r="S64" t="inlineStr">
        <is>
          <t>שוויץ</t>
        </is>
      </c>
      <c r="T64" t="inlineStr">
        <is>
          <t>Svájc</t>
        </is>
      </c>
      <c r="U64" t="inlineStr">
        <is>
          <t>Swiss</t>
        </is>
      </c>
      <c r="V64" t="inlineStr">
        <is>
          <t>Sviss</t>
        </is>
      </c>
      <c r="W64" t="inlineStr">
        <is>
          <t>Svizzera</t>
        </is>
      </c>
      <c r="X64" t="inlineStr">
        <is>
          <t>스위스</t>
        </is>
      </c>
      <c r="Y64" t="inlineStr">
        <is>
          <t>Šveicarija</t>
        </is>
      </c>
      <c r="Z64" t="inlineStr">
        <is>
          <t>Швајцарија</t>
        </is>
      </c>
      <c r="AA64" t="inlineStr">
        <is>
          <t>Isvizzera</t>
        </is>
      </c>
      <c r="AB64" t="inlineStr">
        <is>
          <t>Sveits</t>
        </is>
      </c>
      <c r="AC64" t="inlineStr">
        <is>
          <t>سویس</t>
        </is>
      </c>
      <c r="AD64" t="inlineStr">
        <is>
          <t>Szwajcaria</t>
        </is>
      </c>
      <c r="AE64" t="inlineStr">
        <is>
          <t>Suíça</t>
        </is>
      </c>
      <c r="AF64" t="inlineStr">
        <is>
          <t>Elveția</t>
        </is>
      </c>
      <c r="AG64" t="inlineStr">
        <is>
          <t>Швајцарска</t>
        </is>
      </c>
      <c r="AH64" t="inlineStr">
        <is>
          <t>švajčiarsko</t>
        </is>
      </c>
      <c r="AI64" t="inlineStr">
        <is>
          <t>Švica</t>
        </is>
      </c>
      <c r="AJ64" t="inlineStr">
        <is>
          <t>Suiza</t>
        </is>
      </c>
      <c r="AK64" t="inlineStr">
        <is>
          <t>Schweiz</t>
        </is>
      </c>
      <c r="AL64" t="inlineStr">
        <is>
          <t>ประเทศสวิสเซอร์แลนด์</t>
        </is>
      </c>
      <c r="AM64" t="inlineStr">
        <is>
          <t>İsviçre</t>
        </is>
      </c>
      <c r="AN64" t="inlineStr">
        <is>
          <t>Thụy Sĩ</t>
        </is>
      </c>
      <c r="AO64" t="inlineStr">
        <is>
          <t>Швейцарія</t>
        </is>
      </c>
      <c r="AP64" t="inlineStr">
        <is>
          <t>سوئٹزرلینڈ</t>
        </is>
      </c>
    </row>
    <row r="65">
      <c r="A65" t="inlineStr">
        <is>
          <t>Cameroon</t>
        </is>
      </c>
      <c r="B65" t="inlineStr">
        <is>
          <t>Kamerun</t>
        </is>
      </c>
      <c r="C65" t="inlineStr">
        <is>
          <t>الكاميرون</t>
        </is>
      </c>
      <c r="D65" t="inlineStr">
        <is>
          <t>Կակերուհի</t>
        </is>
      </c>
      <c r="E65" t="inlineStr">
        <is>
          <t>Kameron</t>
        </is>
      </c>
      <c r="F65" t="inlineStr">
        <is>
          <t>Камерун</t>
        </is>
      </c>
      <c r="G65" t="inlineStr">
        <is>
          <t>Camerun</t>
        </is>
      </c>
      <c r="H65" t="inlineStr">
        <is>
          <t>喀麦隆</t>
        </is>
      </c>
      <c r="I65" t="inlineStr">
        <is>
          <t>喀麥隆</t>
        </is>
      </c>
      <c r="J65" t="inlineStr">
        <is>
          <t>Kamerun</t>
        </is>
      </c>
      <c r="K65" t="inlineStr">
        <is>
          <t>Kamerun</t>
        </is>
      </c>
      <c r="L65" t="inlineStr">
        <is>
          <t>Kamerun</t>
        </is>
      </c>
      <c r="M65" t="inlineStr">
        <is>
          <t>Kameroen</t>
        </is>
      </c>
      <c r="N65" t="inlineStr">
        <is>
          <t>Cameroun</t>
        </is>
      </c>
      <c r="O65" t="inlineStr">
        <is>
          <t>Cameroun</t>
        </is>
      </c>
      <c r="P65" t="inlineStr">
        <is>
          <t>ᲙᲐᲛᲔᲠᲣᲜᲘ</t>
        </is>
      </c>
      <c r="Q65" t="inlineStr">
        <is>
          <t>Kamerun</t>
        </is>
      </c>
      <c r="R65" t="inlineStr">
        <is>
          <t>Καμερούν</t>
        </is>
      </c>
      <c r="S65" t="inlineStr">
        <is>
          <t>קמרון</t>
        </is>
      </c>
      <c r="T65" t="inlineStr">
        <is>
          <t>Kamerun</t>
        </is>
      </c>
      <c r="U65" t="inlineStr">
        <is>
          <t>Kamerun</t>
        </is>
      </c>
      <c r="V65" t="inlineStr">
        <is>
          <t>Kamerún</t>
        </is>
      </c>
      <c r="W65" t="inlineStr">
        <is>
          <t>Camerun</t>
        </is>
      </c>
      <c r="X65" t="inlineStr">
        <is>
          <t>카메룬</t>
        </is>
      </c>
      <c r="Y65" t="inlineStr">
        <is>
          <t>Kamerūnas</t>
        </is>
      </c>
      <c r="Z65" t="inlineStr">
        <is>
          <t>Камерун</t>
        </is>
      </c>
      <c r="AA65" t="inlineStr">
        <is>
          <t>Kamerun</t>
        </is>
      </c>
      <c r="AB65" t="inlineStr">
        <is>
          <t>Kamerun</t>
        </is>
      </c>
      <c r="AC65" t="inlineStr">
        <is>
          <t>کامرون</t>
        </is>
      </c>
      <c r="AD65" t="inlineStr">
        <is>
          <t>Kamerun</t>
        </is>
      </c>
      <c r="AE65" t="inlineStr">
        <is>
          <t>Camarões</t>
        </is>
      </c>
      <c r="AF65" t="inlineStr">
        <is>
          <t>Camerun</t>
        </is>
      </c>
      <c r="AG65" t="inlineStr">
        <is>
          <t>Камерун</t>
        </is>
      </c>
      <c r="AH65" t="inlineStr">
        <is>
          <t>Kamerun</t>
        </is>
      </c>
      <c r="AI65" t="inlineStr">
        <is>
          <t>Kamerun</t>
        </is>
      </c>
      <c r="AJ65" t="inlineStr">
        <is>
          <t>Camerún</t>
        </is>
      </c>
      <c r="AK65" t="inlineStr">
        <is>
          <t>Kamerun</t>
        </is>
      </c>
      <c r="AL65" t="inlineStr">
        <is>
          <t>แคเมอรูน</t>
        </is>
      </c>
      <c r="AM65" t="inlineStr">
        <is>
          <t>Kamerun</t>
        </is>
      </c>
      <c r="AN65" t="inlineStr">
        <is>
          <t>Cameroon</t>
        </is>
      </c>
      <c r="AO65" t="inlineStr">
        <is>
          <t>Камерун</t>
        </is>
      </c>
      <c r="AP65" t="inlineStr">
        <is>
          <t>کیمرون</t>
        </is>
      </c>
    </row>
    <row r="66">
      <c r="A66" t="inlineStr">
        <is>
          <t>Portugal</t>
        </is>
      </c>
      <c r="B66" t="inlineStr">
        <is>
          <t>Portugali</t>
        </is>
      </c>
      <c r="C66" t="inlineStr">
        <is>
          <t>البرتغال</t>
        </is>
      </c>
      <c r="D66" t="inlineStr">
        <is>
          <t>Պորտուգալիա</t>
        </is>
      </c>
      <c r="E66" t="inlineStr">
        <is>
          <t>Portuqaliya</t>
        </is>
      </c>
      <c r="F66" t="inlineStr">
        <is>
          <t>Португалия</t>
        </is>
      </c>
      <c r="G66" t="inlineStr">
        <is>
          <t>Portugal</t>
        </is>
      </c>
      <c r="H66" t="inlineStr">
        <is>
          <t>葡萄牙</t>
        </is>
      </c>
      <c r="I66" t="inlineStr">
        <is>
          <t>葡萄牙</t>
        </is>
      </c>
      <c r="J66" t="inlineStr">
        <is>
          <t>Portugalija</t>
        </is>
      </c>
      <c r="K66" t="inlineStr">
        <is>
          <t>Portugalsko</t>
        </is>
      </c>
      <c r="L66" t="inlineStr">
        <is>
          <t>Portugal</t>
        </is>
      </c>
      <c r="M66" t="inlineStr">
        <is>
          <t>Portugal</t>
        </is>
      </c>
      <c r="N66" t="inlineStr">
        <is>
          <t>Portugal</t>
        </is>
      </c>
      <c r="O66" t="inlineStr">
        <is>
          <t>Portugal</t>
        </is>
      </c>
      <c r="P66" t="inlineStr">
        <is>
          <t>პორტუგალიის</t>
        </is>
      </c>
      <c r="Q66" t="inlineStr">
        <is>
          <t>Portugal</t>
        </is>
      </c>
      <c r="R66" t="inlineStr">
        <is>
          <t>Πορτογαλία</t>
        </is>
      </c>
      <c r="S66" t="inlineStr">
        <is>
          <t>פורטוגל</t>
        </is>
      </c>
      <c r="T66" t="inlineStr">
        <is>
          <t>Portugália</t>
        </is>
      </c>
      <c r="U66" t="inlineStr">
        <is>
          <t>Portugal</t>
        </is>
      </c>
      <c r="V66" t="inlineStr">
        <is>
          <t>Portugal</t>
        </is>
      </c>
      <c r="W66" t="inlineStr">
        <is>
          <t>Portogallo</t>
        </is>
      </c>
      <c r="X66" t="inlineStr">
        <is>
          <t>포르투갈</t>
        </is>
      </c>
      <c r="Y66" t="inlineStr">
        <is>
          <t>Portugalija</t>
        </is>
      </c>
      <c r="Z66" t="inlineStr">
        <is>
          <t>Португалија</t>
        </is>
      </c>
      <c r="AA66" t="inlineStr">
        <is>
          <t>Portugall</t>
        </is>
      </c>
      <c r="AB66" t="inlineStr">
        <is>
          <t>Portugal</t>
        </is>
      </c>
      <c r="AC66" t="inlineStr">
        <is>
          <t>پرتغال</t>
        </is>
      </c>
      <c r="AD66" t="inlineStr">
        <is>
          <t>Portugalia</t>
        </is>
      </c>
      <c r="AE66" t="inlineStr">
        <is>
          <t>Portugal</t>
        </is>
      </c>
      <c r="AF66" t="inlineStr">
        <is>
          <t>Portugalia</t>
        </is>
      </c>
      <c r="AG66" t="inlineStr">
        <is>
          <t>Португалија</t>
        </is>
      </c>
      <c r="AH66" t="inlineStr">
        <is>
          <t>Portugalsko</t>
        </is>
      </c>
      <c r="AI66" t="inlineStr">
        <is>
          <t>Portugalska</t>
        </is>
      </c>
      <c r="AJ66" t="inlineStr">
        <is>
          <t>Portugal</t>
        </is>
      </c>
      <c r="AK66" t="inlineStr">
        <is>
          <t>Portugal</t>
        </is>
      </c>
      <c r="AL66" t="inlineStr">
        <is>
          <t>โปรตุเกส</t>
        </is>
      </c>
      <c r="AM66" t="inlineStr">
        <is>
          <t>Portekiz</t>
        </is>
      </c>
      <c r="AN66" t="inlineStr">
        <is>
          <t>Bồ Đào Nha</t>
        </is>
      </c>
      <c r="AO66" t="inlineStr">
        <is>
          <t>Португалія</t>
        </is>
      </c>
      <c r="AP66" t="inlineStr">
        <is>
          <t>پرتگال</t>
        </is>
      </c>
    </row>
    <row r="67">
      <c r="A67" t="inlineStr">
        <is>
          <t>Ghana</t>
        </is>
      </c>
      <c r="B67" t="inlineStr">
        <is>
          <t>Ghanë</t>
        </is>
      </c>
      <c r="C67" t="inlineStr">
        <is>
          <t>غانا</t>
        </is>
      </c>
      <c r="D67" t="inlineStr">
        <is>
          <t>Գանա</t>
        </is>
      </c>
      <c r="E67" t="inlineStr">
        <is>
          <t>Qana</t>
        </is>
      </c>
      <c r="F67" t="inlineStr">
        <is>
          <t>Гана</t>
        </is>
      </c>
      <c r="G67" t="inlineStr">
        <is>
          <t>Ghana</t>
        </is>
      </c>
      <c r="H67" t="inlineStr">
        <is>
          <t>加纳</t>
        </is>
      </c>
      <c r="I67" t="inlineStr">
        <is>
          <t>加納</t>
        </is>
      </c>
      <c r="J67" t="inlineStr">
        <is>
          <t>Gana</t>
        </is>
      </c>
      <c r="K67" t="inlineStr">
        <is>
          <t>Ghana</t>
        </is>
      </c>
      <c r="L67" t="inlineStr">
        <is>
          <t>Ghana</t>
        </is>
      </c>
      <c r="M67" t="inlineStr">
        <is>
          <t>Ghana</t>
        </is>
      </c>
      <c r="N67" t="inlineStr">
        <is>
          <t>Ghana</t>
        </is>
      </c>
      <c r="O67" t="inlineStr">
        <is>
          <t>Ghana</t>
        </is>
      </c>
      <c r="P67" t="inlineStr">
        <is>
          <t>ᲒᲐᲜᲐᲜᲐ</t>
        </is>
      </c>
      <c r="Q67" t="inlineStr">
        <is>
          <t>Ghana</t>
        </is>
      </c>
      <c r="R67" t="inlineStr">
        <is>
          <t>Γκάνα</t>
        </is>
      </c>
      <c r="S67" t="inlineStr">
        <is>
          <t>גאנה</t>
        </is>
      </c>
      <c r="T67" t="inlineStr">
        <is>
          <t>Ghána</t>
        </is>
      </c>
      <c r="U67" t="inlineStr">
        <is>
          <t>Ghana</t>
        </is>
      </c>
      <c r="V67" t="inlineStr">
        <is>
          <t>Gana</t>
        </is>
      </c>
      <c r="W67" t="inlineStr">
        <is>
          <t>Ghana</t>
        </is>
      </c>
      <c r="X67" t="inlineStr">
        <is>
          <t>가나</t>
        </is>
      </c>
      <c r="Y67" t="inlineStr">
        <is>
          <t>Gana</t>
        </is>
      </c>
      <c r="Z67" t="inlineStr">
        <is>
          <t>Гана</t>
        </is>
      </c>
      <c r="AA67" t="inlineStr">
        <is>
          <t>Ghana</t>
        </is>
      </c>
      <c r="AB67" t="inlineStr">
        <is>
          <t>Ghana</t>
        </is>
      </c>
      <c r="AC67" t="inlineStr">
        <is>
          <t>غنا</t>
        </is>
      </c>
      <c r="AD67" t="inlineStr">
        <is>
          <t>Ghana</t>
        </is>
      </c>
      <c r="AE67" t="inlineStr">
        <is>
          <t>Gana</t>
        </is>
      </c>
      <c r="AF67" t="inlineStr">
        <is>
          <t>Ghana</t>
        </is>
      </c>
      <c r="AG67" t="inlineStr">
        <is>
          <t>Гана</t>
        </is>
      </c>
      <c r="AH67" t="inlineStr">
        <is>
          <t>Ghana</t>
        </is>
      </c>
      <c r="AI67" t="inlineStr">
        <is>
          <t>Gana</t>
        </is>
      </c>
      <c r="AJ67" t="inlineStr">
        <is>
          <t>Ghana</t>
        </is>
      </c>
      <c r="AK67" t="inlineStr">
        <is>
          <t>Ghana</t>
        </is>
      </c>
      <c r="AL67" t="inlineStr">
        <is>
          <t>ประเทศกานา</t>
        </is>
      </c>
      <c r="AM67" t="inlineStr">
        <is>
          <t>Gana</t>
        </is>
      </c>
      <c r="AN67" t="inlineStr">
        <is>
          <t>Ghana</t>
        </is>
      </c>
      <c r="AO67" t="inlineStr">
        <is>
          <t>Гана</t>
        </is>
      </c>
      <c r="AP67" t="inlineStr">
        <is>
          <t>گھانا</t>
        </is>
      </c>
    </row>
    <row r="68">
      <c r="A68" t="inlineStr">
        <is>
          <t>Uruguay</t>
        </is>
      </c>
      <c r="B68" t="inlineStr">
        <is>
          <t>Uruguay</t>
        </is>
      </c>
      <c r="C68" t="inlineStr">
        <is>
          <t>أوروغواي</t>
        </is>
      </c>
      <c r="D68" t="inlineStr">
        <is>
          <t>Ուրուգվայ</t>
        </is>
      </c>
      <c r="E68" t="inlineStr">
        <is>
          <t>Uruqvay</t>
        </is>
      </c>
      <c r="F68" t="inlineStr">
        <is>
          <t>Уругвай</t>
        </is>
      </c>
      <c r="G68" t="inlineStr">
        <is>
          <t>Uruguai</t>
        </is>
      </c>
      <c r="H68" t="inlineStr">
        <is>
          <t>乌拉圭</t>
        </is>
      </c>
      <c r="I68" t="inlineStr">
        <is>
          <t>烏拉圭</t>
        </is>
      </c>
      <c r="J68" t="inlineStr">
        <is>
          <t>Urugvaj</t>
        </is>
      </c>
      <c r="K68" t="inlineStr">
        <is>
          <t>Uruguay</t>
        </is>
      </c>
      <c r="L68" t="inlineStr">
        <is>
          <t>Uruguay</t>
        </is>
      </c>
      <c r="M68" t="inlineStr">
        <is>
          <t>Uruguay</t>
        </is>
      </c>
      <c r="N68" t="inlineStr">
        <is>
          <t>Uruguay</t>
        </is>
      </c>
      <c r="O68" t="inlineStr">
        <is>
          <t>Uruguay</t>
        </is>
      </c>
      <c r="P68" t="inlineStr">
        <is>
          <t>ურუგვაის</t>
        </is>
      </c>
      <c r="Q68" t="inlineStr">
        <is>
          <t>Uruguay</t>
        </is>
      </c>
      <c r="R68" t="inlineStr">
        <is>
          <t>Ουρουγουάη</t>
        </is>
      </c>
      <c r="S68" t="inlineStr">
        <is>
          <t>אורוגוואי</t>
        </is>
      </c>
      <c r="T68" t="inlineStr">
        <is>
          <t>Uruguay</t>
        </is>
      </c>
      <c r="U68" t="inlineStr">
        <is>
          <t>Uruguay</t>
        </is>
      </c>
      <c r="V68" t="inlineStr">
        <is>
          <t>Uruguay</t>
        </is>
      </c>
      <c r="W68" t="inlineStr">
        <is>
          <t>Uruguay</t>
        </is>
      </c>
      <c r="X68" t="inlineStr">
        <is>
          <t>우루과이</t>
        </is>
      </c>
      <c r="Y68" t="inlineStr">
        <is>
          <t>Urugvajus</t>
        </is>
      </c>
      <c r="Z68" t="inlineStr">
        <is>
          <t>Уругвај</t>
        </is>
      </c>
      <c r="AA68" t="inlineStr">
        <is>
          <t>Urugwaj</t>
        </is>
      </c>
      <c r="AB68" t="inlineStr">
        <is>
          <t>Uruguay</t>
        </is>
      </c>
      <c r="AC68" t="inlineStr">
        <is>
          <t>اروگوئه</t>
        </is>
      </c>
      <c r="AD68" t="inlineStr">
        <is>
          <t>Urugwaj</t>
        </is>
      </c>
      <c r="AE68" t="inlineStr">
        <is>
          <t>Uruguai</t>
        </is>
      </c>
      <c r="AF68" t="inlineStr">
        <is>
          <t>Uruguay</t>
        </is>
      </c>
      <c r="AG68" t="inlineStr">
        <is>
          <t>Уругвај</t>
        </is>
      </c>
      <c r="AH68" t="inlineStr">
        <is>
          <t>Uruguaj</t>
        </is>
      </c>
      <c r="AI68" t="inlineStr">
        <is>
          <t>Urugvaj</t>
        </is>
      </c>
      <c r="AJ68" t="inlineStr">
        <is>
          <t>Uruguay</t>
        </is>
      </c>
      <c r="AK68" t="inlineStr">
        <is>
          <t>Uruguay</t>
        </is>
      </c>
      <c r="AL68" t="inlineStr">
        <is>
          <t>ประเทศอุรุกวัย</t>
        </is>
      </c>
      <c r="AM68" t="inlineStr">
        <is>
          <t>Uruguay</t>
        </is>
      </c>
      <c r="AN68" t="inlineStr">
        <is>
          <t>Uruguay</t>
        </is>
      </c>
      <c r="AO68" t="inlineStr">
        <is>
          <t>Уругвай</t>
        </is>
      </c>
      <c r="AP68" t="inlineStr">
        <is>
          <t>یوراگوئے</t>
        </is>
      </c>
    </row>
    <row r="69">
      <c r="A69" t="inlineStr">
        <is>
          <t>Korea Republic</t>
        </is>
      </c>
      <c r="B69" t="inlineStr">
        <is>
          <t>Korea Republic</t>
        </is>
      </c>
      <c r="C69" t="inlineStr">
        <is>
          <t>جمهورية كوريا</t>
        </is>
      </c>
      <c r="D69" t="inlineStr">
        <is>
          <t>Կորեայի Հանրապետություն</t>
        </is>
      </c>
      <c r="E69" t="inlineStr">
        <is>
          <t>Koreya Respublikası</t>
        </is>
      </c>
      <c r="F69" t="inlineStr">
        <is>
          <t>Република Корея</t>
        </is>
      </c>
      <c r="G69" t="inlineStr">
        <is>
          <t>República de Corea</t>
        </is>
      </c>
      <c r="H69" t="inlineStr">
        <is>
          <t>韩国</t>
        </is>
      </c>
      <c r="I69" t="inlineStr">
        <is>
          <t>韓國</t>
        </is>
      </c>
      <c r="J69" t="inlineStr">
        <is>
          <t>Južna Koreja</t>
        </is>
      </c>
      <c r="K69" t="inlineStr">
        <is>
          <t>Jižní Korea</t>
        </is>
      </c>
      <c r="L69" t="inlineStr">
        <is>
          <t>Sydkorea</t>
        </is>
      </c>
      <c r="M69" t="inlineStr">
        <is>
          <t>Zuid-Korea</t>
        </is>
      </c>
      <c r="N69" t="inlineStr">
        <is>
          <t>Suðurkorea</t>
        </is>
      </c>
      <c r="O69" t="inlineStr">
        <is>
          <t>République de Corée</t>
        </is>
      </c>
      <c r="P69" t="inlineStr">
        <is>
          <t>კორეის რესპუბლიკა</t>
        </is>
      </c>
      <c r="Q69" t="inlineStr">
        <is>
          <t>Korea Republik</t>
        </is>
      </c>
      <c r="R69" t="inlineStr">
        <is>
          <t>Δημοκρατία της Κορέας</t>
        </is>
      </c>
      <c r="S69" t="inlineStr">
        <is>
          <t>קוריאה רפובליקה</t>
        </is>
      </c>
      <c r="T69" t="inlineStr">
        <is>
          <t>Dél-Korea</t>
        </is>
      </c>
      <c r="U69" t="inlineStr">
        <is>
          <t>Republik Korea</t>
        </is>
      </c>
      <c r="V69" t="inlineStr">
        <is>
          <t>Kórea</t>
        </is>
      </c>
      <c r="W69" t="inlineStr">
        <is>
          <t>Corea del Sud</t>
        </is>
      </c>
      <c r="X69" t="inlineStr">
        <is>
          <t>한국</t>
        </is>
      </c>
      <c r="Y69" t="inlineStr">
        <is>
          <t>Korėjos Respublika</t>
        </is>
      </c>
      <c r="Z69" t="inlineStr">
        <is>
          <t>Јужна Кореја</t>
        </is>
      </c>
      <c r="AA69" t="inlineStr">
        <is>
          <t>Korea Repubblika</t>
        </is>
      </c>
      <c r="AB69" t="inlineStr">
        <is>
          <t>Sør-Korea</t>
        </is>
      </c>
      <c r="AC69" t="inlineStr">
        <is>
          <t>کره جنوبی</t>
        </is>
      </c>
      <c r="AD69" t="inlineStr">
        <is>
          <t>Korea Południowa</t>
        </is>
      </c>
      <c r="AE69" t="inlineStr">
        <is>
          <t>República da Coreia</t>
        </is>
      </c>
      <c r="AF69" t="inlineStr">
        <is>
          <t>Coreea de Sud</t>
        </is>
      </c>
      <c r="AG69" t="inlineStr">
        <is>
          <t>Република Кореја</t>
        </is>
      </c>
      <c r="AH69" t="inlineStr">
        <is>
          <t>Južná Kórea</t>
        </is>
      </c>
      <c r="AI69" t="inlineStr">
        <is>
          <t>Južna Koreja</t>
        </is>
      </c>
      <c r="AJ69" t="inlineStr">
        <is>
          <t>República de Corea</t>
        </is>
      </c>
      <c r="AK69" t="inlineStr">
        <is>
          <t>Sydkorea</t>
        </is>
      </c>
      <c r="AL69" t="inlineStr">
        <is>
          <t>เกาหลีใต้</t>
        </is>
      </c>
      <c r="AM69" t="inlineStr">
        <is>
          <t>Kore Cumhuriyeti</t>
        </is>
      </c>
      <c r="AN69" t="inlineStr">
        <is>
          <t>Hàn Quốc</t>
        </is>
      </c>
      <c r="AO69" t="inlineStr">
        <is>
          <t>Південна Корея</t>
        </is>
      </c>
      <c r="AP69" t="inlineStr">
        <is>
          <t>جمہوریہ کوریا</t>
        </is>
      </c>
    </row>
    <row r="70">
      <c r="A70" t="inlineStr">
        <is>
          <t>South Africa</t>
        </is>
      </c>
      <c r="B70" t="inlineStr">
        <is>
          <t>Afrika e Jugut</t>
        </is>
      </c>
      <c r="C70" t="inlineStr">
        <is>
          <t>جنوب أفريقيا</t>
        </is>
      </c>
      <c r="D70" t="inlineStr">
        <is>
          <t>Հարավային Աֆրիկա</t>
        </is>
      </c>
      <c r="E70" t="inlineStr">
        <is>
          <t>Cənubi Afrika</t>
        </is>
      </c>
      <c r="F70" t="inlineStr">
        <is>
          <t>Южна Африка</t>
        </is>
      </c>
      <c r="G70" t="inlineStr">
        <is>
          <t>Sud-àfrica</t>
        </is>
      </c>
      <c r="H70" t="inlineStr">
        <is>
          <t>南非</t>
        </is>
      </c>
      <c r="I70" t="inlineStr">
        <is>
          <t>南非</t>
        </is>
      </c>
      <c r="J70" t="inlineStr">
        <is>
          <t>Južna Afrika</t>
        </is>
      </c>
      <c r="K70" t="inlineStr">
        <is>
          <t>Jižní Afrika</t>
        </is>
      </c>
      <c r="L70" t="inlineStr">
        <is>
          <t>Sydafrika</t>
        </is>
      </c>
      <c r="M70" t="inlineStr">
        <is>
          <t>Zuid-Afrika</t>
        </is>
      </c>
      <c r="N70" t="inlineStr">
        <is>
          <t>Afrique du Sud</t>
        </is>
      </c>
      <c r="O70" t="inlineStr">
        <is>
          <t>Afrique du Sud</t>
        </is>
      </c>
      <c r="P70" t="inlineStr">
        <is>
          <t>სამხრეთ აფრიკა</t>
        </is>
      </c>
      <c r="Q70" t="inlineStr">
        <is>
          <t>Südafrika</t>
        </is>
      </c>
      <c r="R70" t="inlineStr">
        <is>
          <t>Νότια Αφρική</t>
        </is>
      </c>
      <c r="S70" t="inlineStr">
        <is>
          <t>דרום אפריקה</t>
        </is>
      </c>
      <c r="T70" t="inlineStr">
        <is>
          <t>Dél-Afrika</t>
        </is>
      </c>
      <c r="U70" t="inlineStr">
        <is>
          <t>Afrika Selatan</t>
        </is>
      </c>
      <c r="V70" t="inlineStr">
        <is>
          <t>Suður-Afríka</t>
        </is>
      </c>
      <c r="W70" t="inlineStr">
        <is>
          <t>Sudafrica</t>
        </is>
      </c>
      <c r="X70" t="inlineStr">
        <is>
          <t>남아프리카공화국</t>
        </is>
      </c>
      <c r="Y70" t="inlineStr">
        <is>
          <t>Pietų Afrika</t>
        </is>
      </c>
      <c r="Z70" t="inlineStr">
        <is>
          <t>Јужна Африка</t>
        </is>
      </c>
      <c r="AA70" t="inlineStr">
        <is>
          <t>l-Afrika t'Isfel</t>
        </is>
      </c>
      <c r="AB70" t="inlineStr">
        <is>
          <t>Sør-Afrika</t>
        </is>
      </c>
      <c r="AC70" t="inlineStr">
        <is>
          <t>آفریقای جنوبی</t>
        </is>
      </c>
      <c r="AD70" t="inlineStr">
        <is>
          <t>Republika Południowej Afryki</t>
        </is>
      </c>
      <c r="AE70" t="inlineStr">
        <is>
          <t>África do Sul</t>
        </is>
      </c>
      <c r="AF70" t="inlineStr">
        <is>
          <t>Africa de Sud</t>
        </is>
      </c>
      <c r="AG70" t="inlineStr">
        <is>
          <t>Јужна Африка</t>
        </is>
      </c>
      <c r="AH70" t="inlineStr">
        <is>
          <t>Južná Afrika</t>
        </is>
      </c>
      <c r="AI70" t="inlineStr">
        <is>
          <t>Južna Afrika</t>
        </is>
      </c>
      <c r="AJ70" t="inlineStr">
        <is>
          <t>Sudáfrica</t>
        </is>
      </c>
      <c r="AK70" t="inlineStr">
        <is>
          <t>Sydafrika</t>
        </is>
      </c>
      <c r="AL70" t="inlineStr">
        <is>
          <t>แอฟริกาใต้</t>
        </is>
      </c>
      <c r="AM70" t="inlineStr">
        <is>
          <t>Güney Afrika</t>
        </is>
      </c>
      <c r="AN70" t="inlineStr">
        <is>
          <t>Nam Phi</t>
        </is>
      </c>
      <c r="AO70" t="inlineStr">
        <is>
          <t>Південна Африка</t>
        </is>
      </c>
      <c r="AP70" t="inlineStr">
        <is>
          <t>جنوبی افریقہ</t>
        </is>
      </c>
    </row>
    <row r="71">
      <c r="A71" t="inlineStr">
        <is>
          <t>Bosnia and Herzegovina</t>
        </is>
      </c>
      <c r="B71" t="inlineStr">
        <is>
          <t>Bosnjë dhe Hercegovinë</t>
        </is>
      </c>
      <c r="C71" t="inlineStr">
        <is>
          <t>البوسنة والهرسك</t>
        </is>
      </c>
      <c r="D71" t="inlineStr">
        <is>
          <t>Բոսնիա և Հերցեգովինա</t>
        </is>
      </c>
      <c r="E71" t="inlineStr">
        <is>
          <t>Bosniya və Herseqovina</t>
        </is>
      </c>
      <c r="F71" t="inlineStr">
        <is>
          <t>Босна и Херцеговина</t>
        </is>
      </c>
      <c r="G71" t="inlineStr">
        <is>
          <t>Bòsnia i Hercegovina</t>
        </is>
      </c>
      <c r="H71" t="inlineStr">
        <is>
          <t>波斯尼亚和黑塞哥维那</t>
        </is>
      </c>
      <c r="I71" t="inlineStr">
        <is>
          <t>波士尼亞與赫塞哥維納</t>
        </is>
      </c>
      <c r="J71" t="inlineStr">
        <is>
          <t>Bosna i Hercegovina</t>
        </is>
      </c>
      <c r="K71" t="inlineStr">
        <is>
          <t>Bosna a Hercegovina</t>
        </is>
      </c>
      <c r="L71" t="inlineStr">
        <is>
          <t>Bosnien-Hercegovina</t>
        </is>
      </c>
      <c r="M71" t="inlineStr">
        <is>
          <t>Bosnië en Herzegovina</t>
        </is>
      </c>
      <c r="N71" t="inlineStr">
        <is>
          <t>Bosnie-Herzégovine</t>
        </is>
      </c>
      <c r="O71" t="inlineStr">
        <is>
          <t>Bosnie-Herzégovine</t>
        </is>
      </c>
      <c r="P71" t="inlineStr">
        <is>
          <t>ბოსნია და ჰერცეგოვინა</t>
        </is>
      </c>
      <c r="Q71" t="inlineStr">
        <is>
          <t>Bosnien und Herzegowina</t>
        </is>
      </c>
      <c r="R71" t="inlineStr">
        <is>
          <t>Βοσνία και Ερζεγοβίνη</t>
        </is>
      </c>
      <c r="S71" t="inlineStr">
        <is>
          <t>בוסניה והרצגובינה</t>
        </is>
      </c>
      <c r="T71" t="inlineStr">
        <is>
          <t>Bosznia-Hercegovina</t>
        </is>
      </c>
      <c r="U71" t="inlineStr">
        <is>
          <t>Bosnia dan Herzegovina</t>
        </is>
      </c>
      <c r="V71" t="inlineStr">
        <is>
          <t>Bosnía og Hersegóvína</t>
        </is>
      </c>
      <c r="W71" t="inlineStr">
        <is>
          <t>Bosnia ed Erzegovina</t>
        </is>
      </c>
      <c r="X71" t="inlineStr">
        <is>
          <t>보스니아 헤르체고비나</t>
        </is>
      </c>
      <c r="Y71" t="inlineStr">
        <is>
          <t>Bosnija ir Hercegovina</t>
        </is>
      </c>
      <c r="Z71" t="inlineStr">
        <is>
          <t>Босна и Херцеговина</t>
        </is>
      </c>
      <c r="AA71" t="inlineStr">
        <is>
          <t>il-Bożnija-Ħerzegovina</t>
        </is>
      </c>
      <c r="AB71" t="inlineStr">
        <is>
          <t>Bosnia-Hercegovina</t>
        </is>
      </c>
      <c r="AC71" t="inlineStr">
        <is>
          <t>بوسنی و هرزگوین</t>
        </is>
      </c>
      <c r="AD71" t="inlineStr">
        <is>
          <t>Bośnia i Hercegowina</t>
        </is>
      </c>
      <c r="AE71" t="inlineStr">
        <is>
          <t>Bósnia e Herzegovina</t>
        </is>
      </c>
      <c r="AF71" t="inlineStr">
        <is>
          <t>Bosnia și Herțegovina</t>
        </is>
      </c>
      <c r="AG71" t="inlineStr">
        <is>
          <t>Босна и Херцеговина</t>
        </is>
      </c>
      <c r="AH71" t="inlineStr">
        <is>
          <t>Bosna a Hercegovina</t>
        </is>
      </c>
      <c r="AI71" t="inlineStr">
        <is>
          <t>Bosna in Hercegovina</t>
        </is>
      </c>
      <c r="AJ71" t="inlineStr">
        <is>
          <t>Bosnia y Herzegovina</t>
        </is>
      </c>
      <c r="AK71" t="inlineStr">
        <is>
          <t>Bosnien och Hercegovina</t>
        </is>
      </c>
      <c r="AL71" t="inlineStr">
        <is>
          <t>บอสเนียและเฮอร์เซโกวีนา</t>
        </is>
      </c>
      <c r="AM71" t="inlineStr">
        <is>
          <t>Bosna Hersek</t>
        </is>
      </c>
      <c r="AN71" t="inlineStr">
        <is>
          <t>Bosnia và Herzegovina</t>
        </is>
      </c>
      <c r="AO71" t="inlineStr">
        <is>
          <t>Боснія і Герцеговина</t>
        </is>
      </c>
      <c r="AP71" t="inlineStr">
        <is>
          <t>بوسنیا اور ہرزیگووینا</t>
        </is>
      </c>
    </row>
    <row r="72">
      <c r="A72" t="inlineStr">
        <is>
          <t>Czech Republic</t>
        </is>
      </c>
      <c r="B72" t="inlineStr">
        <is>
          <t>Republika Çeke</t>
        </is>
      </c>
      <c r="C72" t="inlineStr">
        <is>
          <t>الجمهورية التشيكية</t>
        </is>
      </c>
      <c r="D72" t="inlineStr">
        <is>
          <t>Չեխիայի Հանրապետություն</t>
        </is>
      </c>
      <c r="E72" t="inlineStr">
        <is>
          <t>Çexiya</t>
        </is>
      </c>
      <c r="F72" t="inlineStr">
        <is>
          <t>Чехия</t>
        </is>
      </c>
      <c r="G72" t="inlineStr">
        <is>
          <t>República Txeca</t>
        </is>
      </c>
      <c r="H72" t="inlineStr">
        <is>
          <t>捷克共和国</t>
        </is>
      </c>
      <c r="I72" t="inlineStr">
        <is>
          <t>捷克共和國</t>
        </is>
      </c>
      <c r="J72" t="inlineStr">
        <is>
          <t>Češka</t>
        </is>
      </c>
      <c r="K72" t="inlineStr">
        <is>
          <t>Česká republika</t>
        </is>
      </c>
      <c r="L72" t="inlineStr">
        <is>
          <t>Tjekkiet</t>
        </is>
      </c>
      <c r="M72" t="inlineStr">
        <is>
          <t>Tsjechische Republiek</t>
        </is>
      </c>
      <c r="N72" t="inlineStr">
        <is>
          <t>République tchèque</t>
        </is>
      </c>
      <c r="O72" t="inlineStr">
        <is>
          <t>République tchèque</t>
        </is>
      </c>
      <c r="P72" t="inlineStr">
        <is>
          <t>ჩეხეთის რესპუბლიკა</t>
        </is>
      </c>
      <c r="Q72" t="inlineStr">
        <is>
          <t>Tschechische Republik</t>
        </is>
      </c>
      <c r="R72" t="inlineStr">
        <is>
          <t>Τσεχική Δημοκρατία</t>
        </is>
      </c>
      <c r="S72" t="inlineStr">
        <is>
          <t>צ'כיה</t>
        </is>
      </c>
      <c r="T72" t="inlineStr">
        <is>
          <t>Cseh Köztársaság</t>
        </is>
      </c>
      <c r="U72" t="inlineStr">
        <is>
          <t>Republik Ceko</t>
        </is>
      </c>
      <c r="V72" t="inlineStr">
        <is>
          <t>Tékkland</t>
        </is>
      </c>
      <c r="W72" t="inlineStr">
        <is>
          <t>Repubblica Ceca</t>
        </is>
      </c>
      <c r="X72" t="inlineStr">
        <is>
          <t>체코 공화국</t>
        </is>
      </c>
      <c r="Y72" t="inlineStr">
        <is>
          <t>Čekijos Respublika</t>
        </is>
      </c>
      <c r="Z72" t="inlineStr">
        <is>
          <t>Чешка Република</t>
        </is>
      </c>
      <c r="AA72" t="inlineStr">
        <is>
          <t>Repubblika Ċeka</t>
        </is>
      </c>
      <c r="AB72" t="inlineStr">
        <is>
          <t>Tsjekkia</t>
        </is>
      </c>
      <c r="AC72" t="inlineStr">
        <is>
          <t>جمهوری چک</t>
        </is>
      </c>
      <c r="AD72" t="inlineStr">
        <is>
          <t>Czechy</t>
        </is>
      </c>
      <c r="AE72" t="inlineStr">
        <is>
          <t>República Tcheca</t>
        </is>
      </c>
      <c r="AF72" t="inlineStr">
        <is>
          <t>Republica Cehă</t>
        </is>
      </c>
      <c r="AG72" t="inlineStr">
        <is>
          <t>Чешка Република</t>
        </is>
      </c>
      <c r="AH72" t="inlineStr">
        <is>
          <t>Česká republika</t>
        </is>
      </c>
      <c r="AI72" t="inlineStr">
        <is>
          <t>Češka republika</t>
        </is>
      </c>
      <c r="AJ72" t="inlineStr">
        <is>
          <t>República Checa</t>
        </is>
      </c>
      <c r="AK72" t="inlineStr">
        <is>
          <t>Tjeckien</t>
        </is>
      </c>
      <c r="AL72" t="inlineStr">
        <is>
          <t>สาธารณรัฐเช็ก</t>
        </is>
      </c>
      <c r="AM72" t="inlineStr">
        <is>
          <t>Çek Cumhuriyeti</t>
        </is>
      </c>
      <c r="AN72" t="inlineStr">
        <is>
          <t>Cộng hòa Séc</t>
        </is>
      </c>
      <c r="AO72" t="inlineStr">
        <is>
          <t>Чеська Республіка</t>
        </is>
      </c>
      <c r="AP72" t="inlineStr">
        <is>
          <t>جمہوریہ چیک</t>
        </is>
      </c>
    </row>
    <row r="73">
      <c r="A73" t="inlineStr">
        <is>
          <t>Haiti</t>
        </is>
      </c>
      <c r="B73" t="inlineStr">
        <is>
          <t>Haiti</t>
        </is>
      </c>
      <c r="C73" t="inlineStr">
        <is>
          <t>هايتي</t>
        </is>
      </c>
      <c r="D73" t="inlineStr">
        <is>
          <t>Հայիթի</t>
        </is>
      </c>
      <c r="E73" t="inlineStr">
        <is>
          <t>Haiti</t>
        </is>
      </c>
      <c r="F73" t="inlineStr">
        <is>
          <t>Хаити</t>
        </is>
      </c>
      <c r="G73" t="inlineStr">
        <is>
          <t>Haití</t>
        </is>
      </c>
      <c r="H73" t="inlineStr">
        <is>
          <t>海地</t>
        </is>
      </c>
      <c r="I73" t="inlineStr">
        <is>
          <t>海地</t>
        </is>
      </c>
      <c r="J73" t="inlineStr">
        <is>
          <t>Haiti</t>
        </is>
      </c>
      <c r="K73" t="inlineStr">
        <is>
          <t>Haiti</t>
        </is>
      </c>
      <c r="L73" t="inlineStr">
        <is>
          <t>Haiti</t>
        </is>
      </c>
      <c r="M73" t="inlineStr">
        <is>
          <t>Haïti</t>
        </is>
      </c>
      <c r="N73" t="inlineStr">
        <is>
          <t>Haïti</t>
        </is>
      </c>
      <c r="O73" t="inlineStr">
        <is>
          <t>Haïti</t>
        </is>
      </c>
      <c r="P73" t="inlineStr">
        <is>
          <t>ჰაიტი</t>
        </is>
      </c>
      <c r="Q73" t="inlineStr">
        <is>
          <t>Haiti</t>
        </is>
      </c>
      <c r="R73" t="inlineStr">
        <is>
          <t>Αΐτη</t>
        </is>
      </c>
      <c r="S73" t="inlineStr">
        <is>
          <t>האיטי</t>
        </is>
      </c>
      <c r="T73" t="inlineStr">
        <is>
          <t>Haiti</t>
        </is>
      </c>
      <c r="U73" t="inlineStr">
        <is>
          <t>Haiti</t>
        </is>
      </c>
      <c r="V73" t="inlineStr">
        <is>
          <t>Haítí</t>
        </is>
      </c>
      <c r="W73" t="inlineStr">
        <is>
          <t>Haiti</t>
        </is>
      </c>
      <c r="X73" t="inlineStr">
        <is>
          <t>아이티</t>
        </is>
      </c>
      <c r="Y73" t="inlineStr">
        <is>
          <t>Haitis</t>
        </is>
      </c>
      <c r="Z73" t="inlineStr">
        <is>
          <t>Хаити</t>
        </is>
      </c>
      <c r="AA73" t="inlineStr">
        <is>
          <t>Ħaiti</t>
        </is>
      </c>
      <c r="AB73" t="inlineStr">
        <is>
          <t>Haiti</t>
        </is>
      </c>
      <c r="AC73" t="inlineStr">
        <is>
          <t>هائیتی</t>
        </is>
      </c>
      <c r="AD73" t="inlineStr">
        <is>
          <t>Haiti</t>
        </is>
      </c>
      <c r="AE73" t="inlineStr">
        <is>
          <t>Haiti</t>
        </is>
      </c>
      <c r="AF73" t="inlineStr">
        <is>
          <t>Haiti</t>
        </is>
      </c>
      <c r="AG73" t="inlineStr">
        <is>
          <t>Хаити</t>
        </is>
      </c>
      <c r="AH73" t="inlineStr">
        <is>
          <t>Haiti</t>
        </is>
      </c>
      <c r="AI73" t="inlineStr">
        <is>
          <t>Haiti</t>
        </is>
      </c>
      <c r="AJ73" t="inlineStr">
        <is>
          <t>Haití</t>
        </is>
      </c>
      <c r="AK73" t="inlineStr">
        <is>
          <t>Haiti</t>
        </is>
      </c>
      <c r="AL73" t="inlineStr">
        <is>
          <t>เฮติ</t>
        </is>
      </c>
      <c r="AM73" t="inlineStr">
        <is>
          <t>Haiti</t>
        </is>
      </c>
      <c r="AN73" t="inlineStr">
        <is>
          <t>Haiti</t>
        </is>
      </c>
      <c r="AO73" t="inlineStr">
        <is>
          <t>Гаїті</t>
        </is>
      </c>
      <c r="AP73" t="inlineStr">
        <is>
          <t>ہیٹی</t>
        </is>
      </c>
    </row>
    <row r="74">
      <c r="A74" t="inlineStr">
        <is>
          <t>Scotland</t>
        </is>
      </c>
      <c r="B74" t="inlineStr">
        <is>
          <t>Skoci</t>
        </is>
      </c>
      <c r="C74" t="inlineStr">
        <is>
          <t>اسكتلندا</t>
        </is>
      </c>
      <c r="D74" t="inlineStr">
        <is>
          <t>Շոտլանդիա</t>
        </is>
      </c>
      <c r="E74" t="inlineStr">
        <is>
          <t>Şotlandiya</t>
        </is>
      </c>
      <c r="F74" t="inlineStr">
        <is>
          <t>Шотландия</t>
        </is>
      </c>
      <c r="G74" t="inlineStr">
        <is>
          <t>Escòcia</t>
        </is>
      </c>
      <c r="H74" t="inlineStr">
        <is>
          <t>苏格兰</t>
        </is>
      </c>
      <c r="I74" t="inlineStr">
        <is>
          <t>蘇格蘭</t>
        </is>
      </c>
      <c r="J74" t="inlineStr">
        <is>
          <t>Škotska</t>
        </is>
      </c>
      <c r="K74" t="inlineStr">
        <is>
          <t>Skotsko</t>
        </is>
      </c>
      <c r="L74" t="inlineStr">
        <is>
          <t>Skotland</t>
        </is>
      </c>
      <c r="M74" t="inlineStr">
        <is>
          <t>Schotland</t>
        </is>
      </c>
      <c r="N74" t="inlineStr">
        <is>
          <t>Écosse</t>
        </is>
      </c>
      <c r="O74" t="inlineStr">
        <is>
          <t>Écosse</t>
        </is>
      </c>
      <c r="P74" t="inlineStr">
        <is>
          <t>შოტლანდია</t>
        </is>
      </c>
      <c r="Q74" t="inlineStr">
        <is>
          <t>Schottland</t>
        </is>
      </c>
      <c r="R74" t="inlineStr">
        <is>
          <t>Σκωτία</t>
        </is>
      </c>
      <c r="S74" t="inlineStr">
        <is>
          <t>סקוטלנד</t>
        </is>
      </c>
      <c r="T74" t="inlineStr">
        <is>
          <t>Skócia</t>
        </is>
      </c>
      <c r="U74" t="inlineStr">
        <is>
          <t>Skotlandia</t>
        </is>
      </c>
      <c r="V74" t="inlineStr">
        <is>
          <t>Skotland</t>
        </is>
      </c>
      <c r="W74" t="inlineStr">
        <is>
          <t>Scozia</t>
        </is>
      </c>
      <c r="X74" t="inlineStr">
        <is>
          <t>스코틀랜드</t>
        </is>
      </c>
      <c r="Y74" t="inlineStr">
        <is>
          <t>Škotija</t>
        </is>
      </c>
      <c r="Z74" t="inlineStr">
        <is>
          <t>Шкотска</t>
        </is>
      </c>
      <c r="AA74" t="inlineStr">
        <is>
          <t>l-Iskozja</t>
        </is>
      </c>
      <c r="AB74" t="inlineStr">
        <is>
          <t>Skottland</t>
        </is>
      </c>
      <c r="AC74" t="inlineStr">
        <is>
          <t>اسکاتلند</t>
        </is>
      </c>
      <c r="AD74" t="inlineStr">
        <is>
          <t>Szkocja</t>
        </is>
      </c>
      <c r="AE74" t="inlineStr">
        <is>
          <t>Escócia</t>
        </is>
      </c>
      <c r="AF74" t="inlineStr">
        <is>
          <t>Scoţia</t>
        </is>
      </c>
      <c r="AG74" t="inlineStr">
        <is>
          <t>Шкотска</t>
        </is>
      </c>
      <c r="AH74" t="inlineStr">
        <is>
          <t>Škótsko</t>
        </is>
      </c>
      <c r="AI74" t="inlineStr">
        <is>
          <t>Škotska</t>
        </is>
      </c>
      <c r="AJ74" t="inlineStr">
        <is>
          <t>Escocia</t>
        </is>
      </c>
      <c r="AK74" t="inlineStr">
        <is>
          <t>Skottland</t>
        </is>
      </c>
      <c r="AL74" t="inlineStr">
        <is>
          <t>สกอตแลนด์</t>
        </is>
      </c>
      <c r="AM74" t="inlineStr">
        <is>
          <t>İskoçya</t>
        </is>
      </c>
      <c r="AN74" t="inlineStr">
        <is>
          <t>Scotland</t>
        </is>
      </c>
      <c r="AO74" t="inlineStr">
        <is>
          <t>Шотландія</t>
        </is>
      </c>
      <c r="AP74" t="inlineStr">
        <is>
          <t>سکاٹ لینڈ</t>
        </is>
      </c>
    </row>
    <row r="75">
      <c r="A75" t="inlineStr">
        <is>
          <t>Paraguay</t>
        </is>
      </c>
      <c r="B75" t="inlineStr">
        <is>
          <t>Paraguai</t>
        </is>
      </c>
      <c r="C75" t="inlineStr">
        <is>
          <t>باراغواي</t>
        </is>
      </c>
      <c r="D75" t="inlineStr">
        <is>
          <t>Պարագվայ</t>
        </is>
      </c>
      <c r="E75" t="inlineStr">
        <is>
          <t>Paraqvay</t>
        </is>
      </c>
      <c r="F75" t="inlineStr">
        <is>
          <t>Парагвай</t>
        </is>
      </c>
      <c r="G75" t="inlineStr">
        <is>
          <t>Paraguai</t>
        </is>
      </c>
      <c r="H75" t="inlineStr">
        <is>
          <t>巴拉圭</t>
        </is>
      </c>
      <c r="I75" t="inlineStr">
        <is>
          <t>巴拉圭</t>
        </is>
      </c>
      <c r="J75" t="inlineStr">
        <is>
          <t>Paragvaj</t>
        </is>
      </c>
      <c r="K75" t="inlineStr">
        <is>
          <t>Paraguay</t>
        </is>
      </c>
      <c r="L75" t="inlineStr">
        <is>
          <t>Paraguay</t>
        </is>
      </c>
      <c r="M75" t="inlineStr">
        <is>
          <t>Paraguay</t>
        </is>
      </c>
      <c r="N75" t="inlineStr">
        <is>
          <t>Paraguay</t>
        </is>
      </c>
      <c r="O75" t="inlineStr">
        <is>
          <t>Paraguay</t>
        </is>
      </c>
      <c r="P75" t="inlineStr">
        <is>
          <t>პარაგვაი</t>
        </is>
      </c>
      <c r="Q75" t="inlineStr">
        <is>
          <t>Paraguay</t>
        </is>
      </c>
      <c r="R75" t="inlineStr">
        <is>
          <t>Παραγουάη</t>
        </is>
      </c>
      <c r="S75" t="inlineStr">
        <is>
          <t>פרגוואי</t>
        </is>
      </c>
      <c r="T75" t="inlineStr">
        <is>
          <t>Paraguay</t>
        </is>
      </c>
      <c r="U75" t="inlineStr">
        <is>
          <t>Paraguay</t>
        </is>
      </c>
      <c r="V75" t="inlineStr">
        <is>
          <t>Paragvæ</t>
        </is>
      </c>
      <c r="W75" t="inlineStr">
        <is>
          <t>Paraguay</t>
        </is>
      </c>
      <c r="X75" t="inlineStr">
        <is>
          <t>파라과이</t>
        </is>
      </c>
      <c r="Y75" t="inlineStr">
        <is>
          <t>Paragvajus</t>
        </is>
      </c>
      <c r="Z75" t="inlineStr">
        <is>
          <t>Парагвај</t>
        </is>
      </c>
      <c r="AA75" t="inlineStr">
        <is>
          <t>Paragwaj</t>
        </is>
      </c>
      <c r="AB75" t="inlineStr">
        <is>
          <t>Paraguay</t>
        </is>
      </c>
      <c r="AC75" t="inlineStr">
        <is>
          <t>پاراگوئه</t>
        </is>
      </c>
      <c r="AD75" t="inlineStr">
        <is>
          <t>Paragwaj</t>
        </is>
      </c>
      <c r="AE75" t="inlineStr">
        <is>
          <t>Paraguai</t>
        </is>
      </c>
      <c r="AF75" t="inlineStr">
        <is>
          <t>Paraguay</t>
        </is>
      </c>
      <c r="AG75" t="inlineStr">
        <is>
          <t>Парагвај</t>
        </is>
      </c>
      <c r="AH75" t="inlineStr">
        <is>
          <t>Paraguaj</t>
        </is>
      </c>
      <c r="AI75" t="inlineStr">
        <is>
          <t>Paragvaj</t>
        </is>
      </c>
      <c r="AJ75" t="inlineStr">
        <is>
          <t>Paraguay</t>
        </is>
      </c>
      <c r="AK75" t="inlineStr">
        <is>
          <t>Paraguay</t>
        </is>
      </c>
      <c r="AL75" t="inlineStr">
        <is>
          <t>ปารากวัย</t>
        </is>
      </c>
      <c r="AM75" t="inlineStr">
        <is>
          <t>Paraguay</t>
        </is>
      </c>
      <c r="AN75" t="inlineStr">
        <is>
          <t>Paraguay</t>
        </is>
      </c>
      <c r="AO75" t="inlineStr">
        <is>
          <t>Парагвай</t>
        </is>
      </c>
      <c r="AP75" t="inlineStr">
        <is>
          <t>پیراگوئے</t>
        </is>
      </c>
    </row>
    <row r="76">
      <c r="A76" t="inlineStr">
        <is>
          <t>Turkey</t>
        </is>
      </c>
      <c r="B76" t="inlineStr">
        <is>
          <t>Turqi</t>
        </is>
      </c>
      <c r="C76" t="inlineStr">
        <is>
          <t>تركيا</t>
        </is>
      </c>
      <c r="D76" t="inlineStr">
        <is>
          <t>Թուրքիա</t>
        </is>
      </c>
      <c r="E76" t="inlineStr">
        <is>
          <t>Türkiyə</t>
        </is>
      </c>
      <c r="F76" t="inlineStr">
        <is>
          <t>Турция</t>
        </is>
      </c>
      <c r="G76" t="inlineStr">
        <is>
          <t>Turquia</t>
        </is>
      </c>
      <c r="H76" t="inlineStr">
        <is>
          <t>土耳其</t>
        </is>
      </c>
      <c r="I76" t="inlineStr">
        <is>
          <t>土耳其</t>
        </is>
      </c>
      <c r="J76" t="inlineStr">
        <is>
          <t>Turska</t>
        </is>
      </c>
      <c r="K76" t="inlineStr">
        <is>
          <t>Turecko</t>
        </is>
      </c>
      <c r="L76" t="inlineStr">
        <is>
          <t>Tyrkiet</t>
        </is>
      </c>
      <c r="M76" t="inlineStr">
        <is>
          <t>Turkije</t>
        </is>
      </c>
      <c r="N76" t="inlineStr">
        <is>
          <t>Turquie</t>
        </is>
      </c>
      <c r="O76" t="inlineStr">
        <is>
          <t>Turquie</t>
        </is>
      </c>
      <c r="P76" t="inlineStr">
        <is>
          <t>თურქეთი</t>
        </is>
      </c>
      <c r="Q76" t="inlineStr">
        <is>
          <t>Türkei</t>
        </is>
      </c>
      <c r="R76" t="inlineStr">
        <is>
          <t>Τουρκία</t>
        </is>
      </c>
      <c r="S76" t="inlineStr">
        <is>
          <t>טורקיה</t>
        </is>
      </c>
      <c r="T76" t="inlineStr">
        <is>
          <t>Törökország</t>
        </is>
      </c>
      <c r="U76" t="inlineStr">
        <is>
          <t>Turki</t>
        </is>
      </c>
      <c r="V76" t="inlineStr">
        <is>
          <t>Tyrkland</t>
        </is>
      </c>
      <c r="W76" t="inlineStr">
        <is>
          <t>Turchia</t>
        </is>
      </c>
      <c r="X76" t="inlineStr">
        <is>
          <t>터키</t>
        </is>
      </c>
      <c r="Y76" t="inlineStr">
        <is>
          <t>Turkija</t>
        </is>
      </c>
      <c r="Z76" t="inlineStr">
        <is>
          <t>Турција</t>
        </is>
      </c>
      <c r="AA76" t="inlineStr">
        <is>
          <t>Turkija</t>
        </is>
      </c>
      <c r="AB76" t="inlineStr">
        <is>
          <t>Tyrkia</t>
        </is>
      </c>
      <c r="AC76" t="inlineStr">
        <is>
          <t>ترکیه</t>
        </is>
      </c>
      <c r="AD76" t="inlineStr">
        <is>
          <t>Turcja</t>
        </is>
      </c>
      <c r="AE76" t="inlineStr">
        <is>
          <t>Turquia</t>
        </is>
      </c>
      <c r="AF76" t="inlineStr">
        <is>
          <t>Turcia</t>
        </is>
      </c>
      <c r="AG76" t="inlineStr">
        <is>
          <t>Турска</t>
        </is>
      </c>
      <c r="AH76" t="inlineStr">
        <is>
          <t>Turecko</t>
        </is>
      </c>
      <c r="AI76" t="inlineStr">
        <is>
          <t>Turčija</t>
        </is>
      </c>
      <c r="AJ76" t="inlineStr">
        <is>
          <t>Turquía</t>
        </is>
      </c>
      <c r="AK76" t="inlineStr">
        <is>
          <t>Turkiet</t>
        </is>
      </c>
      <c r="AL76" t="inlineStr">
        <is>
          <t>ตุรกี</t>
        </is>
      </c>
      <c r="AM76" t="inlineStr">
        <is>
          <t>Türkiye</t>
        </is>
      </c>
      <c r="AN76" t="inlineStr">
        <is>
          <t>Thổ Nhĩ Kỳ</t>
        </is>
      </c>
      <c r="AO76" t="inlineStr">
        <is>
          <t>Туреччина</t>
        </is>
      </c>
      <c r="AP76" t="inlineStr">
        <is>
          <t>ترکی</t>
        </is>
      </c>
    </row>
    <row r="77">
      <c r="A77" t="inlineStr">
        <is>
          <t>Curaçao</t>
        </is>
      </c>
      <c r="B77" t="inlineStr">
        <is>
          <t>Kurasao</t>
        </is>
      </c>
      <c r="C77" t="inlineStr">
        <is>
          <t>كوراساو</t>
        </is>
      </c>
      <c r="D77" t="inlineStr">
        <is>
          <t>Կյուրասաո</t>
        </is>
      </c>
      <c r="E77" t="inlineStr">
        <is>
          <t>Kürəsao</t>
        </is>
      </c>
      <c r="F77" t="inlineStr">
        <is>
          <t>Кюрасао</t>
        </is>
      </c>
      <c r="G77" t="inlineStr">
        <is>
          <t>Curaçao</t>
        </is>
      </c>
      <c r="H77" t="inlineStr">
        <is>
          <t>库拉索</t>
        </is>
      </c>
      <c r="I77" t="inlineStr">
        <is>
          <t>庫拉索</t>
        </is>
      </c>
      <c r="J77" t="inlineStr">
        <is>
          <t>Curaçao</t>
        </is>
      </c>
      <c r="K77" t="inlineStr">
        <is>
          <t>Curaçao</t>
        </is>
      </c>
      <c r="L77" t="inlineStr">
        <is>
          <t>Curaçao</t>
        </is>
      </c>
      <c r="M77" t="inlineStr">
        <is>
          <t>Curacao</t>
        </is>
      </c>
      <c r="N77" t="inlineStr">
        <is>
          <t>Curaçao</t>
        </is>
      </c>
      <c r="O77" t="inlineStr">
        <is>
          <t>Curaçao</t>
        </is>
      </c>
      <c r="P77" t="inlineStr">
        <is>
          <t>კიურასაო</t>
        </is>
      </c>
      <c r="Q77" t="inlineStr">
        <is>
          <t>Curaçao</t>
        </is>
      </c>
      <c r="R77" t="inlineStr">
        <is>
          <t>Κουράσω</t>
        </is>
      </c>
      <c r="S77" t="inlineStr">
        <is>
          <t>קוראסאו</t>
        </is>
      </c>
      <c r="T77" t="inlineStr">
        <is>
          <t>Curaçao</t>
        </is>
      </c>
      <c r="U77" t="inlineStr">
        <is>
          <t>Curaçao</t>
        </is>
      </c>
      <c r="V77" t="inlineStr">
        <is>
          <t>Curaçao</t>
        </is>
      </c>
      <c r="W77" t="inlineStr">
        <is>
          <t>Curaçao</t>
        </is>
      </c>
      <c r="X77" t="inlineStr">
        <is>
          <t>퀴라소</t>
        </is>
      </c>
      <c r="Y77" t="inlineStr">
        <is>
          <t>Kiurasao</t>
        </is>
      </c>
      <c r="Z77" t="inlineStr">
        <is>
          <t>Курасао</t>
        </is>
      </c>
      <c r="AA77" t="inlineStr">
        <is>
          <t>Curaçao</t>
        </is>
      </c>
      <c r="AB77" t="inlineStr">
        <is>
          <t>Curaçao</t>
        </is>
      </c>
      <c r="AC77" t="inlineStr">
        <is>
          <t>کوراسائو</t>
        </is>
      </c>
      <c r="AD77" t="inlineStr">
        <is>
          <t>Curaçao</t>
        </is>
      </c>
      <c r="AE77" t="inlineStr">
        <is>
          <t>Curaçao</t>
        </is>
      </c>
      <c r="AF77" t="inlineStr">
        <is>
          <t>Curaçao</t>
        </is>
      </c>
      <c r="AG77" t="inlineStr">
        <is>
          <t>Курасао</t>
        </is>
      </c>
      <c r="AH77" t="inlineStr">
        <is>
          <t>Curaçao</t>
        </is>
      </c>
      <c r="AI77" t="inlineStr">
        <is>
          <t>Curaçao</t>
        </is>
      </c>
      <c r="AJ77" t="inlineStr">
        <is>
          <t>Curazao</t>
        </is>
      </c>
      <c r="AK77" t="inlineStr">
        <is>
          <t>Curaçao</t>
        </is>
      </c>
      <c r="AL77" t="inlineStr">
        <is>
          <t>คูราเซา</t>
        </is>
      </c>
      <c r="AM77" t="inlineStr">
        <is>
          <t>Curaçao</t>
        </is>
      </c>
      <c r="AN77" t="inlineStr">
        <is>
          <t>Curaçao</t>
        </is>
      </c>
      <c r="AO77" t="inlineStr">
        <is>
          <t>Кюрасао</t>
        </is>
      </c>
      <c r="AP77" t="inlineStr">
        <is>
          <t>Curaçao</t>
        </is>
      </c>
    </row>
    <row r="78">
      <c r="A78" t="inlineStr">
        <is>
          <t>Ivory Coast</t>
        </is>
      </c>
      <c r="B78" t="inlineStr">
        <is>
          <t>Bregu i Fildishtë</t>
        </is>
      </c>
      <c r="C78" t="inlineStr">
        <is>
          <t>ساحل العاج</t>
        </is>
      </c>
      <c r="D78" t="inlineStr">
        <is>
          <t>Կոտ դ'Իվուար</t>
        </is>
      </c>
      <c r="E78" t="inlineStr">
        <is>
          <t>Fil Dişi Sahili</t>
        </is>
      </c>
      <c r="F78" t="inlineStr">
        <is>
          <t>Кот д'Ивоар</t>
        </is>
      </c>
      <c r="G78" t="inlineStr">
        <is>
          <t>Costa d'Ivori</t>
        </is>
      </c>
      <c r="H78" t="inlineStr">
        <is>
          <t>科特迪瓦</t>
        </is>
      </c>
      <c r="I78" t="inlineStr">
        <is>
          <t>科特迪瓦</t>
        </is>
      </c>
      <c r="J78" t="inlineStr">
        <is>
          <t>Obala Bjelokosti</t>
        </is>
      </c>
      <c r="K78" t="inlineStr">
        <is>
          <t>Pobřeží slonoviny</t>
        </is>
      </c>
      <c r="L78" t="inlineStr">
        <is>
          <t>Elfenbenskysten</t>
        </is>
      </c>
      <c r="M78" t="inlineStr">
        <is>
          <t>Ivoorkust</t>
        </is>
      </c>
      <c r="N78" t="inlineStr">
        <is>
          <t>Côte d'Ivoire</t>
        </is>
      </c>
      <c r="O78" t="inlineStr">
        <is>
          <t>Côte d'Ivoire</t>
        </is>
      </c>
      <c r="P78" t="inlineStr">
        <is>
          <t>კოტ-დ’ივუარი</t>
        </is>
      </c>
      <c r="Q78" t="inlineStr">
        <is>
          <t>Elfenbeinküste</t>
        </is>
      </c>
      <c r="R78" t="inlineStr">
        <is>
          <t>Ακτή Ελεφαντοστού</t>
        </is>
      </c>
      <c r="S78" t="inlineStr">
        <is>
          <t>חוף השנהב</t>
        </is>
      </c>
      <c r="T78" t="inlineStr">
        <is>
          <t>Elefántcsontpart</t>
        </is>
      </c>
      <c r="U78" t="inlineStr">
        <is>
          <t>Pantai Gading</t>
        </is>
      </c>
      <c r="V78" t="inlineStr">
        <is>
          <t>Fílabeinsströndin</t>
        </is>
      </c>
      <c r="W78" t="inlineStr">
        <is>
          <t>Costa d'Avorio</t>
        </is>
      </c>
      <c r="X78" t="inlineStr">
        <is>
          <t>상아 해안</t>
        </is>
      </c>
      <c r="Y78" t="inlineStr">
        <is>
          <t>Dramblio Kaulo Krantas</t>
        </is>
      </c>
      <c r="Z78" t="inlineStr">
        <is>
          <t>Брегот на Слоновата Коска</t>
        </is>
      </c>
      <c r="AA78" t="inlineStr">
        <is>
          <t>Kosta tal-Avorju</t>
        </is>
      </c>
      <c r="AB78" t="inlineStr">
        <is>
          <t>Elfenbenskysten</t>
        </is>
      </c>
      <c r="AC78" t="inlineStr">
        <is>
          <t>ساحل عاج</t>
        </is>
      </c>
      <c r="AD78" t="inlineStr">
        <is>
          <t>Wybrzeże Kości Słoniowej</t>
        </is>
      </c>
      <c r="AE78" t="inlineStr">
        <is>
          <t>Costa do Marfim</t>
        </is>
      </c>
      <c r="AF78" t="inlineStr">
        <is>
          <t>Coasta de Fildeș</t>
        </is>
      </c>
      <c r="AG78" t="inlineStr">
        <is>
          <t>Обала Слоноваче</t>
        </is>
      </c>
      <c r="AH78" t="inlineStr">
        <is>
          <t>Pobrežie Slonoviny</t>
        </is>
      </c>
      <c r="AI78" t="inlineStr">
        <is>
          <t>Slonokoščena obala</t>
        </is>
      </c>
      <c r="AJ78" t="inlineStr">
        <is>
          <t>Costa de Marfil</t>
        </is>
      </c>
      <c r="AK78" t="inlineStr">
        <is>
          <t>Elfenbenskusten</t>
        </is>
      </c>
      <c r="AL78" t="inlineStr">
        <is>
          <t>ไอวอรี่โคสต์</t>
        </is>
      </c>
      <c r="AM78" t="inlineStr">
        <is>
          <t>Fildişi Sahili</t>
        </is>
      </c>
      <c r="AN78" t="inlineStr">
        <is>
          <t>Bờ Biển Ngà</t>
        </is>
      </c>
      <c r="AO78" t="inlineStr">
        <is>
          <t>Кот-д'Івуар</t>
        </is>
      </c>
      <c r="AP78" t="inlineStr">
        <is>
          <t>آئیوری کوسٹ</t>
        </is>
      </c>
    </row>
    <row r="79">
      <c r="A79" t="inlineStr">
        <is>
          <t>Sweden</t>
        </is>
      </c>
      <c r="B79" t="inlineStr">
        <is>
          <t>Suedi</t>
        </is>
      </c>
      <c r="C79" t="inlineStr">
        <is>
          <t>السويد</t>
        </is>
      </c>
      <c r="D79" t="inlineStr">
        <is>
          <t>Շվեդիա</t>
        </is>
      </c>
      <c r="E79" t="inlineStr">
        <is>
          <t>İsveç</t>
        </is>
      </c>
      <c r="F79" t="inlineStr">
        <is>
          <t>Швеция</t>
        </is>
      </c>
      <c r="G79" t="inlineStr">
        <is>
          <t>Suècia</t>
        </is>
      </c>
      <c r="H79" t="inlineStr">
        <is>
          <t>瑞典</t>
        </is>
      </c>
      <c r="I79" t="inlineStr">
        <is>
          <t>瑞典</t>
        </is>
      </c>
      <c r="J79" t="inlineStr">
        <is>
          <t>Švedska</t>
        </is>
      </c>
      <c r="K79" t="inlineStr">
        <is>
          <t>Švédsko</t>
        </is>
      </c>
      <c r="L79" t="inlineStr">
        <is>
          <t>Sverige</t>
        </is>
      </c>
      <c r="M79" t="inlineStr">
        <is>
          <t>Zweden</t>
        </is>
      </c>
      <c r="N79" t="inlineStr">
        <is>
          <t>Suède</t>
        </is>
      </c>
      <c r="O79" t="inlineStr">
        <is>
          <t>Suède</t>
        </is>
      </c>
      <c r="P79" t="inlineStr">
        <is>
          <t>შვედეთი</t>
        </is>
      </c>
      <c r="Q79" t="inlineStr">
        <is>
          <t>Schweden</t>
        </is>
      </c>
      <c r="R79" t="inlineStr">
        <is>
          <t>Σουηδία</t>
        </is>
      </c>
      <c r="S79" t="inlineStr">
        <is>
          <t>שבדיה</t>
        </is>
      </c>
      <c r="T79" t="inlineStr">
        <is>
          <t>Svédország</t>
        </is>
      </c>
      <c r="U79" t="inlineStr">
        <is>
          <t>Swedia</t>
        </is>
      </c>
      <c r="V79" t="inlineStr">
        <is>
          <t>Svíþjóð</t>
        </is>
      </c>
      <c r="W79" t="inlineStr">
        <is>
          <t>Svezia</t>
        </is>
      </c>
      <c r="X79" t="inlineStr">
        <is>
          <t>스웨덴</t>
        </is>
      </c>
      <c r="Y79" t="inlineStr">
        <is>
          <t>Švedija</t>
        </is>
      </c>
      <c r="Z79" t="inlineStr">
        <is>
          <t>Шведска</t>
        </is>
      </c>
      <c r="AA79" t="inlineStr">
        <is>
          <t>l-Iżvezja</t>
        </is>
      </c>
      <c r="AB79" t="inlineStr">
        <is>
          <t>Sverige</t>
        </is>
      </c>
      <c r="AC79" t="inlineStr">
        <is>
          <t>سوئد</t>
        </is>
      </c>
      <c r="AD79" t="inlineStr">
        <is>
          <t>Szwecja</t>
        </is>
      </c>
      <c r="AE79" t="inlineStr">
        <is>
          <t>Suécia</t>
        </is>
      </c>
      <c r="AF79" t="inlineStr">
        <is>
          <t>Suedia</t>
        </is>
      </c>
      <c r="AG79" t="inlineStr">
        <is>
          <t>Шведска</t>
        </is>
      </c>
      <c r="AH79" t="inlineStr">
        <is>
          <t>Švédsko</t>
        </is>
      </c>
      <c r="AI79" t="inlineStr">
        <is>
          <t>Švedska</t>
        </is>
      </c>
      <c r="AJ79" t="inlineStr">
        <is>
          <t>Suecia</t>
        </is>
      </c>
      <c r="AK79" t="inlineStr">
        <is>
          <t>Sverige</t>
        </is>
      </c>
      <c r="AL79" t="inlineStr">
        <is>
          <t>สวีเดน</t>
        </is>
      </c>
      <c r="AM79" t="inlineStr">
        <is>
          <t>İsveç</t>
        </is>
      </c>
      <c r="AN79" t="inlineStr">
        <is>
          <t>Thụy Điển</t>
        </is>
      </c>
      <c r="AO79" t="inlineStr">
        <is>
          <t>Швеція</t>
        </is>
      </c>
      <c r="AP79" t="inlineStr">
        <is>
          <t>سویڈن</t>
        </is>
      </c>
    </row>
    <row r="80">
      <c r="A80" t="inlineStr">
        <is>
          <t>Egypt</t>
        </is>
      </c>
      <c r="B80" t="inlineStr">
        <is>
          <t>Egjipti</t>
        </is>
      </c>
      <c r="C80" t="inlineStr">
        <is>
          <t>مصر</t>
        </is>
      </c>
      <c r="D80" t="inlineStr">
        <is>
          <t>Եգիպտոս</t>
        </is>
      </c>
      <c r="E80" t="inlineStr">
        <is>
          <t>Misir</t>
        </is>
      </c>
      <c r="F80" t="inlineStr">
        <is>
          <t>Египет</t>
        </is>
      </c>
      <c r="G80" t="inlineStr">
        <is>
          <t>Egipte</t>
        </is>
      </c>
      <c r="H80" t="inlineStr">
        <is>
          <t>埃及</t>
        </is>
      </c>
      <c r="I80" t="inlineStr">
        <is>
          <t>埃及</t>
        </is>
      </c>
      <c r="J80" t="inlineStr">
        <is>
          <t>Egipat</t>
        </is>
      </c>
      <c r="K80" t="inlineStr">
        <is>
          <t>Egypt</t>
        </is>
      </c>
      <c r="L80" t="inlineStr">
        <is>
          <t>Egypten</t>
        </is>
      </c>
      <c r="M80" t="inlineStr">
        <is>
          <t>Egypte</t>
        </is>
      </c>
      <c r="N80" t="inlineStr">
        <is>
          <t>Egypte</t>
        </is>
      </c>
      <c r="O80" t="inlineStr">
        <is>
          <t>Egypte</t>
        </is>
      </c>
      <c r="P80" t="inlineStr">
        <is>
          <t>ეგვიპტე</t>
        </is>
      </c>
      <c r="Q80" t="inlineStr">
        <is>
          <t>Ägypten</t>
        </is>
      </c>
      <c r="R80" t="inlineStr">
        <is>
          <t>Αίγυπτος</t>
        </is>
      </c>
      <c r="S80" t="inlineStr">
        <is>
          <t>מִצְרַיִם</t>
        </is>
      </c>
      <c r="T80" t="inlineStr">
        <is>
          <t>Egyiptom</t>
        </is>
      </c>
      <c r="U80" t="inlineStr">
        <is>
          <t>Mesir</t>
        </is>
      </c>
      <c r="V80" t="inlineStr">
        <is>
          <t>Egyptaland</t>
        </is>
      </c>
      <c r="W80" t="inlineStr">
        <is>
          <t>Egitto</t>
        </is>
      </c>
      <c r="X80" t="inlineStr">
        <is>
          <t>이집트</t>
        </is>
      </c>
      <c r="Y80" t="inlineStr">
        <is>
          <t>Egiptas</t>
        </is>
      </c>
      <c r="Z80" t="inlineStr">
        <is>
          <t>Египет</t>
        </is>
      </c>
      <c r="AA80" t="inlineStr">
        <is>
          <t>l-Eġittu</t>
        </is>
      </c>
      <c r="AB80" t="inlineStr">
        <is>
          <t>Egypt</t>
        </is>
      </c>
      <c r="AC80" t="inlineStr">
        <is>
          <t>مصر</t>
        </is>
      </c>
      <c r="AD80" t="inlineStr">
        <is>
          <t>Egipt</t>
        </is>
      </c>
      <c r="AE80" t="inlineStr">
        <is>
          <t>Egito</t>
        </is>
      </c>
      <c r="AF80" t="inlineStr">
        <is>
          <t>Egipt</t>
        </is>
      </c>
      <c r="AG80" t="inlineStr">
        <is>
          <t>Египат</t>
        </is>
      </c>
      <c r="AH80" t="inlineStr">
        <is>
          <t>Egypt</t>
        </is>
      </c>
      <c r="AI80" t="inlineStr">
        <is>
          <t>Egipt</t>
        </is>
      </c>
      <c r="AJ80" t="inlineStr">
        <is>
          <t>Egipto</t>
        </is>
      </c>
      <c r="AK80" t="inlineStr">
        <is>
          <t>Egypten</t>
        </is>
      </c>
      <c r="AL80" t="inlineStr">
        <is>
          <t>อียิปต์</t>
        </is>
      </c>
      <c r="AM80" t="inlineStr">
        <is>
          <t>Mısır</t>
        </is>
      </c>
      <c r="AN80" t="inlineStr">
        <is>
          <t>Ai Cập</t>
        </is>
      </c>
      <c r="AO80" t="inlineStr">
        <is>
          <t>Єгипет</t>
        </is>
      </c>
      <c r="AP80" t="inlineStr">
        <is>
          <t>مصر</t>
        </is>
      </c>
    </row>
    <row r="81">
      <c r="A81" t="inlineStr">
        <is>
          <t>New Zealand</t>
        </is>
      </c>
      <c r="B81" t="inlineStr">
        <is>
          <t>Zelanda e Re</t>
        </is>
      </c>
      <c r="C81" t="inlineStr">
        <is>
          <t>نيوزيلندا</t>
        </is>
      </c>
      <c r="D81" t="inlineStr">
        <is>
          <t>Նոր Զելանդիա</t>
        </is>
      </c>
      <c r="E81" t="inlineStr">
        <is>
          <t>Yeni Zelandiya</t>
        </is>
      </c>
      <c r="F81" t="inlineStr">
        <is>
          <t>Нова Зеландия</t>
        </is>
      </c>
      <c r="G81" t="inlineStr">
        <is>
          <t>Nova Zelanda</t>
        </is>
      </c>
      <c r="H81" t="inlineStr">
        <is>
          <t>新西兰</t>
        </is>
      </c>
      <c r="I81" t="inlineStr">
        <is>
          <t>紐西蘭</t>
        </is>
      </c>
      <c r="J81" t="inlineStr">
        <is>
          <t>Novi Zeland</t>
        </is>
      </c>
      <c r="K81" t="inlineStr">
        <is>
          <t>Nový Zéland</t>
        </is>
      </c>
      <c r="L81" t="inlineStr">
        <is>
          <t>New Zealand</t>
        </is>
      </c>
      <c r="M81" t="inlineStr">
        <is>
          <t>Nieuw-Zeeland</t>
        </is>
      </c>
      <c r="N81" t="inlineStr">
        <is>
          <t>Nouvelle-Zélande</t>
        </is>
      </c>
      <c r="O81" t="inlineStr">
        <is>
          <t>Nouvelle-Zélande</t>
        </is>
      </c>
      <c r="P81" t="inlineStr">
        <is>
          <t>ახალი ზელანდია</t>
        </is>
      </c>
      <c r="Q81" t="inlineStr">
        <is>
          <t>Neuseeland</t>
        </is>
      </c>
      <c r="R81" t="inlineStr">
        <is>
          <t>Νέα Ζηλανδία</t>
        </is>
      </c>
      <c r="S81" t="inlineStr">
        <is>
          <t>ניו זילנד</t>
        </is>
      </c>
      <c r="T81" t="inlineStr">
        <is>
          <t>Új-Zéland</t>
        </is>
      </c>
      <c r="U81" t="inlineStr">
        <is>
          <t>Selandia Baru</t>
        </is>
      </c>
      <c r="V81" t="inlineStr">
        <is>
          <t>Nýja-Sjáland</t>
        </is>
      </c>
      <c r="W81" t="inlineStr">
        <is>
          <t>Nuova Zelanda</t>
        </is>
      </c>
      <c r="X81" t="inlineStr">
        <is>
          <t>뉴질랜드</t>
        </is>
      </c>
      <c r="Y81" t="inlineStr">
        <is>
          <t>Naujoji Zelandija</t>
        </is>
      </c>
      <c r="Z81" t="inlineStr">
        <is>
          <t>Нов Зеланд</t>
        </is>
      </c>
      <c r="AA81" t="inlineStr">
        <is>
          <t>New Zealand</t>
        </is>
      </c>
      <c r="AB81" t="inlineStr">
        <is>
          <t>New Zealand</t>
        </is>
      </c>
      <c r="AC81" t="inlineStr">
        <is>
          <t>نیوزیلند</t>
        </is>
      </c>
      <c r="AD81" t="inlineStr">
        <is>
          <t>Nowa Zelandia</t>
        </is>
      </c>
      <c r="AE81" t="inlineStr">
        <is>
          <t>Nova Zelândia</t>
        </is>
      </c>
      <c r="AF81" t="inlineStr">
        <is>
          <t>Noua Zeelandă</t>
        </is>
      </c>
      <c r="AG81" t="inlineStr">
        <is>
          <t>Нови Зеланд</t>
        </is>
      </c>
      <c r="AH81" t="inlineStr">
        <is>
          <t>Nový Zéland</t>
        </is>
      </c>
      <c r="AI81" t="inlineStr">
        <is>
          <t>Nova Zelandija</t>
        </is>
      </c>
      <c r="AJ81" t="inlineStr">
        <is>
          <t>Nueva Zelanda</t>
        </is>
      </c>
      <c r="AK81" t="inlineStr">
        <is>
          <t>Nya Zeeland</t>
        </is>
      </c>
      <c r="AL81" t="inlineStr">
        <is>
          <t>นิวซีแลนด์</t>
        </is>
      </c>
      <c r="AM81" t="inlineStr">
        <is>
          <t>Yeni Zelanda</t>
        </is>
      </c>
      <c r="AN81" t="inlineStr">
        <is>
          <t>New Zealand</t>
        </is>
      </c>
      <c r="AO81" t="inlineStr">
        <is>
          <t>Нова Зеландія</t>
        </is>
      </c>
      <c r="AP81" t="inlineStr">
        <is>
          <t>نیوزی لینڈ</t>
        </is>
      </c>
    </row>
    <row r="82">
      <c r="A82" t="inlineStr">
        <is>
          <t>Cape Verde</t>
        </is>
      </c>
      <c r="B82" t="inlineStr">
        <is>
          <t>Kepi ​​i Gjelbër</t>
        </is>
      </c>
      <c r="C82" t="inlineStr">
        <is>
          <t>الرأس الأخضر</t>
        </is>
      </c>
      <c r="D82" t="inlineStr">
        <is>
          <t>Կաբո Վերդե</t>
        </is>
      </c>
      <c r="E82" t="inlineStr">
        <is>
          <t>Kabo-Verde</t>
        </is>
      </c>
      <c r="F82" t="inlineStr">
        <is>
          <t>Кабо Верде</t>
        </is>
      </c>
      <c r="G82" t="inlineStr">
        <is>
          <t>Cap Verd</t>
        </is>
      </c>
      <c r="H82" t="inlineStr">
        <is>
          <t>佛得角</t>
        </is>
      </c>
      <c r="I82" t="inlineStr">
        <is>
          <t>維德角</t>
        </is>
      </c>
      <c r="J82" t="inlineStr">
        <is>
          <t>Zelenortski Otoci</t>
        </is>
      </c>
      <c r="K82" t="inlineStr">
        <is>
          <t>Kapverdy</t>
        </is>
      </c>
      <c r="L82" t="inlineStr">
        <is>
          <t>Kap Verde</t>
        </is>
      </c>
      <c r="M82" t="inlineStr">
        <is>
          <t>Kaapverdië</t>
        </is>
      </c>
      <c r="N82" t="inlineStr">
        <is>
          <t>Cap-Vert</t>
        </is>
      </c>
      <c r="O82" t="inlineStr">
        <is>
          <t>Cap-Vert</t>
        </is>
      </c>
      <c r="P82" t="inlineStr">
        <is>
          <t>კაბო-ვერდე</t>
        </is>
      </c>
      <c r="Q82" t="inlineStr">
        <is>
          <t>Kap Verde</t>
        </is>
      </c>
      <c r="R82" t="inlineStr">
        <is>
          <t>Πράσινο Ακρωτήριο</t>
        </is>
      </c>
      <c r="S82" t="inlineStr">
        <is>
          <t>כף ורדה</t>
        </is>
      </c>
      <c r="T82" t="inlineStr">
        <is>
          <t>Zöld-foki Köztársaság</t>
        </is>
      </c>
      <c r="U82" t="inlineStr">
        <is>
          <t>Tanjung Verde</t>
        </is>
      </c>
      <c r="V82" t="inlineStr">
        <is>
          <t>Grænhöfðaeyjar</t>
        </is>
      </c>
      <c r="W82" t="inlineStr">
        <is>
          <t>Capo Verde</t>
        </is>
      </c>
      <c r="X82" t="inlineStr">
        <is>
          <t>카보베르데</t>
        </is>
      </c>
      <c r="Y82" t="inlineStr">
        <is>
          <t>Žaliasis Kyšulys</t>
        </is>
      </c>
      <c r="Z82" t="inlineStr">
        <is>
          <t>Зелен ’Рт</t>
        </is>
      </c>
      <c r="AA82" t="inlineStr">
        <is>
          <t>Kap Verde</t>
        </is>
      </c>
      <c r="AB82" t="inlineStr">
        <is>
          <t>Kapp Verde</t>
        </is>
      </c>
      <c r="AC82" t="inlineStr">
        <is>
          <t>کیپ ورد</t>
        </is>
      </c>
      <c r="AD82" t="inlineStr">
        <is>
          <t>Republika Zielonego Przylądka</t>
        </is>
      </c>
      <c r="AE82" t="inlineStr">
        <is>
          <t>Cabo Verde</t>
        </is>
      </c>
      <c r="AF82" t="inlineStr">
        <is>
          <t>Capul Verde</t>
        </is>
      </c>
      <c r="AG82" t="inlineStr">
        <is>
          <t>Зеленортска Острва</t>
        </is>
      </c>
      <c r="AH82" t="inlineStr">
        <is>
          <t>Kapverdy</t>
        </is>
      </c>
      <c r="AI82" t="inlineStr">
        <is>
          <t>Zelenortski otoki</t>
        </is>
      </c>
      <c r="AJ82" t="inlineStr">
        <is>
          <t>Cabo Verde</t>
        </is>
      </c>
      <c r="AK82" t="inlineStr">
        <is>
          <t>Kap Verde</t>
        </is>
      </c>
      <c r="AL82" t="inlineStr">
        <is>
          <t>เคปเวอร์เด</t>
        </is>
      </c>
      <c r="AM82" t="inlineStr">
        <is>
          <t>Yeşil Burun Adaları</t>
        </is>
      </c>
      <c r="AN82" t="inlineStr">
        <is>
          <t>Cape Verde</t>
        </is>
      </c>
      <c r="AO82" t="inlineStr">
        <is>
          <t>Кабо-Верде</t>
        </is>
      </c>
      <c r="AP82" t="inlineStr">
        <is>
          <t>کیپ وردے</t>
        </is>
      </c>
    </row>
    <row r="83">
      <c r="A83" t="inlineStr">
        <is>
          <t>Iraq</t>
        </is>
      </c>
      <c r="B83" t="inlineStr">
        <is>
          <t>Iraku</t>
        </is>
      </c>
      <c r="C83" t="inlineStr">
        <is>
          <t>العراق</t>
        </is>
      </c>
      <c r="D83" t="inlineStr">
        <is>
          <t>Իրաք</t>
        </is>
      </c>
      <c r="E83" t="inlineStr">
        <is>
          <t>İraq</t>
        </is>
      </c>
      <c r="F83" t="inlineStr">
        <is>
          <t>Ирак</t>
        </is>
      </c>
      <c r="G83" t="inlineStr">
        <is>
          <t>Iraq</t>
        </is>
      </c>
      <c r="H83" t="inlineStr">
        <is>
          <t>伊拉克</t>
        </is>
      </c>
      <c r="I83" t="inlineStr">
        <is>
          <t>伊拉克</t>
        </is>
      </c>
      <c r="J83" t="inlineStr">
        <is>
          <t>Irak</t>
        </is>
      </c>
      <c r="K83" t="inlineStr">
        <is>
          <t>Irák</t>
        </is>
      </c>
      <c r="L83" t="inlineStr">
        <is>
          <t>Irak</t>
        </is>
      </c>
      <c r="M83" t="inlineStr">
        <is>
          <t>Irak</t>
        </is>
      </c>
      <c r="N83" t="inlineStr">
        <is>
          <t>Irak</t>
        </is>
      </c>
      <c r="O83" t="inlineStr">
        <is>
          <t>Irak</t>
        </is>
      </c>
      <c r="P83" t="inlineStr">
        <is>
          <t>ერაყი</t>
        </is>
      </c>
      <c r="Q83" t="inlineStr">
        <is>
          <t>Irak</t>
        </is>
      </c>
      <c r="R83" t="inlineStr">
        <is>
          <t>Ιράκ</t>
        </is>
      </c>
      <c r="S83" t="inlineStr">
        <is>
          <t>עִירַאק</t>
        </is>
      </c>
      <c r="T83" t="inlineStr">
        <is>
          <t>Irak</t>
        </is>
      </c>
      <c r="U83" t="inlineStr">
        <is>
          <t>Irak</t>
        </is>
      </c>
      <c r="V83" t="inlineStr">
        <is>
          <t>Írak</t>
        </is>
      </c>
      <c r="W83" t="inlineStr">
        <is>
          <t>Iraq</t>
        </is>
      </c>
      <c r="X83" t="inlineStr">
        <is>
          <t>이라크</t>
        </is>
      </c>
      <c r="Y83" t="inlineStr">
        <is>
          <t>Irakas</t>
        </is>
      </c>
      <c r="Z83" t="inlineStr">
        <is>
          <t>Ирак</t>
        </is>
      </c>
      <c r="AA83" t="inlineStr">
        <is>
          <t>l-Iraq</t>
        </is>
      </c>
      <c r="AB83" t="inlineStr">
        <is>
          <t>Irak</t>
        </is>
      </c>
      <c r="AC83" t="inlineStr">
        <is>
          <t>عراق</t>
        </is>
      </c>
      <c r="AD83" t="inlineStr">
        <is>
          <t>Irak</t>
        </is>
      </c>
      <c r="AE83" t="inlineStr">
        <is>
          <t>Iraque</t>
        </is>
      </c>
      <c r="AF83" t="inlineStr">
        <is>
          <t>Irak</t>
        </is>
      </c>
      <c r="AG83" t="inlineStr">
        <is>
          <t>Ирак</t>
        </is>
      </c>
      <c r="AH83" t="inlineStr">
        <is>
          <t>Irak</t>
        </is>
      </c>
      <c r="AI83" t="inlineStr">
        <is>
          <t>Irak</t>
        </is>
      </c>
      <c r="AJ83" t="inlineStr">
        <is>
          <t>Irak</t>
        </is>
      </c>
      <c r="AK83" t="inlineStr">
        <is>
          <t>Irak</t>
        </is>
      </c>
      <c r="AL83" t="inlineStr">
        <is>
          <t>อิรัก</t>
        </is>
      </c>
      <c r="AM83" t="inlineStr">
        <is>
          <t>Irak</t>
        </is>
      </c>
      <c r="AN83" t="inlineStr">
        <is>
          <t>Iraq</t>
        </is>
      </c>
      <c r="AO83" t="inlineStr">
        <is>
          <t>Ірак</t>
        </is>
      </c>
      <c r="AP83" t="inlineStr">
        <is>
          <t>عراق</t>
        </is>
      </c>
    </row>
    <row r="84">
      <c r="A84" t="inlineStr">
        <is>
          <t>Norway</t>
        </is>
      </c>
      <c r="B84" t="inlineStr">
        <is>
          <t>Norvegji</t>
        </is>
      </c>
      <c r="C84" t="inlineStr">
        <is>
          <t>النرويج</t>
        </is>
      </c>
      <c r="D84" t="inlineStr">
        <is>
          <t>Նորվեգիա</t>
        </is>
      </c>
      <c r="E84" t="inlineStr">
        <is>
          <t>Norveç</t>
        </is>
      </c>
      <c r="F84" t="inlineStr">
        <is>
          <t>Норвегия</t>
        </is>
      </c>
      <c r="G84" t="inlineStr">
        <is>
          <t>Noruega</t>
        </is>
      </c>
      <c r="H84" t="inlineStr">
        <is>
          <t>挪威</t>
        </is>
      </c>
      <c r="I84" t="inlineStr">
        <is>
          <t>挪威</t>
        </is>
      </c>
      <c r="J84" t="inlineStr">
        <is>
          <t>Norveška</t>
        </is>
      </c>
      <c r="K84" t="inlineStr">
        <is>
          <t>Norsko</t>
        </is>
      </c>
      <c r="L84" t="inlineStr">
        <is>
          <t>Norge</t>
        </is>
      </c>
      <c r="M84" t="inlineStr">
        <is>
          <t>Noorwegen</t>
        </is>
      </c>
      <c r="N84" t="inlineStr">
        <is>
          <t>Norvège</t>
        </is>
      </c>
      <c r="O84" t="inlineStr">
        <is>
          <t>Norvège</t>
        </is>
      </c>
      <c r="P84" t="inlineStr">
        <is>
          <t>ნორვეგია</t>
        </is>
      </c>
      <c r="Q84" t="inlineStr">
        <is>
          <t>Norwegen</t>
        </is>
      </c>
      <c r="R84" t="inlineStr">
        <is>
          <t>Νορβηγία</t>
        </is>
      </c>
      <c r="S84" t="inlineStr">
        <is>
          <t>נורבגיה</t>
        </is>
      </c>
      <c r="T84" t="inlineStr">
        <is>
          <t>Norvégia</t>
        </is>
      </c>
      <c r="U84" t="inlineStr">
        <is>
          <t>Norwegia</t>
        </is>
      </c>
      <c r="V84" t="inlineStr">
        <is>
          <t>Noregur</t>
        </is>
      </c>
      <c r="W84" t="inlineStr">
        <is>
          <t>Norvegia</t>
        </is>
      </c>
      <c r="X84" t="inlineStr">
        <is>
          <t>노르웨이</t>
        </is>
      </c>
      <c r="Y84" t="inlineStr">
        <is>
          <t>Norvegija</t>
        </is>
      </c>
      <c r="Z84" t="inlineStr">
        <is>
          <t>Норвешка</t>
        </is>
      </c>
      <c r="AA84" t="inlineStr">
        <is>
          <t>in-Norveġja</t>
        </is>
      </c>
      <c r="AB84" t="inlineStr">
        <is>
          <t>Norge</t>
        </is>
      </c>
      <c r="AC84" t="inlineStr">
        <is>
          <t>نروژ</t>
        </is>
      </c>
      <c r="AD84" t="inlineStr">
        <is>
          <t>Norwegia</t>
        </is>
      </c>
      <c r="AE84" t="inlineStr">
        <is>
          <t>Noruega</t>
        </is>
      </c>
      <c r="AF84" t="inlineStr">
        <is>
          <t>Norvegia</t>
        </is>
      </c>
      <c r="AG84" t="inlineStr">
        <is>
          <t>Норвешка</t>
        </is>
      </c>
      <c r="AH84" t="inlineStr">
        <is>
          <t>Nórsko</t>
        </is>
      </c>
      <c r="AI84" t="inlineStr">
        <is>
          <t>Norveška</t>
        </is>
      </c>
      <c r="AJ84" t="inlineStr">
        <is>
          <t>Noruega</t>
        </is>
      </c>
      <c r="AK84" t="inlineStr">
        <is>
          <t>Norge</t>
        </is>
      </c>
      <c r="AL84" t="inlineStr">
        <is>
          <t>นอร์เวย์</t>
        </is>
      </c>
      <c r="AM84" t="inlineStr">
        <is>
          <t>Norveç</t>
        </is>
      </c>
      <c r="AN84" t="inlineStr">
        <is>
          <t>Na Uy</t>
        </is>
      </c>
      <c r="AO84" t="inlineStr">
        <is>
          <t>Норвегія</t>
        </is>
      </c>
      <c r="AP84" t="inlineStr">
        <is>
          <t>ناروے</t>
        </is>
      </c>
    </row>
    <row r="85">
      <c r="A85" t="inlineStr">
        <is>
          <t>Algeria</t>
        </is>
      </c>
      <c r="B85" t="inlineStr">
        <is>
          <t>Algjeri</t>
        </is>
      </c>
      <c r="C85" t="inlineStr">
        <is>
          <t>الجزائر</t>
        </is>
      </c>
      <c r="D85" t="inlineStr">
        <is>
          <t>Ալժիր</t>
        </is>
      </c>
      <c r="E85" t="inlineStr">
        <is>
          <t>Əlcəzair</t>
        </is>
      </c>
      <c r="F85" t="inlineStr">
        <is>
          <t>Алжир</t>
        </is>
      </c>
      <c r="G85" t="inlineStr">
        <is>
          <t>Algèria</t>
        </is>
      </c>
      <c r="H85" t="inlineStr">
        <is>
          <t>阿尔及利亚</t>
        </is>
      </c>
      <c r="I85" t="inlineStr">
        <is>
          <t>阿爾及利亞</t>
        </is>
      </c>
      <c r="J85" t="inlineStr">
        <is>
          <t>Alžir</t>
        </is>
      </c>
      <c r="K85" t="inlineStr">
        <is>
          <t>Alžírsko</t>
        </is>
      </c>
      <c r="L85" t="inlineStr">
        <is>
          <t>Algeriet</t>
        </is>
      </c>
      <c r="M85" t="inlineStr">
        <is>
          <t>Algerije</t>
        </is>
      </c>
      <c r="N85" t="inlineStr">
        <is>
          <t>Algérie</t>
        </is>
      </c>
      <c r="O85" t="inlineStr">
        <is>
          <t>Algérie</t>
        </is>
      </c>
      <c r="P85" t="inlineStr">
        <is>
          <t>ალჟირი</t>
        </is>
      </c>
      <c r="Q85" t="inlineStr">
        <is>
          <t>Algerien</t>
        </is>
      </c>
      <c r="R85" t="inlineStr">
        <is>
          <t>Αλγερία</t>
        </is>
      </c>
      <c r="S85" t="inlineStr">
        <is>
          <t>אלג'יריה</t>
        </is>
      </c>
      <c r="T85" t="inlineStr">
        <is>
          <t>Algéria</t>
        </is>
      </c>
      <c r="U85" t="inlineStr">
        <is>
          <t>Aljazair</t>
        </is>
      </c>
      <c r="V85" t="inlineStr">
        <is>
          <t>Alsír</t>
        </is>
      </c>
      <c r="W85" t="inlineStr">
        <is>
          <t>Algeria</t>
        </is>
      </c>
      <c r="X85" t="inlineStr">
        <is>
          <t>알제리</t>
        </is>
      </c>
      <c r="Y85" t="inlineStr">
        <is>
          <t>Alžyras</t>
        </is>
      </c>
      <c r="Z85" t="inlineStr">
        <is>
          <t>Алжир</t>
        </is>
      </c>
      <c r="AA85" t="inlineStr">
        <is>
          <t>Alġerija</t>
        </is>
      </c>
      <c r="AB85" t="inlineStr">
        <is>
          <t>Algerie</t>
        </is>
      </c>
      <c r="AC85" t="inlineStr">
        <is>
          <t>الجزایر</t>
        </is>
      </c>
      <c r="AD85" t="inlineStr">
        <is>
          <t>Algieria</t>
        </is>
      </c>
      <c r="AE85" t="inlineStr">
        <is>
          <t>Argélia</t>
        </is>
      </c>
      <c r="AF85" t="inlineStr">
        <is>
          <t>Algeria</t>
        </is>
      </c>
      <c r="AG85" t="inlineStr">
        <is>
          <t>Алжир</t>
        </is>
      </c>
      <c r="AH85" t="inlineStr">
        <is>
          <t>Alžírsko</t>
        </is>
      </c>
      <c r="AI85" t="inlineStr">
        <is>
          <t>Alžirija</t>
        </is>
      </c>
      <c r="AJ85" t="inlineStr">
        <is>
          <t>Argelia</t>
        </is>
      </c>
      <c r="AK85" t="inlineStr">
        <is>
          <t>Algeriet</t>
        </is>
      </c>
      <c r="AL85" t="inlineStr">
        <is>
          <t>แอลจีเรีย</t>
        </is>
      </c>
      <c r="AM85" t="inlineStr">
        <is>
          <t>Cezayir</t>
        </is>
      </c>
      <c r="AN85" t="inlineStr">
        <is>
          <t>Algeria</t>
        </is>
      </c>
      <c r="AO85" t="inlineStr">
        <is>
          <t>Алжир</t>
        </is>
      </c>
      <c r="AP85" t="inlineStr">
        <is>
          <t>الجزائر</t>
        </is>
      </c>
    </row>
    <row r="86">
      <c r="A86" t="inlineStr">
        <is>
          <t>Austria</t>
        </is>
      </c>
      <c r="B86" t="inlineStr">
        <is>
          <t>Austri</t>
        </is>
      </c>
      <c r="C86" t="inlineStr">
        <is>
          <t>النمسا</t>
        </is>
      </c>
      <c r="D86" t="inlineStr">
        <is>
          <t>Ավստրիա</t>
        </is>
      </c>
      <c r="E86" t="inlineStr">
        <is>
          <t>Avstriya</t>
        </is>
      </c>
      <c r="F86" t="inlineStr">
        <is>
          <t>Австрия</t>
        </is>
      </c>
      <c r="G86" t="inlineStr">
        <is>
          <t>Àustria</t>
        </is>
      </c>
      <c r="H86" t="inlineStr">
        <is>
          <t>奥地利</t>
        </is>
      </c>
      <c r="I86" t="inlineStr">
        <is>
          <t>奧地利</t>
        </is>
      </c>
      <c r="J86" t="inlineStr">
        <is>
          <t>Austrija</t>
        </is>
      </c>
      <c r="K86" t="inlineStr">
        <is>
          <t>Rakousko</t>
        </is>
      </c>
      <c r="L86" t="inlineStr">
        <is>
          <t>Østrig</t>
        </is>
      </c>
      <c r="M86" t="inlineStr">
        <is>
          <t>Oostenrijk</t>
        </is>
      </c>
      <c r="N86" t="inlineStr">
        <is>
          <t>Autriche</t>
        </is>
      </c>
      <c r="O86" t="inlineStr">
        <is>
          <t>Autriche</t>
        </is>
      </c>
      <c r="P86" t="inlineStr">
        <is>
          <t>ავსტრია</t>
        </is>
      </c>
      <c r="Q86" t="inlineStr">
        <is>
          <t>Österreich</t>
        </is>
      </c>
      <c r="R86" t="inlineStr">
        <is>
          <t>Αυστρία</t>
        </is>
      </c>
      <c r="S86" t="inlineStr">
        <is>
          <t>אוֹסְטְרֵיָה</t>
        </is>
      </c>
      <c r="T86" t="inlineStr">
        <is>
          <t>Ausztria</t>
        </is>
      </c>
      <c r="U86" t="inlineStr">
        <is>
          <t>Austria</t>
        </is>
      </c>
      <c r="V86" t="inlineStr">
        <is>
          <t>Austurríki</t>
        </is>
      </c>
      <c r="W86" t="inlineStr">
        <is>
          <t>Austria</t>
        </is>
      </c>
      <c r="X86" t="inlineStr">
        <is>
          <t>오스트리아</t>
        </is>
      </c>
      <c r="Y86" t="inlineStr">
        <is>
          <t>Austrija</t>
        </is>
      </c>
      <c r="Z86" t="inlineStr">
        <is>
          <t>Австрија</t>
        </is>
      </c>
      <c r="AA86" t="inlineStr">
        <is>
          <t>l-Awstrija</t>
        </is>
      </c>
      <c r="AB86" t="inlineStr">
        <is>
          <t>Østerrike</t>
        </is>
      </c>
      <c r="AC86" t="inlineStr">
        <is>
          <t>اتریش</t>
        </is>
      </c>
      <c r="AD86" t="inlineStr">
        <is>
          <t>Austria</t>
        </is>
      </c>
      <c r="AE86" t="inlineStr">
        <is>
          <t>Áustria</t>
        </is>
      </c>
      <c r="AF86" t="inlineStr">
        <is>
          <t>Austria</t>
        </is>
      </c>
      <c r="AG86" t="inlineStr">
        <is>
          <t>Аустрија</t>
        </is>
      </c>
      <c r="AH86" t="inlineStr">
        <is>
          <t>Rakúsko</t>
        </is>
      </c>
      <c r="AI86" t="inlineStr">
        <is>
          <t>Avstrija</t>
        </is>
      </c>
      <c r="AJ86" t="inlineStr">
        <is>
          <t>Austria</t>
        </is>
      </c>
      <c r="AK86" t="inlineStr">
        <is>
          <t>Österrike</t>
        </is>
      </c>
      <c r="AL86" t="inlineStr">
        <is>
          <t>ออสเตรีย</t>
        </is>
      </c>
      <c r="AM86" t="inlineStr">
        <is>
          <t>Avusturya</t>
        </is>
      </c>
      <c r="AN86" t="inlineStr">
        <is>
          <t>Áo</t>
        </is>
      </c>
      <c r="AO86" t="inlineStr">
        <is>
          <t>Австрія</t>
        </is>
      </c>
      <c r="AP86" t="inlineStr">
        <is>
          <t>آسٹریا</t>
        </is>
      </c>
    </row>
    <row r="87">
      <c r="A87" t="inlineStr">
        <is>
          <t>Jordan</t>
        </is>
      </c>
      <c r="B87" t="inlineStr">
        <is>
          <t>Jordania</t>
        </is>
      </c>
      <c r="C87" t="inlineStr">
        <is>
          <t>الأردن</t>
        </is>
      </c>
      <c r="D87" t="inlineStr">
        <is>
          <t>Հորդանան</t>
        </is>
      </c>
      <c r="E87" t="inlineStr">
        <is>
          <t>İordaniya</t>
        </is>
      </c>
      <c r="F87" t="inlineStr">
        <is>
          <t>Йордания</t>
        </is>
      </c>
      <c r="G87" t="inlineStr">
        <is>
          <t>Jordània</t>
        </is>
      </c>
      <c r="H87" t="inlineStr">
        <is>
          <t>约旦</t>
        </is>
      </c>
      <c r="I87" t="inlineStr">
        <is>
          <t>約旦</t>
        </is>
      </c>
      <c r="J87" t="inlineStr">
        <is>
          <t>Jordan</t>
        </is>
      </c>
      <c r="K87" t="inlineStr">
        <is>
          <t>Jordán</t>
        </is>
      </c>
      <c r="L87" t="inlineStr">
        <is>
          <t>Jordan</t>
        </is>
      </c>
      <c r="M87" t="inlineStr">
        <is>
          <t>Jordanië</t>
        </is>
      </c>
      <c r="N87" t="inlineStr">
        <is>
          <t>Jordanie</t>
        </is>
      </c>
      <c r="O87" t="inlineStr">
        <is>
          <t>Jordanie</t>
        </is>
      </c>
      <c r="P87" t="inlineStr">
        <is>
          <t>იორდანია</t>
        </is>
      </c>
      <c r="Q87" t="inlineStr">
        <is>
          <t>Jordanien</t>
        </is>
      </c>
      <c r="R87" t="inlineStr">
        <is>
          <t>Ιορδανία</t>
        </is>
      </c>
      <c r="S87" t="inlineStr">
        <is>
          <t>יַרדֵן</t>
        </is>
      </c>
      <c r="T87" t="inlineStr">
        <is>
          <t>Jordánia</t>
        </is>
      </c>
      <c r="U87" t="inlineStr">
        <is>
          <t>Yordania</t>
        </is>
      </c>
      <c r="V87" t="inlineStr">
        <is>
          <t>Jórdanía</t>
        </is>
      </c>
      <c r="W87" t="inlineStr">
        <is>
          <t>Giordania</t>
        </is>
      </c>
      <c r="X87" t="inlineStr">
        <is>
          <t>요르단</t>
        </is>
      </c>
      <c r="Y87" t="inlineStr">
        <is>
          <t>Jordanija</t>
        </is>
      </c>
      <c r="Z87" t="inlineStr">
        <is>
          <t>Јордан</t>
        </is>
      </c>
      <c r="AA87" t="inlineStr">
        <is>
          <t>Ġordan</t>
        </is>
      </c>
      <c r="AB87" t="inlineStr">
        <is>
          <t>Jordan</t>
        </is>
      </c>
      <c r="AC87" t="inlineStr">
        <is>
          <t>اردن</t>
        </is>
      </c>
      <c r="AD87" t="inlineStr">
        <is>
          <t>Jordania</t>
        </is>
      </c>
      <c r="AE87" t="inlineStr">
        <is>
          <t>Jordânia</t>
        </is>
      </c>
      <c r="AF87" t="inlineStr">
        <is>
          <t>Iordania</t>
        </is>
      </c>
      <c r="AG87" t="inlineStr">
        <is>
          <t>Јордан</t>
        </is>
      </c>
      <c r="AH87" t="inlineStr">
        <is>
          <t>Jordánsko</t>
        </is>
      </c>
      <c r="AI87" t="inlineStr">
        <is>
          <t>Jordanija</t>
        </is>
      </c>
      <c r="AJ87" t="inlineStr">
        <is>
          <t>Jordán</t>
        </is>
      </c>
      <c r="AK87" t="inlineStr">
        <is>
          <t>Jordanien</t>
        </is>
      </c>
      <c r="AL87" t="inlineStr">
        <is>
          <t>จอร์แดน</t>
        </is>
      </c>
      <c r="AM87" t="inlineStr">
        <is>
          <t>Ürdün</t>
        </is>
      </c>
      <c r="AN87" t="inlineStr">
        <is>
          <t>Jordan</t>
        </is>
      </c>
      <c r="AO87" t="inlineStr">
        <is>
          <t>Йорданія</t>
        </is>
      </c>
      <c r="AP87" t="inlineStr">
        <is>
          <t>اردن</t>
        </is>
      </c>
    </row>
    <row r="88">
      <c r="A88" t="inlineStr">
        <is>
          <t>DR Congo</t>
        </is>
      </c>
      <c r="B88" t="inlineStr">
        <is>
          <t>RD Kongos</t>
        </is>
      </c>
      <c r="C88" t="inlineStr">
        <is>
          <t xml:space="preserve"> الكونغو</t>
        </is>
      </c>
      <c r="D88" t="inlineStr">
        <is>
          <t>Կոնգոյի</t>
        </is>
      </c>
      <c r="E88" t="inlineStr">
        <is>
          <t>Konqo DR</t>
        </is>
      </c>
      <c r="F88" t="inlineStr">
        <is>
          <t>ДР Конго</t>
        </is>
      </c>
      <c r="G88" t="inlineStr">
        <is>
          <t>RD Congo</t>
        </is>
      </c>
      <c r="H88" t="inlineStr">
        <is>
          <t>刚果民主共和国</t>
        </is>
      </c>
      <c r="I88" t="inlineStr">
        <is>
          <t>剛果民主共和國</t>
        </is>
      </c>
      <c r="J88" t="inlineStr">
        <is>
          <t>DR Kongo</t>
        </is>
      </c>
      <c r="K88" t="inlineStr">
        <is>
          <t>DR Kongo</t>
        </is>
      </c>
      <c r="L88" t="inlineStr">
        <is>
          <t>DR Congo</t>
        </is>
      </c>
      <c r="M88" t="inlineStr">
        <is>
          <t>DR Congo</t>
        </is>
      </c>
      <c r="N88" t="inlineStr">
        <is>
          <t>RD Congo</t>
        </is>
      </c>
      <c r="O88" t="inlineStr">
        <is>
          <t>RD Congo</t>
        </is>
      </c>
      <c r="P88" t="inlineStr">
        <is>
          <t>კონგოს</t>
        </is>
      </c>
      <c r="Q88" t="inlineStr">
        <is>
          <t>DR Kongo</t>
        </is>
      </c>
      <c r="R88" t="inlineStr">
        <is>
          <t>ΛΔ Κονγκό</t>
        </is>
      </c>
      <c r="S88" t="inlineStr">
        <is>
          <t>דמוקרטית קונגו</t>
        </is>
      </c>
      <c r="T88" t="inlineStr">
        <is>
          <t>Kongói</t>
        </is>
      </c>
      <c r="U88" t="inlineStr">
        <is>
          <t>RD Kongo</t>
        </is>
      </c>
      <c r="V88" t="inlineStr">
        <is>
          <t>Lýðveldið Kongó</t>
        </is>
      </c>
      <c r="W88" t="inlineStr">
        <is>
          <t>RD Congo</t>
        </is>
      </c>
      <c r="X88" t="inlineStr">
        <is>
          <t>콩고민주공화국</t>
        </is>
      </c>
      <c r="Y88" t="inlineStr">
        <is>
          <t>Kongo DR</t>
        </is>
      </c>
      <c r="Z88" t="inlineStr">
        <is>
          <t>ДР Конго</t>
        </is>
      </c>
      <c r="AA88" t="inlineStr">
        <is>
          <t>Repubblika tal-Kongo</t>
        </is>
      </c>
      <c r="AB88" t="inlineStr">
        <is>
          <t>DR Kongo</t>
        </is>
      </c>
      <c r="AC88" t="inlineStr">
        <is>
          <t>جمهوری دموکراتیک کنگو</t>
        </is>
      </c>
      <c r="AD88" t="inlineStr">
        <is>
          <t>DR Konga</t>
        </is>
      </c>
      <c r="AE88" t="inlineStr">
        <is>
          <t>RD Congo</t>
        </is>
      </c>
      <c r="AF88" t="inlineStr">
        <is>
          <t>RD Congo</t>
        </is>
      </c>
      <c r="AG88" t="inlineStr">
        <is>
          <t>ДР Конго</t>
        </is>
      </c>
      <c r="AH88" t="inlineStr">
        <is>
          <t>DR Kongo</t>
        </is>
      </c>
      <c r="AI88" t="inlineStr">
        <is>
          <t>DR Kongo</t>
        </is>
      </c>
      <c r="AJ88" t="inlineStr">
        <is>
          <t>RD Congo</t>
        </is>
      </c>
      <c r="AK88" t="inlineStr">
        <is>
          <t>DR Kongo</t>
        </is>
      </c>
      <c r="AL88" t="inlineStr">
        <is>
          <t>สาธารณรัฐประชาธิปไตยคองโก</t>
        </is>
      </c>
      <c r="AM88" t="inlineStr">
        <is>
          <t>Kongo</t>
        </is>
      </c>
      <c r="AN88" t="inlineStr">
        <is>
          <t>CHDC Congo</t>
        </is>
      </c>
      <c r="AO88" t="inlineStr">
        <is>
          <t>ДР Конго</t>
        </is>
      </c>
      <c r="AP88" t="inlineStr">
        <is>
          <t>ڈی آر کانگو</t>
        </is>
      </c>
    </row>
    <row r="89">
      <c r="A89" t="inlineStr">
        <is>
          <t>Uzbekistan</t>
        </is>
      </c>
      <c r="B89" t="inlineStr">
        <is>
          <t>Uzbekistani</t>
        </is>
      </c>
      <c r="C89" t="inlineStr">
        <is>
          <t>أوزبكستان</t>
        </is>
      </c>
      <c r="D89" t="inlineStr">
        <is>
          <t>Ուզբեկստան</t>
        </is>
      </c>
      <c r="E89" t="inlineStr">
        <is>
          <t>Özbəkistan</t>
        </is>
      </c>
      <c r="F89" t="inlineStr">
        <is>
          <t>Узбекистан</t>
        </is>
      </c>
      <c r="G89" t="inlineStr">
        <is>
          <t>Uzbekistan</t>
        </is>
      </c>
      <c r="H89" t="inlineStr">
        <is>
          <t>乌兹别克斯坦</t>
        </is>
      </c>
      <c r="I89" t="inlineStr">
        <is>
          <t>烏茲別克</t>
        </is>
      </c>
      <c r="J89" t="inlineStr">
        <is>
          <t>Uzbekistan</t>
        </is>
      </c>
      <c r="K89" t="inlineStr">
        <is>
          <t>Uzbekistán</t>
        </is>
      </c>
      <c r="L89" t="inlineStr">
        <is>
          <t>Usbekistan</t>
        </is>
      </c>
      <c r="M89" t="inlineStr">
        <is>
          <t>Oezbekistan</t>
        </is>
      </c>
      <c r="N89" t="inlineStr">
        <is>
          <t>Ouzbékistan</t>
        </is>
      </c>
      <c r="O89" t="inlineStr">
        <is>
          <t>Ouzbékistan</t>
        </is>
      </c>
      <c r="P89" t="inlineStr">
        <is>
          <t>უზბეკეთი</t>
        </is>
      </c>
      <c r="Q89" t="inlineStr">
        <is>
          <t>Usbekistan</t>
        </is>
      </c>
      <c r="R89" t="inlineStr">
        <is>
          <t>Ουζμπεκιστάν</t>
        </is>
      </c>
      <c r="S89" t="inlineStr">
        <is>
          <t>אוזבקיסטן</t>
        </is>
      </c>
      <c r="T89" t="inlineStr">
        <is>
          <t>Üzbegisztán</t>
        </is>
      </c>
      <c r="U89" t="inlineStr">
        <is>
          <t>Uzbekistan</t>
        </is>
      </c>
      <c r="V89" t="inlineStr">
        <is>
          <t>Úsbekistan</t>
        </is>
      </c>
      <c r="W89" t="inlineStr">
        <is>
          <t>Uzbekistan</t>
        </is>
      </c>
      <c r="X89" t="inlineStr">
        <is>
          <t>우즈베키스탄</t>
        </is>
      </c>
      <c r="Y89" t="inlineStr">
        <is>
          <t>Uzbekistanas</t>
        </is>
      </c>
      <c r="Z89" t="inlineStr">
        <is>
          <t>Узбекистан</t>
        </is>
      </c>
      <c r="AA89" t="inlineStr">
        <is>
          <t>l-Użbekistan</t>
        </is>
      </c>
      <c r="AB89" t="inlineStr">
        <is>
          <t>Usbekistan</t>
        </is>
      </c>
      <c r="AC89" t="inlineStr">
        <is>
          <t>ازبکستان</t>
        </is>
      </c>
      <c r="AD89" t="inlineStr">
        <is>
          <t>Uzbekistan</t>
        </is>
      </c>
      <c r="AE89" t="inlineStr">
        <is>
          <t>Uzbequistão</t>
        </is>
      </c>
      <c r="AF89" t="inlineStr">
        <is>
          <t>Uzbekistan</t>
        </is>
      </c>
      <c r="AG89" t="inlineStr">
        <is>
          <t>Узбекистан</t>
        </is>
      </c>
      <c r="AH89" t="inlineStr">
        <is>
          <t>Uzbekistan</t>
        </is>
      </c>
      <c r="AI89" t="inlineStr">
        <is>
          <t>Uzbekistan</t>
        </is>
      </c>
      <c r="AJ89" t="inlineStr">
        <is>
          <t>Uzbekistán</t>
        </is>
      </c>
      <c r="AK89" t="inlineStr">
        <is>
          <t>Uzbekistan</t>
        </is>
      </c>
      <c r="AL89" t="inlineStr">
        <is>
          <t>อุซเบกิสถาน</t>
        </is>
      </c>
      <c r="AM89" t="inlineStr">
        <is>
          <t>Özbekistan</t>
        </is>
      </c>
      <c r="AN89" t="inlineStr">
        <is>
          <t>Uzbekistan</t>
        </is>
      </c>
      <c r="AO89" t="inlineStr">
        <is>
          <t>Узбекистан</t>
        </is>
      </c>
      <c r="AP89" t="inlineStr">
        <is>
          <t>ازبکستان</t>
        </is>
      </c>
    </row>
    <row r="90">
      <c r="A90" t="inlineStr">
        <is>
          <t>Colombia</t>
        </is>
      </c>
      <c r="B90" t="inlineStr">
        <is>
          <t>Kolumbia</t>
        </is>
      </c>
      <c r="C90" t="inlineStr">
        <is>
          <t>كولومبيا</t>
        </is>
      </c>
      <c r="D90" t="inlineStr">
        <is>
          <t>Կոլումբիա</t>
        </is>
      </c>
      <c r="E90" t="inlineStr">
        <is>
          <t>Kolumbiya</t>
        </is>
      </c>
      <c r="F90" t="inlineStr">
        <is>
          <t>Колумбия</t>
        </is>
      </c>
      <c r="G90" t="inlineStr">
        <is>
          <t>Colòmbia</t>
        </is>
      </c>
      <c r="H90" t="inlineStr">
        <is>
          <t>哥伦比亚</t>
        </is>
      </c>
      <c r="I90" t="inlineStr">
        <is>
          <t>哥倫比亞</t>
        </is>
      </c>
      <c r="J90" t="inlineStr">
        <is>
          <t>Kolumbija</t>
        </is>
      </c>
      <c r="K90" t="inlineStr">
        <is>
          <t>Kolumbie</t>
        </is>
      </c>
      <c r="L90" t="inlineStr">
        <is>
          <t>Colombia</t>
        </is>
      </c>
      <c r="M90" t="inlineStr">
        <is>
          <t>Colombia</t>
        </is>
      </c>
      <c r="N90" t="inlineStr">
        <is>
          <t>Colombie</t>
        </is>
      </c>
      <c r="O90" t="inlineStr">
        <is>
          <t>Colombie</t>
        </is>
      </c>
      <c r="P90" t="inlineStr">
        <is>
          <t>კოლუმბია</t>
        </is>
      </c>
      <c r="Q90" t="inlineStr">
        <is>
          <t>Kolumbien</t>
        </is>
      </c>
      <c r="R90" t="inlineStr">
        <is>
          <t>Κολομβία</t>
        </is>
      </c>
      <c r="S90" t="inlineStr">
        <is>
          <t>קולומביה</t>
        </is>
      </c>
      <c r="T90" t="inlineStr">
        <is>
          <t>Colombia</t>
        </is>
      </c>
      <c r="U90" t="inlineStr">
        <is>
          <t>Kolumbia</t>
        </is>
      </c>
      <c r="V90" t="inlineStr">
        <is>
          <t>Kólumbía</t>
        </is>
      </c>
      <c r="W90" t="inlineStr">
        <is>
          <t>Colombia</t>
        </is>
      </c>
      <c r="X90" t="inlineStr">
        <is>
          <t>콜롬비아</t>
        </is>
      </c>
      <c r="Y90" t="inlineStr">
        <is>
          <t>Kolumbija</t>
        </is>
      </c>
      <c r="Z90" t="inlineStr">
        <is>
          <t>Колумбија</t>
        </is>
      </c>
      <c r="AA90" t="inlineStr">
        <is>
          <t>Kolombja</t>
        </is>
      </c>
      <c r="AB90" t="inlineStr">
        <is>
          <t>Colombia</t>
        </is>
      </c>
      <c r="AC90" t="inlineStr">
        <is>
          <t>کلمبیا</t>
        </is>
      </c>
      <c r="AD90" t="inlineStr">
        <is>
          <t>Kolumbia</t>
        </is>
      </c>
      <c r="AE90" t="inlineStr">
        <is>
          <t>Colômbia</t>
        </is>
      </c>
      <c r="AF90" t="inlineStr">
        <is>
          <t>Columbia</t>
        </is>
      </c>
      <c r="AG90" t="inlineStr">
        <is>
          <t>Колумбија</t>
        </is>
      </c>
      <c r="AH90" t="inlineStr">
        <is>
          <t>Kolumbia</t>
        </is>
      </c>
      <c r="AI90" t="inlineStr">
        <is>
          <t>Kolumbija</t>
        </is>
      </c>
      <c r="AJ90" t="inlineStr">
        <is>
          <t>Colombia</t>
        </is>
      </c>
      <c r="AK90" t="inlineStr">
        <is>
          <t>Colombia</t>
        </is>
      </c>
      <c r="AL90" t="inlineStr">
        <is>
          <t>โคลอมเบีย</t>
        </is>
      </c>
      <c r="AM90" t="inlineStr">
        <is>
          <t>Kolombiya</t>
        </is>
      </c>
      <c r="AN90" t="inlineStr">
        <is>
          <t>Colombia</t>
        </is>
      </c>
      <c r="AO90" t="inlineStr">
        <is>
          <t>Колумбія</t>
        </is>
      </c>
      <c r="AP90" t="inlineStr">
        <is>
          <t>کولمبیا</t>
        </is>
      </c>
    </row>
    <row r="91">
      <c r="A91" t="inlineStr">
        <is>
          <t>Panama</t>
        </is>
      </c>
      <c r="B91" t="inlineStr">
        <is>
          <t>Panama</t>
        </is>
      </c>
      <c r="C91" t="inlineStr">
        <is>
          <t>بنما</t>
        </is>
      </c>
      <c r="D91" t="inlineStr">
        <is>
          <t>Պանամա</t>
        </is>
      </c>
      <c r="E91" t="inlineStr">
        <is>
          <t>Panama</t>
        </is>
      </c>
      <c r="F91" t="inlineStr">
        <is>
          <t>Панама</t>
        </is>
      </c>
      <c r="G91" t="inlineStr">
        <is>
          <t>Panamà</t>
        </is>
      </c>
      <c r="H91" t="inlineStr">
        <is>
          <t>巴拿马</t>
        </is>
      </c>
      <c r="I91" t="inlineStr">
        <is>
          <t>巴拿馬</t>
        </is>
      </c>
      <c r="J91" t="inlineStr">
        <is>
          <t>Panama</t>
        </is>
      </c>
      <c r="K91" t="inlineStr">
        <is>
          <t>Panama</t>
        </is>
      </c>
      <c r="L91" t="inlineStr">
        <is>
          <t>Panama</t>
        </is>
      </c>
      <c r="M91" t="inlineStr">
        <is>
          <t>Panama</t>
        </is>
      </c>
      <c r="N91" t="inlineStr">
        <is>
          <t>Panama</t>
        </is>
      </c>
      <c r="O91" t="inlineStr">
        <is>
          <t>Panama</t>
        </is>
      </c>
      <c r="P91" t="inlineStr">
        <is>
          <t>პანამა</t>
        </is>
      </c>
      <c r="Q91" t="inlineStr">
        <is>
          <t>Panama</t>
        </is>
      </c>
      <c r="R91" t="inlineStr">
        <is>
          <t>Παναμάς</t>
        </is>
      </c>
      <c r="S91" t="inlineStr">
        <is>
          <t>פנמה</t>
        </is>
      </c>
      <c r="T91" t="inlineStr">
        <is>
          <t>Panama</t>
        </is>
      </c>
      <c r="U91" t="inlineStr">
        <is>
          <t>Panama</t>
        </is>
      </c>
      <c r="V91" t="inlineStr">
        <is>
          <t>Panama</t>
        </is>
      </c>
      <c r="W91" t="inlineStr">
        <is>
          <t>Panama</t>
        </is>
      </c>
      <c r="X91" t="inlineStr">
        <is>
          <t>파나마</t>
        </is>
      </c>
      <c r="Y91" t="inlineStr">
        <is>
          <t>Panama</t>
        </is>
      </c>
      <c r="Z91" t="inlineStr">
        <is>
          <t>Панама</t>
        </is>
      </c>
      <c r="AA91" t="inlineStr">
        <is>
          <t>il-Panama</t>
        </is>
      </c>
      <c r="AB91" t="inlineStr">
        <is>
          <t>Panama</t>
        </is>
      </c>
      <c r="AC91" t="inlineStr">
        <is>
          <t>پاناما</t>
        </is>
      </c>
      <c r="AD91" t="inlineStr">
        <is>
          <t>Panama</t>
        </is>
      </c>
      <c r="AE91" t="inlineStr">
        <is>
          <t>Panamá</t>
        </is>
      </c>
      <c r="AF91" t="inlineStr">
        <is>
          <t>Panama</t>
        </is>
      </c>
      <c r="AG91" t="inlineStr">
        <is>
          <t>Панама</t>
        </is>
      </c>
      <c r="AH91" t="inlineStr">
        <is>
          <t>Panama</t>
        </is>
      </c>
      <c r="AI91" t="inlineStr">
        <is>
          <t>Panama</t>
        </is>
      </c>
      <c r="AJ91" t="inlineStr">
        <is>
          <t>Panamá</t>
        </is>
      </c>
      <c r="AK91" t="inlineStr">
        <is>
          <t>Panama</t>
        </is>
      </c>
      <c r="AL91" t="inlineStr">
        <is>
          <t>ปานามา</t>
        </is>
      </c>
      <c r="AM91" t="inlineStr">
        <is>
          <t>Panama</t>
        </is>
      </c>
      <c r="AN91" t="inlineStr">
        <is>
          <t>Panama</t>
        </is>
      </c>
      <c r="AO91" t="inlineStr">
        <is>
          <t>Панама</t>
        </is>
      </c>
      <c r="AP91" t="inlineStr">
        <is>
          <t>پانامہ</t>
        </is>
      </c>
    </row>
    <row r="112">
      <c r="A112" t="inlineStr">
        <is>
          <t>1A</t>
        </is>
      </c>
      <c r="B112" t="inlineStr">
        <is>
          <t>1A</t>
        </is>
      </c>
      <c r="C112" t="inlineStr">
        <is>
          <t>1A</t>
        </is>
      </c>
      <c r="D112" t="inlineStr">
        <is>
          <t>1A</t>
        </is>
      </c>
      <c r="E112" t="inlineStr">
        <is>
          <t>1A</t>
        </is>
      </c>
      <c r="F112" t="inlineStr">
        <is>
          <t>1A</t>
        </is>
      </c>
      <c r="G112" t="inlineStr">
        <is>
          <t>1A</t>
        </is>
      </c>
      <c r="H112" t="inlineStr">
        <is>
          <t>1A</t>
        </is>
      </c>
      <c r="I112" t="inlineStr">
        <is>
          <t>1A</t>
        </is>
      </c>
      <c r="J112" t="inlineStr">
        <is>
          <t>1A</t>
        </is>
      </c>
      <c r="K112" t="inlineStr">
        <is>
          <t>1A</t>
        </is>
      </c>
      <c r="L112" t="inlineStr">
        <is>
          <t>1A</t>
        </is>
      </c>
      <c r="M112" t="inlineStr">
        <is>
          <t>A1</t>
        </is>
      </c>
      <c r="N112" t="inlineStr">
        <is>
          <t>1A</t>
        </is>
      </c>
      <c r="O112" t="inlineStr">
        <is>
          <t>1A</t>
        </is>
      </c>
      <c r="P112" t="inlineStr">
        <is>
          <t>1A</t>
        </is>
      </c>
      <c r="Q112" t="inlineStr">
        <is>
          <t>1A</t>
        </is>
      </c>
      <c r="R112" t="inlineStr">
        <is>
          <t>1A</t>
        </is>
      </c>
      <c r="S112" t="inlineStr">
        <is>
          <t>1A</t>
        </is>
      </c>
      <c r="T112" t="inlineStr">
        <is>
          <t>1A</t>
        </is>
      </c>
      <c r="U112" t="inlineStr">
        <is>
          <t>1A</t>
        </is>
      </c>
      <c r="V112" t="inlineStr">
        <is>
          <t>1A</t>
        </is>
      </c>
      <c r="W112" t="inlineStr">
        <is>
          <t>1A</t>
        </is>
      </c>
      <c r="X112" t="inlineStr">
        <is>
          <t>A 그룹 1위</t>
        </is>
      </c>
      <c r="Y112" t="inlineStr">
        <is>
          <t>1A</t>
        </is>
      </c>
      <c r="Z112" t="inlineStr">
        <is>
          <t>1A</t>
        </is>
      </c>
      <c r="AA112" t="inlineStr">
        <is>
          <t>1A</t>
        </is>
      </c>
      <c r="AB112" t="inlineStr">
        <is>
          <t>1A</t>
        </is>
      </c>
      <c r="AC112" t="inlineStr">
        <is>
          <t>اول گروه A</t>
        </is>
      </c>
      <c r="AD112" t="inlineStr">
        <is>
          <t>1A</t>
        </is>
      </c>
      <c r="AE112" t="inlineStr">
        <is>
          <t>1A</t>
        </is>
      </c>
      <c r="AF112" t="inlineStr">
        <is>
          <t>1A</t>
        </is>
      </c>
      <c r="AG112" t="inlineStr">
        <is>
          <t>1A</t>
        </is>
      </c>
      <c r="AH112" t="inlineStr">
        <is>
          <t>1A</t>
        </is>
      </c>
      <c r="AI112" t="inlineStr">
        <is>
          <t>1A</t>
        </is>
      </c>
      <c r="AJ112" t="inlineStr">
        <is>
          <t>1A</t>
        </is>
      </c>
      <c r="AK112" t="inlineStr">
        <is>
          <t>1A</t>
        </is>
      </c>
      <c r="AL112" t="inlineStr">
        <is>
          <t>ที่ 1 สาย A</t>
        </is>
      </c>
      <c r="AM112" t="inlineStr">
        <is>
          <t>A1</t>
        </is>
      </c>
      <c r="AN112" t="inlineStr">
        <is>
          <t>1A</t>
        </is>
      </c>
      <c r="AO112" t="inlineStr">
        <is>
          <t>1A</t>
        </is>
      </c>
      <c r="AP112" t="inlineStr">
        <is>
          <t>۱الف</t>
        </is>
      </c>
    </row>
    <row r="113">
      <c r="A113" t="inlineStr">
        <is>
          <t>2A</t>
        </is>
      </c>
      <c r="B113" t="inlineStr">
        <is>
          <t>2A</t>
        </is>
      </c>
      <c r="C113" t="inlineStr">
        <is>
          <t>2A</t>
        </is>
      </c>
      <c r="D113" t="inlineStr">
        <is>
          <t>2A</t>
        </is>
      </c>
      <c r="E113" t="inlineStr">
        <is>
          <t>2A</t>
        </is>
      </c>
      <c r="F113" t="inlineStr">
        <is>
          <t>2A</t>
        </is>
      </c>
      <c r="G113" t="inlineStr">
        <is>
          <t>2A</t>
        </is>
      </c>
      <c r="H113" t="inlineStr">
        <is>
          <t>2A</t>
        </is>
      </c>
      <c r="I113" t="inlineStr">
        <is>
          <t>2A</t>
        </is>
      </c>
      <c r="J113" t="inlineStr">
        <is>
          <t>2A</t>
        </is>
      </c>
      <c r="K113" t="inlineStr">
        <is>
          <t>2A</t>
        </is>
      </c>
      <c r="L113" t="inlineStr">
        <is>
          <t>2A</t>
        </is>
      </c>
      <c r="M113" t="inlineStr">
        <is>
          <t>A2</t>
        </is>
      </c>
      <c r="N113" t="inlineStr">
        <is>
          <t>2A</t>
        </is>
      </c>
      <c r="O113" t="inlineStr">
        <is>
          <t>2A</t>
        </is>
      </c>
      <c r="P113" t="inlineStr">
        <is>
          <t>2A</t>
        </is>
      </c>
      <c r="Q113" t="inlineStr">
        <is>
          <t>2A</t>
        </is>
      </c>
      <c r="R113" t="inlineStr">
        <is>
          <t>2A</t>
        </is>
      </c>
      <c r="S113" t="inlineStr">
        <is>
          <t>2A</t>
        </is>
      </c>
      <c r="T113" t="inlineStr">
        <is>
          <t>2A</t>
        </is>
      </c>
      <c r="U113" t="inlineStr">
        <is>
          <t>2A</t>
        </is>
      </c>
      <c r="V113" t="inlineStr">
        <is>
          <t>2A</t>
        </is>
      </c>
      <c r="W113" t="inlineStr">
        <is>
          <t>2A</t>
        </is>
      </c>
      <c r="X113" t="inlineStr">
        <is>
          <t>A 그룹 2위</t>
        </is>
      </c>
      <c r="Y113" t="inlineStr">
        <is>
          <t>2A</t>
        </is>
      </c>
      <c r="Z113" t="inlineStr">
        <is>
          <t>2A</t>
        </is>
      </c>
      <c r="AA113" t="inlineStr">
        <is>
          <t>2A</t>
        </is>
      </c>
      <c r="AB113" t="inlineStr">
        <is>
          <t>2A</t>
        </is>
      </c>
      <c r="AC113" t="inlineStr">
        <is>
          <t>دوم گروه A</t>
        </is>
      </c>
      <c r="AD113" t="inlineStr">
        <is>
          <t>2A</t>
        </is>
      </c>
      <c r="AE113" t="inlineStr">
        <is>
          <t>2A</t>
        </is>
      </c>
      <c r="AF113" t="inlineStr">
        <is>
          <t>2A</t>
        </is>
      </c>
      <c r="AG113" t="inlineStr">
        <is>
          <t>2A</t>
        </is>
      </c>
      <c r="AH113" t="inlineStr">
        <is>
          <t>2A</t>
        </is>
      </c>
      <c r="AI113" t="inlineStr">
        <is>
          <t>2A</t>
        </is>
      </c>
      <c r="AJ113" t="inlineStr">
        <is>
          <t>2A</t>
        </is>
      </c>
      <c r="AK113" t="inlineStr">
        <is>
          <t>2A</t>
        </is>
      </c>
      <c r="AL113" t="inlineStr">
        <is>
          <t>ที่ 2 สาย A</t>
        </is>
      </c>
      <c r="AM113" t="inlineStr">
        <is>
          <t>A2</t>
        </is>
      </c>
      <c r="AN113" t="inlineStr">
        <is>
          <t>2A</t>
        </is>
      </c>
      <c r="AO113" t="inlineStr">
        <is>
          <t>2A</t>
        </is>
      </c>
      <c r="AP113" t="inlineStr">
        <is>
          <t>۲الف</t>
        </is>
      </c>
    </row>
    <row r="114">
      <c r="A114" t="inlineStr">
        <is>
          <t>1B</t>
        </is>
      </c>
      <c r="B114" t="inlineStr">
        <is>
          <t>1B</t>
        </is>
      </c>
      <c r="C114" t="inlineStr">
        <is>
          <t>1B</t>
        </is>
      </c>
      <c r="D114" t="inlineStr">
        <is>
          <t>1B</t>
        </is>
      </c>
      <c r="E114" t="inlineStr">
        <is>
          <t>1B</t>
        </is>
      </c>
      <c r="F114" t="inlineStr">
        <is>
          <t>1B</t>
        </is>
      </c>
      <c r="G114" t="inlineStr">
        <is>
          <t>1B</t>
        </is>
      </c>
      <c r="H114" t="inlineStr">
        <is>
          <t>1B</t>
        </is>
      </c>
      <c r="I114" t="inlineStr">
        <is>
          <t>1B</t>
        </is>
      </c>
      <c r="J114" t="inlineStr">
        <is>
          <t>1B</t>
        </is>
      </c>
      <c r="K114" t="inlineStr">
        <is>
          <t>1B</t>
        </is>
      </c>
      <c r="L114" t="inlineStr">
        <is>
          <t>1B</t>
        </is>
      </c>
      <c r="M114" t="inlineStr">
        <is>
          <t>B1</t>
        </is>
      </c>
      <c r="N114" t="inlineStr">
        <is>
          <t>1B</t>
        </is>
      </c>
      <c r="O114" t="inlineStr">
        <is>
          <t>1B</t>
        </is>
      </c>
      <c r="P114" t="inlineStr">
        <is>
          <t>1B</t>
        </is>
      </c>
      <c r="Q114" t="inlineStr">
        <is>
          <t>1B</t>
        </is>
      </c>
      <c r="R114" t="inlineStr">
        <is>
          <t>1B</t>
        </is>
      </c>
      <c r="S114" t="inlineStr">
        <is>
          <t>1B</t>
        </is>
      </c>
      <c r="T114" t="inlineStr">
        <is>
          <t>1B</t>
        </is>
      </c>
      <c r="U114" t="inlineStr">
        <is>
          <t>1B</t>
        </is>
      </c>
      <c r="V114" t="inlineStr">
        <is>
          <t>1B</t>
        </is>
      </c>
      <c r="W114" t="inlineStr">
        <is>
          <t>1B</t>
        </is>
      </c>
      <c r="X114" t="inlineStr">
        <is>
          <t>B 그룹 1위</t>
        </is>
      </c>
      <c r="Y114" t="inlineStr">
        <is>
          <t>1B</t>
        </is>
      </c>
      <c r="Z114" t="inlineStr">
        <is>
          <t>1B</t>
        </is>
      </c>
      <c r="AA114" t="inlineStr">
        <is>
          <t>1B</t>
        </is>
      </c>
      <c r="AB114" t="inlineStr">
        <is>
          <t>1B</t>
        </is>
      </c>
      <c r="AC114" t="inlineStr">
        <is>
          <t>اول گروه B</t>
        </is>
      </c>
      <c r="AD114" t="inlineStr">
        <is>
          <t>1B</t>
        </is>
      </c>
      <c r="AE114" t="inlineStr">
        <is>
          <t>1B</t>
        </is>
      </c>
      <c r="AF114" t="inlineStr">
        <is>
          <t>1B</t>
        </is>
      </c>
      <c r="AG114" t="inlineStr">
        <is>
          <t>1B</t>
        </is>
      </c>
      <c r="AH114" t="inlineStr">
        <is>
          <t>1B</t>
        </is>
      </c>
      <c r="AI114" t="inlineStr">
        <is>
          <t>1B</t>
        </is>
      </c>
      <c r="AJ114" t="inlineStr">
        <is>
          <t>1B</t>
        </is>
      </c>
      <c r="AK114" t="inlineStr">
        <is>
          <t>1B</t>
        </is>
      </c>
      <c r="AL114" t="inlineStr">
        <is>
          <t>ที่ 1 สาย B</t>
        </is>
      </c>
      <c r="AM114" t="inlineStr">
        <is>
          <t>B1</t>
        </is>
      </c>
      <c r="AN114" t="inlineStr">
        <is>
          <t>1B</t>
        </is>
      </c>
      <c r="AO114" t="inlineStr">
        <is>
          <t>1B</t>
        </is>
      </c>
      <c r="AP114" t="inlineStr">
        <is>
          <t>۱ب</t>
        </is>
      </c>
    </row>
    <row r="115">
      <c r="A115" t="inlineStr">
        <is>
          <t>2B</t>
        </is>
      </c>
      <c r="B115" t="inlineStr">
        <is>
          <t>2B</t>
        </is>
      </c>
      <c r="C115" t="inlineStr">
        <is>
          <t>2B</t>
        </is>
      </c>
      <c r="D115" t="inlineStr">
        <is>
          <t>2B</t>
        </is>
      </c>
      <c r="E115" t="inlineStr">
        <is>
          <t>2B</t>
        </is>
      </c>
      <c r="F115" t="inlineStr">
        <is>
          <t>2B</t>
        </is>
      </c>
      <c r="G115" t="inlineStr">
        <is>
          <t>2B</t>
        </is>
      </c>
      <c r="H115" t="inlineStr">
        <is>
          <t>2B</t>
        </is>
      </c>
      <c r="I115" t="inlineStr">
        <is>
          <t>2B</t>
        </is>
      </c>
      <c r="J115" t="inlineStr">
        <is>
          <t>2B</t>
        </is>
      </c>
      <c r="K115" t="inlineStr">
        <is>
          <t>2B</t>
        </is>
      </c>
      <c r="L115" t="inlineStr">
        <is>
          <t>2B</t>
        </is>
      </c>
      <c r="M115" t="inlineStr">
        <is>
          <t>B2</t>
        </is>
      </c>
      <c r="N115" t="inlineStr">
        <is>
          <t>2B</t>
        </is>
      </c>
      <c r="O115" t="inlineStr">
        <is>
          <t>2B</t>
        </is>
      </c>
      <c r="P115" t="inlineStr">
        <is>
          <t>2B</t>
        </is>
      </c>
      <c r="Q115" t="inlineStr">
        <is>
          <t>2B</t>
        </is>
      </c>
      <c r="R115" t="inlineStr">
        <is>
          <t>2B</t>
        </is>
      </c>
      <c r="S115" t="inlineStr">
        <is>
          <t>2B</t>
        </is>
      </c>
      <c r="T115" t="inlineStr">
        <is>
          <t>2B</t>
        </is>
      </c>
      <c r="U115" t="inlineStr">
        <is>
          <t>2B</t>
        </is>
      </c>
      <c r="V115" t="inlineStr">
        <is>
          <t>2B</t>
        </is>
      </c>
      <c r="W115" t="inlineStr">
        <is>
          <t>2B</t>
        </is>
      </c>
      <c r="X115" t="inlineStr">
        <is>
          <t>B 그룹 2위</t>
        </is>
      </c>
      <c r="Y115" t="inlineStr">
        <is>
          <t>2B</t>
        </is>
      </c>
      <c r="Z115" t="inlineStr">
        <is>
          <t>2B</t>
        </is>
      </c>
      <c r="AA115" t="inlineStr">
        <is>
          <t>2B</t>
        </is>
      </c>
      <c r="AB115" t="inlineStr">
        <is>
          <t>2B</t>
        </is>
      </c>
      <c r="AC115" t="inlineStr">
        <is>
          <t>دوم گروهB</t>
        </is>
      </c>
      <c r="AD115" t="inlineStr">
        <is>
          <t>2B</t>
        </is>
      </c>
      <c r="AE115" t="inlineStr">
        <is>
          <t>2B</t>
        </is>
      </c>
      <c r="AF115" t="inlineStr">
        <is>
          <t>2B</t>
        </is>
      </c>
      <c r="AG115" t="inlineStr">
        <is>
          <t>2B</t>
        </is>
      </c>
      <c r="AH115" t="inlineStr">
        <is>
          <t>2B</t>
        </is>
      </c>
      <c r="AI115" t="inlineStr">
        <is>
          <t>2B</t>
        </is>
      </c>
      <c r="AJ115" t="inlineStr">
        <is>
          <t>2B</t>
        </is>
      </c>
      <c r="AK115" t="inlineStr">
        <is>
          <t>2B</t>
        </is>
      </c>
      <c r="AL115" t="inlineStr">
        <is>
          <t>ที่ 2 สาย B</t>
        </is>
      </c>
      <c r="AM115" t="inlineStr">
        <is>
          <t>B2</t>
        </is>
      </c>
      <c r="AN115" t="inlineStr">
        <is>
          <t>2B</t>
        </is>
      </c>
      <c r="AO115" t="inlineStr">
        <is>
          <t>2B</t>
        </is>
      </c>
      <c r="AP115" t="inlineStr">
        <is>
          <t>۲ب</t>
        </is>
      </c>
    </row>
    <row r="116">
      <c r="A116" t="inlineStr">
        <is>
          <t>1C</t>
        </is>
      </c>
      <c r="B116" t="inlineStr">
        <is>
          <t>1C</t>
        </is>
      </c>
      <c r="C116" t="inlineStr">
        <is>
          <t>1C</t>
        </is>
      </c>
      <c r="D116" t="inlineStr">
        <is>
          <t>1C</t>
        </is>
      </c>
      <c r="E116" t="inlineStr">
        <is>
          <t>1C</t>
        </is>
      </c>
      <c r="F116" t="inlineStr">
        <is>
          <t>1C</t>
        </is>
      </c>
      <c r="G116" t="inlineStr">
        <is>
          <t>1C</t>
        </is>
      </c>
      <c r="H116" t="inlineStr">
        <is>
          <t>1C</t>
        </is>
      </c>
      <c r="I116" t="inlineStr">
        <is>
          <t>1C</t>
        </is>
      </c>
      <c r="J116" t="inlineStr">
        <is>
          <t>1C</t>
        </is>
      </c>
      <c r="K116" t="inlineStr">
        <is>
          <t>1C</t>
        </is>
      </c>
      <c r="L116" t="inlineStr">
        <is>
          <t>1C</t>
        </is>
      </c>
      <c r="M116" t="inlineStr">
        <is>
          <t>C1</t>
        </is>
      </c>
      <c r="N116" t="inlineStr">
        <is>
          <t>1C</t>
        </is>
      </c>
      <c r="O116" t="inlineStr">
        <is>
          <t>1C</t>
        </is>
      </c>
      <c r="P116" t="inlineStr">
        <is>
          <t>1C</t>
        </is>
      </c>
      <c r="Q116" t="inlineStr">
        <is>
          <t>1C</t>
        </is>
      </c>
      <c r="R116" t="inlineStr">
        <is>
          <t>1Γ</t>
        </is>
      </c>
      <c r="S116" t="inlineStr">
        <is>
          <t>1C</t>
        </is>
      </c>
      <c r="T116" t="inlineStr">
        <is>
          <t>1C</t>
        </is>
      </c>
      <c r="U116" t="inlineStr">
        <is>
          <t>1C</t>
        </is>
      </c>
      <c r="V116" t="inlineStr">
        <is>
          <t>1C</t>
        </is>
      </c>
      <c r="W116" t="inlineStr">
        <is>
          <t>1C</t>
        </is>
      </c>
      <c r="X116" t="inlineStr">
        <is>
          <t>C 그룹 1위</t>
        </is>
      </c>
      <c r="Y116" t="inlineStr">
        <is>
          <t>1C</t>
        </is>
      </c>
      <c r="Z116" t="inlineStr">
        <is>
          <t>1C</t>
        </is>
      </c>
      <c r="AA116" t="inlineStr">
        <is>
          <t>1Ċ</t>
        </is>
      </c>
      <c r="AB116" t="inlineStr">
        <is>
          <t>1C</t>
        </is>
      </c>
      <c r="AC116" t="inlineStr">
        <is>
          <t>اول گروه C</t>
        </is>
      </c>
      <c r="AD116" t="inlineStr">
        <is>
          <t>1C</t>
        </is>
      </c>
      <c r="AE116" t="inlineStr">
        <is>
          <t>1C</t>
        </is>
      </c>
      <c r="AF116" t="inlineStr">
        <is>
          <t>1C</t>
        </is>
      </c>
      <c r="AG116" t="inlineStr">
        <is>
          <t>1C</t>
        </is>
      </c>
      <c r="AH116" t="inlineStr">
        <is>
          <t>1C</t>
        </is>
      </c>
      <c r="AI116" t="inlineStr">
        <is>
          <t>1C</t>
        </is>
      </c>
      <c r="AJ116" t="inlineStr">
        <is>
          <t>1C</t>
        </is>
      </c>
      <c r="AK116" t="inlineStr">
        <is>
          <t>1C</t>
        </is>
      </c>
      <c r="AL116" t="inlineStr">
        <is>
          <t>ที่ 1 สาย C</t>
        </is>
      </c>
      <c r="AM116" t="inlineStr">
        <is>
          <t>C1</t>
        </is>
      </c>
      <c r="AN116" t="inlineStr">
        <is>
          <t>1C</t>
        </is>
      </c>
      <c r="AO116" t="inlineStr">
        <is>
          <t>1C</t>
        </is>
      </c>
      <c r="AP116" t="inlineStr">
        <is>
          <t>۱ج</t>
        </is>
      </c>
    </row>
    <row r="117">
      <c r="A117" t="inlineStr">
        <is>
          <t>2C</t>
        </is>
      </c>
      <c r="B117" t="inlineStr">
        <is>
          <t>2C</t>
        </is>
      </c>
      <c r="C117" t="inlineStr">
        <is>
          <t>2C</t>
        </is>
      </c>
      <c r="D117" t="inlineStr">
        <is>
          <t>2C</t>
        </is>
      </c>
      <c r="E117" t="inlineStr">
        <is>
          <t>2C</t>
        </is>
      </c>
      <c r="F117" t="inlineStr">
        <is>
          <t>2C</t>
        </is>
      </c>
      <c r="G117" t="inlineStr">
        <is>
          <t>2C</t>
        </is>
      </c>
      <c r="H117" t="inlineStr">
        <is>
          <t>2C</t>
        </is>
      </c>
      <c r="I117" t="inlineStr">
        <is>
          <t>2C</t>
        </is>
      </c>
      <c r="J117" t="inlineStr">
        <is>
          <t>2C</t>
        </is>
      </c>
      <c r="K117" t="inlineStr">
        <is>
          <t>2C</t>
        </is>
      </c>
      <c r="L117" t="inlineStr">
        <is>
          <t>2C</t>
        </is>
      </c>
      <c r="M117" t="inlineStr">
        <is>
          <t>C2</t>
        </is>
      </c>
      <c r="N117" t="inlineStr">
        <is>
          <t>2C</t>
        </is>
      </c>
      <c r="O117" t="inlineStr">
        <is>
          <t>2C</t>
        </is>
      </c>
      <c r="P117" t="inlineStr">
        <is>
          <t>2C</t>
        </is>
      </c>
      <c r="Q117" t="inlineStr">
        <is>
          <t>2C</t>
        </is>
      </c>
      <c r="R117" t="inlineStr">
        <is>
          <t>2Γ</t>
        </is>
      </c>
      <c r="S117" t="inlineStr">
        <is>
          <t>2C</t>
        </is>
      </c>
      <c r="T117" t="inlineStr">
        <is>
          <t>2C</t>
        </is>
      </c>
      <c r="U117" t="inlineStr">
        <is>
          <t>2C</t>
        </is>
      </c>
      <c r="V117" t="inlineStr">
        <is>
          <t>2C</t>
        </is>
      </c>
      <c r="W117" t="inlineStr">
        <is>
          <t>2C</t>
        </is>
      </c>
      <c r="X117" t="inlineStr">
        <is>
          <t>C 그룹 2위</t>
        </is>
      </c>
      <c r="Y117" t="inlineStr">
        <is>
          <t>2C</t>
        </is>
      </c>
      <c r="Z117" t="inlineStr">
        <is>
          <t>2C</t>
        </is>
      </c>
      <c r="AA117" t="inlineStr">
        <is>
          <t>2Ċ</t>
        </is>
      </c>
      <c r="AB117" t="inlineStr">
        <is>
          <t>2C</t>
        </is>
      </c>
      <c r="AC117" t="inlineStr">
        <is>
          <t>دوم گروه C</t>
        </is>
      </c>
      <c r="AD117" t="inlineStr">
        <is>
          <t>2C</t>
        </is>
      </c>
      <c r="AE117" t="inlineStr">
        <is>
          <t>2C</t>
        </is>
      </c>
      <c r="AF117" t="inlineStr">
        <is>
          <t>2C</t>
        </is>
      </c>
      <c r="AG117" t="inlineStr">
        <is>
          <t>2C</t>
        </is>
      </c>
      <c r="AH117" t="inlineStr">
        <is>
          <t>2C</t>
        </is>
      </c>
      <c r="AI117" t="inlineStr">
        <is>
          <t>2C</t>
        </is>
      </c>
      <c r="AJ117" t="inlineStr">
        <is>
          <t>2C</t>
        </is>
      </c>
      <c r="AK117" t="inlineStr">
        <is>
          <t>2C</t>
        </is>
      </c>
      <c r="AL117" t="inlineStr">
        <is>
          <t>ที่ 2 สาย C</t>
        </is>
      </c>
      <c r="AM117" t="inlineStr">
        <is>
          <t>C2</t>
        </is>
      </c>
      <c r="AN117" t="inlineStr">
        <is>
          <t>2C</t>
        </is>
      </c>
      <c r="AO117" t="inlineStr">
        <is>
          <t>2C</t>
        </is>
      </c>
      <c r="AP117" t="inlineStr">
        <is>
          <t>۲ج</t>
        </is>
      </c>
    </row>
    <row r="118">
      <c r="A118" t="inlineStr">
        <is>
          <t>1D</t>
        </is>
      </c>
      <c r="B118" t="inlineStr">
        <is>
          <t>1D</t>
        </is>
      </c>
      <c r="C118" t="inlineStr">
        <is>
          <t>1D</t>
        </is>
      </c>
      <c r="D118" t="inlineStr">
        <is>
          <t>1D</t>
        </is>
      </c>
      <c r="E118" t="inlineStr">
        <is>
          <t>1D</t>
        </is>
      </c>
      <c r="F118" t="inlineStr">
        <is>
          <t>1D</t>
        </is>
      </c>
      <c r="G118" t="inlineStr">
        <is>
          <t>1D</t>
        </is>
      </c>
      <c r="H118" t="inlineStr">
        <is>
          <t>1D</t>
        </is>
      </c>
      <c r="I118" t="inlineStr">
        <is>
          <t>1D</t>
        </is>
      </c>
      <c r="J118" t="inlineStr">
        <is>
          <t>1D</t>
        </is>
      </c>
      <c r="K118" t="inlineStr">
        <is>
          <t>1D</t>
        </is>
      </c>
      <c r="L118" t="inlineStr">
        <is>
          <t>1D</t>
        </is>
      </c>
      <c r="M118" t="inlineStr">
        <is>
          <t>D1</t>
        </is>
      </c>
      <c r="N118" t="inlineStr">
        <is>
          <t>1D</t>
        </is>
      </c>
      <c r="O118" t="inlineStr">
        <is>
          <t>1D</t>
        </is>
      </c>
      <c r="P118" t="inlineStr">
        <is>
          <t>1D</t>
        </is>
      </c>
      <c r="Q118" t="inlineStr">
        <is>
          <t>1D</t>
        </is>
      </c>
      <c r="R118" t="inlineStr">
        <is>
          <t>1Δ</t>
        </is>
      </c>
      <c r="S118" t="inlineStr">
        <is>
          <t>1D</t>
        </is>
      </c>
      <c r="T118" t="inlineStr">
        <is>
          <t>1D</t>
        </is>
      </c>
      <c r="U118" t="inlineStr">
        <is>
          <t>1D</t>
        </is>
      </c>
      <c r="V118" t="inlineStr">
        <is>
          <t>1D</t>
        </is>
      </c>
      <c r="W118" t="inlineStr">
        <is>
          <t>1D</t>
        </is>
      </c>
      <c r="X118" t="inlineStr">
        <is>
          <t>D 그룹 1위</t>
        </is>
      </c>
      <c r="Y118" t="inlineStr">
        <is>
          <t>1D</t>
        </is>
      </c>
      <c r="Z118" t="inlineStr">
        <is>
          <t>1D</t>
        </is>
      </c>
      <c r="AA118" t="inlineStr">
        <is>
          <t>1D</t>
        </is>
      </c>
      <c r="AB118" t="inlineStr">
        <is>
          <t>1D</t>
        </is>
      </c>
      <c r="AC118" t="inlineStr">
        <is>
          <t>اول گروه D</t>
        </is>
      </c>
      <c r="AD118" t="inlineStr">
        <is>
          <t>1D</t>
        </is>
      </c>
      <c r="AE118" t="inlineStr">
        <is>
          <t>1D</t>
        </is>
      </c>
      <c r="AF118" t="inlineStr">
        <is>
          <t>1D</t>
        </is>
      </c>
      <c r="AG118" t="inlineStr">
        <is>
          <t>1D</t>
        </is>
      </c>
      <c r="AH118" t="inlineStr">
        <is>
          <t>1D</t>
        </is>
      </c>
      <c r="AI118" t="inlineStr">
        <is>
          <t>1D</t>
        </is>
      </c>
      <c r="AJ118" t="inlineStr">
        <is>
          <t>1D</t>
        </is>
      </c>
      <c r="AK118" t="inlineStr">
        <is>
          <t>1D</t>
        </is>
      </c>
      <c r="AL118" t="inlineStr">
        <is>
          <t>ที่ 1 สาย D</t>
        </is>
      </c>
      <c r="AM118" t="inlineStr">
        <is>
          <t>D1</t>
        </is>
      </c>
      <c r="AN118" t="inlineStr">
        <is>
          <t>1D</t>
        </is>
      </c>
      <c r="AO118" t="inlineStr">
        <is>
          <t>1D</t>
        </is>
      </c>
      <c r="AP118" t="inlineStr">
        <is>
          <t>۱د</t>
        </is>
      </c>
    </row>
    <row r="119">
      <c r="A119" t="inlineStr">
        <is>
          <t>2D</t>
        </is>
      </c>
      <c r="B119" t="inlineStr">
        <is>
          <t>2D</t>
        </is>
      </c>
      <c r="C119" t="inlineStr">
        <is>
          <t>2D</t>
        </is>
      </c>
      <c r="D119" t="inlineStr">
        <is>
          <t>2D</t>
        </is>
      </c>
      <c r="E119" t="inlineStr">
        <is>
          <t>2D</t>
        </is>
      </c>
      <c r="F119" t="inlineStr">
        <is>
          <t>2D</t>
        </is>
      </c>
      <c r="G119" t="inlineStr">
        <is>
          <t>2D</t>
        </is>
      </c>
      <c r="H119" t="inlineStr">
        <is>
          <t>2D</t>
        </is>
      </c>
      <c r="I119" t="inlineStr">
        <is>
          <t>2D</t>
        </is>
      </c>
      <c r="J119" t="inlineStr">
        <is>
          <t>2D</t>
        </is>
      </c>
      <c r="K119" t="inlineStr">
        <is>
          <t>2D</t>
        </is>
      </c>
      <c r="L119" t="inlineStr">
        <is>
          <t>2D</t>
        </is>
      </c>
      <c r="M119" t="inlineStr">
        <is>
          <t>D2</t>
        </is>
      </c>
      <c r="N119" t="inlineStr">
        <is>
          <t>2D</t>
        </is>
      </c>
      <c r="O119" t="inlineStr">
        <is>
          <t>2D</t>
        </is>
      </c>
      <c r="P119" t="inlineStr">
        <is>
          <t>2D</t>
        </is>
      </c>
      <c r="Q119" t="inlineStr">
        <is>
          <t>2D</t>
        </is>
      </c>
      <c r="R119" t="inlineStr">
        <is>
          <t>2Δ</t>
        </is>
      </c>
      <c r="S119" t="inlineStr">
        <is>
          <t>2D</t>
        </is>
      </c>
      <c r="T119" t="inlineStr">
        <is>
          <t>2D</t>
        </is>
      </c>
      <c r="U119" t="inlineStr">
        <is>
          <t>2D</t>
        </is>
      </c>
      <c r="V119" t="inlineStr">
        <is>
          <t>2D</t>
        </is>
      </c>
      <c r="W119" t="inlineStr">
        <is>
          <t>2D</t>
        </is>
      </c>
      <c r="X119" t="inlineStr">
        <is>
          <t>D 그룹 2위</t>
        </is>
      </c>
      <c r="Y119" t="inlineStr">
        <is>
          <t>2D</t>
        </is>
      </c>
      <c r="Z119" t="inlineStr">
        <is>
          <t>2D</t>
        </is>
      </c>
      <c r="AA119" t="inlineStr">
        <is>
          <t>2D</t>
        </is>
      </c>
      <c r="AB119" t="inlineStr">
        <is>
          <t>2D</t>
        </is>
      </c>
      <c r="AC119" t="inlineStr">
        <is>
          <t>دوم گروه D</t>
        </is>
      </c>
      <c r="AD119" t="inlineStr">
        <is>
          <t>2D</t>
        </is>
      </c>
      <c r="AE119" t="inlineStr">
        <is>
          <t>2D</t>
        </is>
      </c>
      <c r="AF119" t="inlineStr">
        <is>
          <t>2D</t>
        </is>
      </c>
      <c r="AG119" t="inlineStr">
        <is>
          <t>2D</t>
        </is>
      </c>
      <c r="AH119" t="inlineStr">
        <is>
          <t>2D</t>
        </is>
      </c>
      <c r="AI119" t="inlineStr">
        <is>
          <t>2D</t>
        </is>
      </c>
      <c r="AJ119" t="inlineStr">
        <is>
          <t>2D</t>
        </is>
      </c>
      <c r="AK119" t="inlineStr">
        <is>
          <t>2D</t>
        </is>
      </c>
      <c r="AL119" t="inlineStr">
        <is>
          <t>ที่ 2 สาย D</t>
        </is>
      </c>
      <c r="AM119" t="inlineStr">
        <is>
          <t>D2</t>
        </is>
      </c>
      <c r="AN119" t="inlineStr">
        <is>
          <t>2D</t>
        </is>
      </c>
      <c r="AO119" t="inlineStr">
        <is>
          <t>2D</t>
        </is>
      </c>
      <c r="AP119" t="inlineStr">
        <is>
          <t>۲د</t>
        </is>
      </c>
    </row>
    <row r="120">
      <c r="A120" t="inlineStr">
        <is>
          <t>1E</t>
        </is>
      </c>
      <c r="B120" t="inlineStr">
        <is>
          <t>1E</t>
        </is>
      </c>
      <c r="C120" t="inlineStr">
        <is>
          <t>1E</t>
        </is>
      </c>
      <c r="D120" t="inlineStr">
        <is>
          <t>1E</t>
        </is>
      </c>
      <c r="E120" t="inlineStr">
        <is>
          <t>1E</t>
        </is>
      </c>
      <c r="F120" t="inlineStr">
        <is>
          <t>1E</t>
        </is>
      </c>
      <c r="G120" t="inlineStr">
        <is>
          <t>1E</t>
        </is>
      </c>
      <c r="H120" t="inlineStr">
        <is>
          <t>1E</t>
        </is>
      </c>
      <c r="I120" t="inlineStr">
        <is>
          <t>1E</t>
        </is>
      </c>
      <c r="J120" t="inlineStr">
        <is>
          <t>1E</t>
        </is>
      </c>
      <c r="K120" t="inlineStr">
        <is>
          <t>1E</t>
        </is>
      </c>
      <c r="L120" t="inlineStr">
        <is>
          <t>1E</t>
        </is>
      </c>
      <c r="M120" t="inlineStr">
        <is>
          <t>E1</t>
        </is>
      </c>
      <c r="N120" t="inlineStr">
        <is>
          <t>1E</t>
        </is>
      </c>
      <c r="O120" t="inlineStr">
        <is>
          <t>1E</t>
        </is>
      </c>
      <c r="P120" t="inlineStr">
        <is>
          <t>1E</t>
        </is>
      </c>
      <c r="Q120" t="inlineStr">
        <is>
          <t>1E</t>
        </is>
      </c>
      <c r="R120" t="inlineStr">
        <is>
          <t>1Ε</t>
        </is>
      </c>
      <c r="S120" t="inlineStr">
        <is>
          <t>1E</t>
        </is>
      </c>
      <c r="T120" t="inlineStr">
        <is>
          <t>1E</t>
        </is>
      </c>
      <c r="U120" t="inlineStr">
        <is>
          <t>1E</t>
        </is>
      </c>
      <c r="V120" t="inlineStr">
        <is>
          <t>1E</t>
        </is>
      </c>
      <c r="W120" t="inlineStr">
        <is>
          <t>1E</t>
        </is>
      </c>
      <c r="X120" t="inlineStr">
        <is>
          <t>E 그룹 1위</t>
        </is>
      </c>
      <c r="Y120" t="inlineStr">
        <is>
          <t>1E</t>
        </is>
      </c>
      <c r="Z120" t="inlineStr">
        <is>
          <t>1E</t>
        </is>
      </c>
      <c r="AA120" t="inlineStr">
        <is>
          <t>1E</t>
        </is>
      </c>
      <c r="AB120" t="inlineStr">
        <is>
          <t>1E</t>
        </is>
      </c>
      <c r="AC120" t="inlineStr">
        <is>
          <t>اول گروه E</t>
        </is>
      </c>
      <c r="AD120" t="inlineStr">
        <is>
          <t>1E</t>
        </is>
      </c>
      <c r="AE120" t="inlineStr">
        <is>
          <t>1E</t>
        </is>
      </c>
      <c r="AF120" t="inlineStr">
        <is>
          <t>1E</t>
        </is>
      </c>
      <c r="AG120" t="inlineStr">
        <is>
          <t>1E</t>
        </is>
      </c>
      <c r="AH120" t="inlineStr">
        <is>
          <t>1E</t>
        </is>
      </c>
      <c r="AI120" t="inlineStr">
        <is>
          <t>1E</t>
        </is>
      </c>
      <c r="AJ120" t="inlineStr">
        <is>
          <t>1E</t>
        </is>
      </c>
      <c r="AK120" t="inlineStr">
        <is>
          <t>1E</t>
        </is>
      </c>
      <c r="AL120" t="inlineStr">
        <is>
          <t>ที่ 1 สาย E</t>
        </is>
      </c>
      <c r="AM120" t="inlineStr">
        <is>
          <t>E1</t>
        </is>
      </c>
      <c r="AN120" t="inlineStr">
        <is>
          <t>1E</t>
        </is>
      </c>
      <c r="AO120" t="inlineStr">
        <is>
          <t>1E</t>
        </is>
      </c>
      <c r="AP120" t="inlineStr">
        <is>
          <t>۱ھ</t>
        </is>
      </c>
    </row>
    <row r="121">
      <c r="A121" t="inlineStr">
        <is>
          <t>2E</t>
        </is>
      </c>
      <c r="B121" t="inlineStr">
        <is>
          <t>2E</t>
        </is>
      </c>
      <c r="C121" t="inlineStr">
        <is>
          <t>2E</t>
        </is>
      </c>
      <c r="D121" t="inlineStr">
        <is>
          <t>2E</t>
        </is>
      </c>
      <c r="E121" t="inlineStr">
        <is>
          <t>2E</t>
        </is>
      </c>
      <c r="F121" t="inlineStr">
        <is>
          <t>2E</t>
        </is>
      </c>
      <c r="G121" t="inlineStr">
        <is>
          <t>2E</t>
        </is>
      </c>
      <c r="H121" t="inlineStr">
        <is>
          <t>2E</t>
        </is>
      </c>
      <c r="I121" t="inlineStr">
        <is>
          <t>2E</t>
        </is>
      </c>
      <c r="J121" t="inlineStr">
        <is>
          <t>2E</t>
        </is>
      </c>
      <c r="K121" t="inlineStr">
        <is>
          <t>2E</t>
        </is>
      </c>
      <c r="L121" t="inlineStr">
        <is>
          <t>2E</t>
        </is>
      </c>
      <c r="M121" t="inlineStr">
        <is>
          <t>E2</t>
        </is>
      </c>
      <c r="N121" t="inlineStr">
        <is>
          <t>2E</t>
        </is>
      </c>
      <c r="O121" t="inlineStr">
        <is>
          <t>2E</t>
        </is>
      </c>
      <c r="P121" t="inlineStr">
        <is>
          <t>2E</t>
        </is>
      </c>
      <c r="Q121" t="inlineStr">
        <is>
          <t>2E</t>
        </is>
      </c>
      <c r="R121" t="inlineStr">
        <is>
          <t>2Ε</t>
        </is>
      </c>
      <c r="S121" t="inlineStr">
        <is>
          <t>2E</t>
        </is>
      </c>
      <c r="T121" t="inlineStr">
        <is>
          <t>2E</t>
        </is>
      </c>
      <c r="U121" t="inlineStr">
        <is>
          <t>2E</t>
        </is>
      </c>
      <c r="V121" t="inlineStr">
        <is>
          <t>2E</t>
        </is>
      </c>
      <c r="W121" t="inlineStr">
        <is>
          <t>2E</t>
        </is>
      </c>
      <c r="X121" t="inlineStr">
        <is>
          <t>E 그룹 2위</t>
        </is>
      </c>
      <c r="Y121" t="inlineStr">
        <is>
          <t>2E</t>
        </is>
      </c>
      <c r="Z121" t="inlineStr">
        <is>
          <t>2E</t>
        </is>
      </c>
      <c r="AA121" t="inlineStr">
        <is>
          <t>2E</t>
        </is>
      </c>
      <c r="AB121" t="inlineStr">
        <is>
          <t>2E</t>
        </is>
      </c>
      <c r="AC121" t="inlineStr">
        <is>
          <t>دوم گروه E</t>
        </is>
      </c>
      <c r="AD121" t="inlineStr">
        <is>
          <t>2E</t>
        </is>
      </c>
      <c r="AE121" t="inlineStr">
        <is>
          <t>2E</t>
        </is>
      </c>
      <c r="AF121" t="inlineStr">
        <is>
          <t>2E</t>
        </is>
      </c>
      <c r="AG121" t="inlineStr">
        <is>
          <t>2E</t>
        </is>
      </c>
      <c r="AH121" t="inlineStr">
        <is>
          <t>2E</t>
        </is>
      </c>
      <c r="AI121" t="inlineStr">
        <is>
          <t>2E</t>
        </is>
      </c>
      <c r="AJ121" t="inlineStr">
        <is>
          <t>2E</t>
        </is>
      </c>
      <c r="AK121" t="inlineStr">
        <is>
          <t>2E</t>
        </is>
      </c>
      <c r="AL121" t="inlineStr">
        <is>
          <t>ที่ 2 สาย E</t>
        </is>
      </c>
      <c r="AM121" t="inlineStr">
        <is>
          <t>E2</t>
        </is>
      </c>
      <c r="AN121" t="inlineStr">
        <is>
          <t>2E</t>
        </is>
      </c>
      <c r="AO121" t="inlineStr">
        <is>
          <t>2E</t>
        </is>
      </c>
      <c r="AP121" t="inlineStr">
        <is>
          <t>۲ھ</t>
        </is>
      </c>
    </row>
    <row r="122">
      <c r="A122" t="inlineStr">
        <is>
          <t>1F</t>
        </is>
      </c>
      <c r="B122" t="inlineStr">
        <is>
          <t>1F</t>
        </is>
      </c>
      <c r="C122" t="inlineStr">
        <is>
          <t>1F</t>
        </is>
      </c>
      <c r="D122" t="inlineStr">
        <is>
          <t>1F</t>
        </is>
      </c>
      <c r="E122" t="inlineStr">
        <is>
          <t>1F</t>
        </is>
      </c>
      <c r="F122" t="inlineStr">
        <is>
          <t>1F</t>
        </is>
      </c>
      <c r="G122" t="inlineStr">
        <is>
          <t>1F</t>
        </is>
      </c>
      <c r="H122" t="inlineStr">
        <is>
          <t>1F</t>
        </is>
      </c>
      <c r="I122" t="inlineStr">
        <is>
          <t>1F</t>
        </is>
      </c>
      <c r="J122" t="inlineStr">
        <is>
          <t>1F</t>
        </is>
      </c>
      <c r="K122" t="inlineStr">
        <is>
          <t>1F</t>
        </is>
      </c>
      <c r="L122" t="inlineStr">
        <is>
          <t>1F</t>
        </is>
      </c>
      <c r="M122" t="inlineStr">
        <is>
          <t>F1</t>
        </is>
      </c>
      <c r="N122" t="inlineStr">
        <is>
          <t>1F</t>
        </is>
      </c>
      <c r="O122" t="inlineStr">
        <is>
          <t>1F</t>
        </is>
      </c>
      <c r="P122" t="inlineStr">
        <is>
          <t>1F</t>
        </is>
      </c>
      <c r="Q122" t="inlineStr">
        <is>
          <t>1F</t>
        </is>
      </c>
      <c r="R122" t="inlineStr">
        <is>
          <t>1ΣΤ</t>
        </is>
      </c>
      <c r="S122" t="inlineStr">
        <is>
          <t>1F</t>
        </is>
      </c>
      <c r="T122" t="inlineStr">
        <is>
          <t>1F</t>
        </is>
      </c>
      <c r="U122" t="inlineStr">
        <is>
          <t>1F</t>
        </is>
      </c>
      <c r="V122" t="inlineStr">
        <is>
          <t>1F</t>
        </is>
      </c>
      <c r="W122" t="inlineStr">
        <is>
          <t>1F</t>
        </is>
      </c>
      <c r="X122" t="inlineStr">
        <is>
          <t>F 그룹 1위</t>
        </is>
      </c>
      <c r="Y122" t="inlineStr">
        <is>
          <t>1F</t>
        </is>
      </c>
      <c r="Z122" t="inlineStr">
        <is>
          <t>1F</t>
        </is>
      </c>
      <c r="AA122" t="inlineStr">
        <is>
          <t>1F</t>
        </is>
      </c>
      <c r="AB122" t="inlineStr">
        <is>
          <t>1F</t>
        </is>
      </c>
      <c r="AC122" t="inlineStr">
        <is>
          <t>اول گروه F</t>
        </is>
      </c>
      <c r="AD122" t="inlineStr">
        <is>
          <t>1F</t>
        </is>
      </c>
      <c r="AE122" t="inlineStr">
        <is>
          <t>1F</t>
        </is>
      </c>
      <c r="AF122" t="inlineStr">
        <is>
          <t>1F</t>
        </is>
      </c>
      <c r="AG122" t="inlineStr">
        <is>
          <t>1F</t>
        </is>
      </c>
      <c r="AH122" t="inlineStr">
        <is>
          <t>1F</t>
        </is>
      </c>
      <c r="AI122" t="inlineStr">
        <is>
          <t>1F</t>
        </is>
      </c>
      <c r="AJ122" t="inlineStr">
        <is>
          <t>1F</t>
        </is>
      </c>
      <c r="AK122" t="inlineStr">
        <is>
          <t>1F</t>
        </is>
      </c>
      <c r="AL122" t="inlineStr">
        <is>
          <t>ที่ 1 สาย F</t>
        </is>
      </c>
      <c r="AM122" t="inlineStr">
        <is>
          <t>F1</t>
        </is>
      </c>
      <c r="AN122" t="inlineStr">
        <is>
          <t>1F</t>
        </is>
      </c>
      <c r="AO122" t="inlineStr">
        <is>
          <t>1F</t>
        </is>
      </c>
      <c r="AP122" t="inlineStr">
        <is>
          <t>۱و</t>
        </is>
      </c>
    </row>
    <row r="123">
      <c r="A123" t="inlineStr">
        <is>
          <t>2F</t>
        </is>
      </c>
      <c r="B123" t="inlineStr">
        <is>
          <t>2F</t>
        </is>
      </c>
      <c r="C123" t="inlineStr">
        <is>
          <t>2F</t>
        </is>
      </c>
      <c r="D123" t="inlineStr">
        <is>
          <t>2F</t>
        </is>
      </c>
      <c r="E123" t="inlineStr">
        <is>
          <t>2F</t>
        </is>
      </c>
      <c r="F123" t="inlineStr">
        <is>
          <t>2F</t>
        </is>
      </c>
      <c r="G123" t="inlineStr">
        <is>
          <t>2F</t>
        </is>
      </c>
      <c r="H123" t="inlineStr">
        <is>
          <t>2F</t>
        </is>
      </c>
      <c r="I123" t="inlineStr">
        <is>
          <t>2F</t>
        </is>
      </c>
      <c r="J123" t="inlineStr">
        <is>
          <t>2F</t>
        </is>
      </c>
      <c r="K123" t="inlineStr">
        <is>
          <t>2F</t>
        </is>
      </c>
      <c r="L123" t="inlineStr">
        <is>
          <t>2F</t>
        </is>
      </c>
      <c r="M123" t="inlineStr">
        <is>
          <t>F2</t>
        </is>
      </c>
      <c r="N123" t="inlineStr">
        <is>
          <t>2F</t>
        </is>
      </c>
      <c r="O123" t="inlineStr">
        <is>
          <t>2F</t>
        </is>
      </c>
      <c r="P123" t="inlineStr">
        <is>
          <t>2F</t>
        </is>
      </c>
      <c r="Q123" t="inlineStr">
        <is>
          <t>2F</t>
        </is>
      </c>
      <c r="R123" t="inlineStr">
        <is>
          <t>2ΣΤ</t>
        </is>
      </c>
      <c r="S123" t="inlineStr">
        <is>
          <t>2F</t>
        </is>
      </c>
      <c r="T123" t="inlineStr">
        <is>
          <t>2F</t>
        </is>
      </c>
      <c r="U123" t="inlineStr">
        <is>
          <t>2F</t>
        </is>
      </c>
      <c r="V123" t="inlineStr">
        <is>
          <t>2F</t>
        </is>
      </c>
      <c r="W123" t="inlineStr">
        <is>
          <t>2F</t>
        </is>
      </c>
      <c r="X123" t="inlineStr">
        <is>
          <t>F 그룹 2위</t>
        </is>
      </c>
      <c r="Y123" t="inlineStr">
        <is>
          <t>2F</t>
        </is>
      </c>
      <c r="Z123" t="inlineStr">
        <is>
          <t>2F</t>
        </is>
      </c>
      <c r="AA123" t="inlineStr">
        <is>
          <t>2F</t>
        </is>
      </c>
      <c r="AB123" t="inlineStr">
        <is>
          <t>2F</t>
        </is>
      </c>
      <c r="AC123" t="inlineStr">
        <is>
          <t>دوم گروه F</t>
        </is>
      </c>
      <c r="AD123" t="inlineStr">
        <is>
          <t>2F</t>
        </is>
      </c>
      <c r="AE123" t="inlineStr">
        <is>
          <t>2F</t>
        </is>
      </c>
      <c r="AF123" t="inlineStr">
        <is>
          <t>2F</t>
        </is>
      </c>
      <c r="AG123" t="inlineStr">
        <is>
          <t>2F</t>
        </is>
      </c>
      <c r="AH123" t="inlineStr">
        <is>
          <t>2F</t>
        </is>
      </c>
      <c r="AI123" t="inlineStr">
        <is>
          <t>2F</t>
        </is>
      </c>
      <c r="AJ123" t="inlineStr">
        <is>
          <t>2F</t>
        </is>
      </c>
      <c r="AK123" t="inlineStr">
        <is>
          <t>2F</t>
        </is>
      </c>
      <c r="AL123" t="inlineStr">
        <is>
          <t>ที่ 2 สาย F</t>
        </is>
      </c>
      <c r="AM123" t="inlineStr">
        <is>
          <t>F2</t>
        </is>
      </c>
      <c r="AN123" t="inlineStr">
        <is>
          <t>2F</t>
        </is>
      </c>
      <c r="AO123" t="inlineStr">
        <is>
          <t>2F</t>
        </is>
      </c>
      <c r="AP123" t="inlineStr">
        <is>
          <t>۲و</t>
        </is>
      </c>
    </row>
    <row r="124">
      <c r="A124" t="inlineStr">
        <is>
          <t>1G</t>
        </is>
      </c>
      <c r="B124" t="inlineStr">
        <is>
          <t>1G</t>
        </is>
      </c>
      <c r="C124" t="inlineStr">
        <is>
          <t>1G</t>
        </is>
      </c>
      <c r="D124" t="inlineStr">
        <is>
          <t>1G</t>
        </is>
      </c>
      <c r="E124" t="inlineStr">
        <is>
          <t>1G</t>
        </is>
      </c>
      <c r="F124" t="inlineStr">
        <is>
          <t>1G</t>
        </is>
      </c>
      <c r="G124" t="inlineStr">
        <is>
          <t>1G</t>
        </is>
      </c>
      <c r="H124" t="inlineStr">
        <is>
          <t>1G</t>
        </is>
      </c>
      <c r="I124" t="inlineStr">
        <is>
          <t>1G</t>
        </is>
      </c>
      <c r="J124" t="inlineStr">
        <is>
          <t>1G</t>
        </is>
      </c>
      <c r="K124" t="inlineStr">
        <is>
          <t>1G</t>
        </is>
      </c>
      <c r="L124" t="inlineStr">
        <is>
          <t>1G</t>
        </is>
      </c>
      <c r="M124" t="inlineStr">
        <is>
          <t>G1</t>
        </is>
      </c>
      <c r="N124" t="inlineStr">
        <is>
          <t>1G</t>
        </is>
      </c>
      <c r="O124" t="inlineStr">
        <is>
          <t>1G</t>
        </is>
      </c>
      <c r="P124" t="inlineStr">
        <is>
          <t>1G</t>
        </is>
      </c>
      <c r="Q124" t="inlineStr">
        <is>
          <t>1G</t>
        </is>
      </c>
      <c r="R124" t="inlineStr">
        <is>
          <t>1Ζ</t>
        </is>
      </c>
      <c r="S124" t="inlineStr">
        <is>
          <t>1G</t>
        </is>
      </c>
      <c r="T124" t="inlineStr">
        <is>
          <t>1G</t>
        </is>
      </c>
      <c r="U124" t="inlineStr">
        <is>
          <t>1G</t>
        </is>
      </c>
      <c r="V124" t="inlineStr">
        <is>
          <t>1G</t>
        </is>
      </c>
      <c r="W124" t="inlineStr">
        <is>
          <t>1G</t>
        </is>
      </c>
      <c r="X124" t="inlineStr">
        <is>
          <t>G 그룹 1위</t>
        </is>
      </c>
      <c r="Y124" t="inlineStr">
        <is>
          <t>1G</t>
        </is>
      </c>
      <c r="Z124" t="inlineStr">
        <is>
          <t>1G</t>
        </is>
      </c>
      <c r="AA124" t="inlineStr">
        <is>
          <t>1Ġ</t>
        </is>
      </c>
      <c r="AB124" t="inlineStr">
        <is>
          <t>1G</t>
        </is>
      </c>
      <c r="AC124" t="inlineStr">
        <is>
          <t>اول گروه G</t>
        </is>
      </c>
      <c r="AD124" t="inlineStr">
        <is>
          <t>1G</t>
        </is>
      </c>
      <c r="AE124" t="inlineStr">
        <is>
          <t>1G</t>
        </is>
      </c>
      <c r="AF124" t="inlineStr">
        <is>
          <t>1G</t>
        </is>
      </c>
      <c r="AG124" t="inlineStr">
        <is>
          <t>1G</t>
        </is>
      </c>
      <c r="AH124" t="inlineStr">
        <is>
          <t>1G</t>
        </is>
      </c>
      <c r="AI124" t="inlineStr">
        <is>
          <t>1G</t>
        </is>
      </c>
      <c r="AJ124" t="inlineStr">
        <is>
          <t>1G</t>
        </is>
      </c>
      <c r="AK124" t="inlineStr">
        <is>
          <t>1G</t>
        </is>
      </c>
      <c r="AL124" t="inlineStr">
        <is>
          <t>ที่ 1 สาย G</t>
        </is>
      </c>
      <c r="AM124" t="inlineStr">
        <is>
          <t>G1</t>
        </is>
      </c>
      <c r="AN124" t="inlineStr">
        <is>
          <t>1G</t>
        </is>
      </c>
      <c r="AO124" t="inlineStr">
        <is>
          <t>1G</t>
        </is>
      </c>
      <c r="AP124" t="inlineStr">
        <is>
          <t>۱ز</t>
        </is>
      </c>
    </row>
    <row r="125">
      <c r="A125" t="inlineStr">
        <is>
          <t>2G</t>
        </is>
      </c>
      <c r="B125" t="inlineStr">
        <is>
          <t>2G</t>
        </is>
      </c>
      <c r="C125" t="inlineStr">
        <is>
          <t>2G</t>
        </is>
      </c>
      <c r="D125" t="inlineStr">
        <is>
          <t>2G</t>
        </is>
      </c>
      <c r="E125" t="inlineStr">
        <is>
          <t>2G</t>
        </is>
      </c>
      <c r="F125" t="inlineStr">
        <is>
          <t>2G</t>
        </is>
      </c>
      <c r="G125" t="inlineStr">
        <is>
          <t>2G</t>
        </is>
      </c>
      <c r="H125" t="inlineStr">
        <is>
          <t>2G</t>
        </is>
      </c>
      <c r="I125" t="inlineStr">
        <is>
          <t>2G</t>
        </is>
      </c>
      <c r="J125" t="inlineStr">
        <is>
          <t>2G</t>
        </is>
      </c>
      <c r="K125" t="inlineStr">
        <is>
          <t>2G</t>
        </is>
      </c>
      <c r="L125" t="inlineStr">
        <is>
          <t>2G</t>
        </is>
      </c>
      <c r="M125" t="inlineStr">
        <is>
          <t>G2</t>
        </is>
      </c>
      <c r="N125" t="inlineStr">
        <is>
          <t>2G</t>
        </is>
      </c>
      <c r="O125" t="inlineStr">
        <is>
          <t>2G</t>
        </is>
      </c>
      <c r="P125" t="inlineStr">
        <is>
          <t>2G</t>
        </is>
      </c>
      <c r="Q125" t="inlineStr">
        <is>
          <t>2G</t>
        </is>
      </c>
      <c r="R125" t="inlineStr">
        <is>
          <t>2Ζ</t>
        </is>
      </c>
      <c r="S125" t="inlineStr">
        <is>
          <t>2G</t>
        </is>
      </c>
      <c r="T125" t="inlineStr">
        <is>
          <t>2G</t>
        </is>
      </c>
      <c r="U125" t="inlineStr">
        <is>
          <t>2G</t>
        </is>
      </c>
      <c r="V125" t="inlineStr">
        <is>
          <t>2G</t>
        </is>
      </c>
      <c r="W125" t="inlineStr">
        <is>
          <t>2G</t>
        </is>
      </c>
      <c r="X125" t="inlineStr">
        <is>
          <t>G 그룹 2위</t>
        </is>
      </c>
      <c r="Y125" t="inlineStr">
        <is>
          <t>2G</t>
        </is>
      </c>
      <c r="Z125" t="inlineStr">
        <is>
          <t>2G</t>
        </is>
      </c>
      <c r="AA125" t="inlineStr">
        <is>
          <t>2Ġ</t>
        </is>
      </c>
      <c r="AB125" t="inlineStr">
        <is>
          <t>2G</t>
        </is>
      </c>
      <c r="AC125" t="inlineStr">
        <is>
          <t>دوم گروه G</t>
        </is>
      </c>
      <c r="AD125" t="inlineStr">
        <is>
          <t>2G</t>
        </is>
      </c>
      <c r="AE125" t="inlineStr">
        <is>
          <t>2G</t>
        </is>
      </c>
      <c r="AF125" t="inlineStr">
        <is>
          <t>2G</t>
        </is>
      </c>
      <c r="AG125" t="inlineStr">
        <is>
          <t>2G</t>
        </is>
      </c>
      <c r="AH125" t="inlineStr">
        <is>
          <t>2G</t>
        </is>
      </c>
      <c r="AI125" t="inlineStr">
        <is>
          <t>2G</t>
        </is>
      </c>
      <c r="AJ125" t="inlineStr">
        <is>
          <t>2G</t>
        </is>
      </c>
      <c r="AK125" t="inlineStr">
        <is>
          <t>2G</t>
        </is>
      </c>
      <c r="AL125" t="inlineStr">
        <is>
          <t>ที่ 2 สาย G</t>
        </is>
      </c>
      <c r="AM125" t="inlineStr">
        <is>
          <t>G2</t>
        </is>
      </c>
      <c r="AN125" t="inlineStr">
        <is>
          <t>2G</t>
        </is>
      </c>
      <c r="AO125" t="inlineStr">
        <is>
          <t>2G</t>
        </is>
      </c>
      <c r="AP125" t="inlineStr">
        <is>
          <t>۲ز</t>
        </is>
      </c>
    </row>
    <row r="126">
      <c r="A126" t="inlineStr">
        <is>
          <t>1H</t>
        </is>
      </c>
      <c r="B126" t="inlineStr">
        <is>
          <t>1H</t>
        </is>
      </c>
      <c r="C126" t="inlineStr">
        <is>
          <t>1H</t>
        </is>
      </c>
      <c r="D126" t="inlineStr">
        <is>
          <t>1H</t>
        </is>
      </c>
      <c r="E126" t="inlineStr">
        <is>
          <t>1H</t>
        </is>
      </c>
      <c r="F126" t="inlineStr">
        <is>
          <t>1H</t>
        </is>
      </c>
      <c r="G126" t="inlineStr">
        <is>
          <t>1H</t>
        </is>
      </c>
      <c r="H126" t="inlineStr">
        <is>
          <t>1H</t>
        </is>
      </c>
      <c r="I126" t="inlineStr">
        <is>
          <t>1H</t>
        </is>
      </c>
      <c r="J126" t="inlineStr">
        <is>
          <t>1H</t>
        </is>
      </c>
      <c r="K126" t="inlineStr">
        <is>
          <t>1H</t>
        </is>
      </c>
      <c r="L126" t="inlineStr">
        <is>
          <t>1H</t>
        </is>
      </c>
      <c r="M126" t="inlineStr">
        <is>
          <t>H1</t>
        </is>
      </c>
      <c r="N126" t="inlineStr">
        <is>
          <t>1H</t>
        </is>
      </c>
      <c r="O126" t="inlineStr">
        <is>
          <t>1H</t>
        </is>
      </c>
      <c r="P126" t="inlineStr">
        <is>
          <t>1H</t>
        </is>
      </c>
      <c r="Q126" t="inlineStr">
        <is>
          <t>1H</t>
        </is>
      </c>
      <c r="R126" t="inlineStr">
        <is>
          <t>1H</t>
        </is>
      </c>
      <c r="S126" t="inlineStr">
        <is>
          <t>1H</t>
        </is>
      </c>
      <c r="T126" t="inlineStr">
        <is>
          <t>1H</t>
        </is>
      </c>
      <c r="U126" t="inlineStr">
        <is>
          <t>1H</t>
        </is>
      </c>
      <c r="V126" t="inlineStr">
        <is>
          <t>1H</t>
        </is>
      </c>
      <c r="W126" t="inlineStr">
        <is>
          <t>1H</t>
        </is>
      </c>
      <c r="X126" t="inlineStr">
        <is>
          <t>H 그룹 1위</t>
        </is>
      </c>
      <c r="Y126" t="inlineStr">
        <is>
          <t>1H</t>
        </is>
      </c>
      <c r="Z126" t="inlineStr">
        <is>
          <t>1H</t>
        </is>
      </c>
      <c r="AA126" t="inlineStr">
        <is>
          <t>1Ħ</t>
        </is>
      </c>
      <c r="AB126" t="inlineStr">
        <is>
          <t>1H</t>
        </is>
      </c>
      <c r="AC126" t="inlineStr">
        <is>
          <t>اول گروه H</t>
        </is>
      </c>
      <c r="AD126" t="inlineStr">
        <is>
          <t>1H</t>
        </is>
      </c>
      <c r="AE126" t="inlineStr">
        <is>
          <t>1H</t>
        </is>
      </c>
      <c r="AF126" t="inlineStr">
        <is>
          <t>1H</t>
        </is>
      </c>
      <c r="AG126" t="inlineStr">
        <is>
          <t>1H</t>
        </is>
      </c>
      <c r="AH126" t="inlineStr">
        <is>
          <t>1H</t>
        </is>
      </c>
      <c r="AI126" t="inlineStr">
        <is>
          <t>1H</t>
        </is>
      </c>
      <c r="AJ126" t="inlineStr">
        <is>
          <t>1H</t>
        </is>
      </c>
      <c r="AK126" t="inlineStr">
        <is>
          <t>1H</t>
        </is>
      </c>
      <c r="AL126" t="inlineStr">
        <is>
          <t>ที่ 1 สาย H</t>
        </is>
      </c>
      <c r="AM126" t="inlineStr">
        <is>
          <t>H1</t>
        </is>
      </c>
      <c r="AN126" t="inlineStr">
        <is>
          <t>1H</t>
        </is>
      </c>
      <c r="AO126" t="inlineStr">
        <is>
          <t>1H</t>
        </is>
      </c>
      <c r="AP126" t="inlineStr">
        <is>
          <t>۱ح</t>
        </is>
      </c>
    </row>
    <row r="127">
      <c r="A127" t="inlineStr">
        <is>
          <t>2H</t>
        </is>
      </c>
      <c r="B127" t="inlineStr">
        <is>
          <t>2H</t>
        </is>
      </c>
      <c r="C127" t="inlineStr">
        <is>
          <t>2H</t>
        </is>
      </c>
      <c r="D127" t="inlineStr">
        <is>
          <t>2H</t>
        </is>
      </c>
      <c r="E127" t="inlineStr">
        <is>
          <t>2H</t>
        </is>
      </c>
      <c r="F127" t="inlineStr">
        <is>
          <t>2H</t>
        </is>
      </c>
      <c r="G127" t="inlineStr">
        <is>
          <t>2H</t>
        </is>
      </c>
      <c r="H127" t="inlineStr">
        <is>
          <t>2H</t>
        </is>
      </c>
      <c r="I127" t="inlineStr">
        <is>
          <t>2H</t>
        </is>
      </c>
      <c r="J127" t="inlineStr">
        <is>
          <t>2H</t>
        </is>
      </c>
      <c r="K127" t="inlineStr">
        <is>
          <t>2H</t>
        </is>
      </c>
      <c r="L127" t="inlineStr">
        <is>
          <t>2H</t>
        </is>
      </c>
      <c r="M127" t="inlineStr">
        <is>
          <t>H2</t>
        </is>
      </c>
      <c r="N127" t="inlineStr">
        <is>
          <t>2H</t>
        </is>
      </c>
      <c r="O127" t="inlineStr">
        <is>
          <t>2H</t>
        </is>
      </c>
      <c r="P127" t="inlineStr">
        <is>
          <t>2H</t>
        </is>
      </c>
      <c r="Q127" t="inlineStr">
        <is>
          <t>2H</t>
        </is>
      </c>
      <c r="R127" t="inlineStr">
        <is>
          <t>2H</t>
        </is>
      </c>
      <c r="S127" t="inlineStr">
        <is>
          <t>2H</t>
        </is>
      </c>
      <c r="T127" t="inlineStr">
        <is>
          <t>2H</t>
        </is>
      </c>
      <c r="U127" t="inlineStr">
        <is>
          <t>2H</t>
        </is>
      </c>
      <c r="V127" t="inlineStr">
        <is>
          <t>2H</t>
        </is>
      </c>
      <c r="W127" t="inlineStr">
        <is>
          <t>2H</t>
        </is>
      </c>
      <c r="X127" t="inlineStr">
        <is>
          <t>H 그룹 2위</t>
        </is>
      </c>
      <c r="Y127" t="inlineStr">
        <is>
          <t>2H</t>
        </is>
      </c>
      <c r="Z127" t="inlineStr">
        <is>
          <t>2H</t>
        </is>
      </c>
      <c r="AA127" t="inlineStr">
        <is>
          <t>1Ħ</t>
        </is>
      </c>
      <c r="AB127" t="inlineStr">
        <is>
          <t>2H</t>
        </is>
      </c>
      <c r="AC127" t="inlineStr">
        <is>
          <t>دوم گروه H</t>
        </is>
      </c>
      <c r="AD127" t="inlineStr">
        <is>
          <t>2H</t>
        </is>
      </c>
      <c r="AE127" t="inlineStr">
        <is>
          <t>2H</t>
        </is>
      </c>
      <c r="AF127" t="inlineStr">
        <is>
          <t>2H</t>
        </is>
      </c>
      <c r="AG127" t="inlineStr">
        <is>
          <t>2H</t>
        </is>
      </c>
      <c r="AH127" t="inlineStr">
        <is>
          <t>2H</t>
        </is>
      </c>
      <c r="AI127" t="inlineStr">
        <is>
          <t>2H</t>
        </is>
      </c>
      <c r="AJ127" t="inlineStr">
        <is>
          <t>2H</t>
        </is>
      </c>
      <c r="AK127" t="inlineStr">
        <is>
          <t>2H</t>
        </is>
      </c>
      <c r="AL127" t="inlineStr">
        <is>
          <t>ที่ 2 สาย H</t>
        </is>
      </c>
      <c r="AM127" t="inlineStr">
        <is>
          <t>H2</t>
        </is>
      </c>
      <c r="AN127" t="inlineStr">
        <is>
          <t>2H</t>
        </is>
      </c>
      <c r="AO127" t="inlineStr">
        <is>
          <t>2H</t>
        </is>
      </c>
      <c r="AP127" t="inlineStr">
        <is>
          <t>۲ح</t>
        </is>
      </c>
    </row>
    <row r="128">
      <c r="A128" t="inlineStr">
        <is>
          <t>W49</t>
        </is>
      </c>
      <c r="B128" t="inlineStr">
        <is>
          <t>F49</t>
        </is>
      </c>
      <c r="C128" t="inlineStr">
        <is>
          <t>W49</t>
        </is>
      </c>
      <c r="D128" t="inlineStr">
        <is>
          <t>W49</t>
        </is>
      </c>
      <c r="E128" t="inlineStr">
        <is>
          <t>Q49</t>
        </is>
      </c>
      <c r="F128" t="inlineStr">
        <is>
          <t>W49</t>
        </is>
      </c>
      <c r="G128" t="inlineStr">
        <is>
          <t>G49</t>
        </is>
      </c>
      <c r="H128" t="inlineStr">
        <is>
          <t>49胜者</t>
        </is>
      </c>
      <c r="I128" t="inlineStr">
        <is>
          <t>W49</t>
        </is>
      </c>
      <c r="J128" t="inlineStr">
        <is>
          <t>W49</t>
        </is>
      </c>
      <c r="K128" t="inlineStr">
        <is>
          <t>V49</t>
        </is>
      </c>
      <c r="L128" t="inlineStr">
        <is>
          <t>V49</t>
        </is>
      </c>
      <c r="M128" t="inlineStr">
        <is>
          <t>W49</t>
        </is>
      </c>
      <c r="N128" t="inlineStr">
        <is>
          <t>V49</t>
        </is>
      </c>
      <c r="O128" t="inlineStr">
        <is>
          <t>W49</t>
        </is>
      </c>
      <c r="P128" t="inlineStr">
        <is>
          <t>მ49</t>
        </is>
      </c>
      <c r="Q128" t="inlineStr">
        <is>
          <t>W49</t>
        </is>
      </c>
      <c r="R128" t="inlineStr">
        <is>
          <t>Ν49</t>
        </is>
      </c>
      <c r="S128" t="inlineStr">
        <is>
          <t>W49</t>
        </is>
      </c>
      <c r="T128" t="inlineStr">
        <is>
          <t>GY49</t>
        </is>
      </c>
      <c r="U128" t="inlineStr">
        <is>
          <t>W49</t>
        </is>
      </c>
      <c r="V128" t="inlineStr">
        <is>
          <t>W49</t>
        </is>
      </c>
      <c r="W128" t="inlineStr">
        <is>
          <t>W49</t>
        </is>
      </c>
      <c r="X128" t="inlineStr">
        <is>
          <t>16강전 경기1 승자</t>
        </is>
      </c>
      <c r="Y128" t="inlineStr">
        <is>
          <t>L49</t>
        </is>
      </c>
      <c r="Z128" t="inlineStr">
        <is>
          <t>П49</t>
        </is>
      </c>
      <c r="AA128" t="inlineStr">
        <is>
          <t>R49</t>
        </is>
      </c>
      <c r="AB128" t="inlineStr">
        <is>
          <t>V49</t>
        </is>
      </c>
      <c r="AC128" t="inlineStr">
        <is>
          <t>برنده بازی 49</t>
        </is>
      </c>
      <c r="AD128" t="inlineStr">
        <is>
          <t>W49</t>
        </is>
      </c>
      <c r="AE128" t="inlineStr">
        <is>
          <t>W49</t>
        </is>
      </c>
      <c r="AF128" t="inlineStr">
        <is>
          <t>C49</t>
        </is>
      </c>
      <c r="AG128" t="inlineStr">
        <is>
          <t>P49</t>
        </is>
      </c>
      <c r="AH128" t="inlineStr">
        <is>
          <t>V49</t>
        </is>
      </c>
      <c r="AI128" t="inlineStr">
        <is>
          <t>W49</t>
        </is>
      </c>
      <c r="AJ128" t="inlineStr">
        <is>
          <t>W49</t>
        </is>
      </c>
      <c r="AK128" t="inlineStr">
        <is>
          <t>W49</t>
        </is>
      </c>
      <c r="AL128" t="inlineStr">
        <is>
          <t>ผู้ชนะนัดที่ 49</t>
        </is>
      </c>
      <c r="AM128" t="inlineStr">
        <is>
          <t>G49</t>
        </is>
      </c>
      <c r="AN128" t="inlineStr">
        <is>
          <t>T49</t>
        </is>
      </c>
      <c r="AO128" t="inlineStr">
        <is>
          <t>Переможець 49</t>
        </is>
      </c>
      <c r="AP128" t="inlineStr">
        <is>
          <t>۴۹ جیت</t>
        </is>
      </c>
    </row>
    <row r="129">
      <c r="A129" t="inlineStr">
        <is>
          <t>W50</t>
        </is>
      </c>
      <c r="B129" t="inlineStr">
        <is>
          <t>F50</t>
        </is>
      </c>
      <c r="C129" t="inlineStr">
        <is>
          <t>W50</t>
        </is>
      </c>
      <c r="D129" t="inlineStr">
        <is>
          <t>W50</t>
        </is>
      </c>
      <c r="E129" t="inlineStr">
        <is>
          <t>Q50</t>
        </is>
      </c>
      <c r="F129" t="inlineStr">
        <is>
          <t>W50</t>
        </is>
      </c>
      <c r="G129" t="inlineStr">
        <is>
          <t>G50</t>
        </is>
      </c>
      <c r="H129" t="inlineStr">
        <is>
          <t>50胜者</t>
        </is>
      </c>
      <c r="I129" t="inlineStr">
        <is>
          <t>W50</t>
        </is>
      </c>
      <c r="J129" t="inlineStr">
        <is>
          <t>W50</t>
        </is>
      </c>
      <c r="K129" t="inlineStr">
        <is>
          <t>V50</t>
        </is>
      </c>
      <c r="L129" t="inlineStr">
        <is>
          <t>V50</t>
        </is>
      </c>
      <c r="M129" t="inlineStr">
        <is>
          <t>W50</t>
        </is>
      </c>
      <c r="N129" t="inlineStr">
        <is>
          <t>V50</t>
        </is>
      </c>
      <c r="O129" t="inlineStr">
        <is>
          <t>W50</t>
        </is>
      </c>
      <c r="P129" t="inlineStr">
        <is>
          <t>მ50</t>
        </is>
      </c>
      <c r="Q129" t="inlineStr">
        <is>
          <t>W50</t>
        </is>
      </c>
      <c r="R129" t="inlineStr">
        <is>
          <t>Ν50</t>
        </is>
      </c>
      <c r="S129" t="inlineStr">
        <is>
          <t>W50</t>
        </is>
      </c>
      <c r="T129" t="inlineStr">
        <is>
          <t>GY50</t>
        </is>
      </c>
      <c r="U129" t="inlineStr">
        <is>
          <t>W50</t>
        </is>
      </c>
      <c r="V129" t="inlineStr">
        <is>
          <t>W50</t>
        </is>
      </c>
      <c r="W129" t="inlineStr">
        <is>
          <t>W50</t>
        </is>
      </c>
      <c r="X129" t="inlineStr">
        <is>
          <t>16강전 경기2 승자</t>
        </is>
      </c>
      <c r="Y129" t="inlineStr">
        <is>
          <t>L50</t>
        </is>
      </c>
      <c r="Z129" t="inlineStr">
        <is>
          <t>П50</t>
        </is>
      </c>
      <c r="AA129" t="inlineStr">
        <is>
          <t>R50</t>
        </is>
      </c>
      <c r="AB129" t="inlineStr">
        <is>
          <t>V50</t>
        </is>
      </c>
      <c r="AC129" t="inlineStr">
        <is>
          <t>برنده بازی 50</t>
        </is>
      </c>
      <c r="AD129" t="inlineStr">
        <is>
          <t>W50</t>
        </is>
      </c>
      <c r="AE129" t="inlineStr">
        <is>
          <t>W50</t>
        </is>
      </c>
      <c r="AF129" t="inlineStr">
        <is>
          <t>C50</t>
        </is>
      </c>
      <c r="AG129" t="inlineStr">
        <is>
          <t>P50</t>
        </is>
      </c>
      <c r="AH129" t="inlineStr">
        <is>
          <t>V50</t>
        </is>
      </c>
      <c r="AI129" t="inlineStr">
        <is>
          <t>W50</t>
        </is>
      </c>
      <c r="AJ129" t="inlineStr">
        <is>
          <t>W50</t>
        </is>
      </c>
      <c r="AK129" t="inlineStr">
        <is>
          <t>W50</t>
        </is>
      </c>
      <c r="AL129" t="inlineStr">
        <is>
          <t>ผู้ชนะนัดที่ 50</t>
        </is>
      </c>
      <c r="AM129" t="inlineStr">
        <is>
          <t>G50</t>
        </is>
      </c>
      <c r="AN129" t="inlineStr">
        <is>
          <t>T50</t>
        </is>
      </c>
      <c r="AO129" t="inlineStr">
        <is>
          <t>Переможець 50</t>
        </is>
      </c>
      <c r="AP129" t="inlineStr">
        <is>
          <t>۵۰ جیت</t>
        </is>
      </c>
    </row>
    <row r="130">
      <c r="A130" t="inlineStr">
        <is>
          <t>W51</t>
        </is>
      </c>
      <c r="B130" t="inlineStr">
        <is>
          <t>F51</t>
        </is>
      </c>
      <c r="C130" t="inlineStr">
        <is>
          <t>W51</t>
        </is>
      </c>
      <c r="D130" t="inlineStr">
        <is>
          <t>W51</t>
        </is>
      </c>
      <c r="E130" t="inlineStr">
        <is>
          <t>Q51</t>
        </is>
      </c>
      <c r="F130" t="inlineStr">
        <is>
          <t>W51</t>
        </is>
      </c>
      <c r="G130" t="inlineStr">
        <is>
          <t>G51</t>
        </is>
      </c>
      <c r="H130" t="inlineStr">
        <is>
          <t>51胜者</t>
        </is>
      </c>
      <c r="I130" t="inlineStr">
        <is>
          <t>W51</t>
        </is>
      </c>
      <c r="J130" t="inlineStr">
        <is>
          <t>W51</t>
        </is>
      </c>
      <c r="K130" t="inlineStr">
        <is>
          <t>V51</t>
        </is>
      </c>
      <c r="L130" t="inlineStr">
        <is>
          <t>V51</t>
        </is>
      </c>
      <c r="M130" t="inlineStr">
        <is>
          <t>W51</t>
        </is>
      </c>
      <c r="N130" t="inlineStr">
        <is>
          <t>V51</t>
        </is>
      </c>
      <c r="O130" t="inlineStr">
        <is>
          <t>W51</t>
        </is>
      </c>
      <c r="P130" t="inlineStr">
        <is>
          <t>მ51</t>
        </is>
      </c>
      <c r="Q130" t="inlineStr">
        <is>
          <t>W51</t>
        </is>
      </c>
      <c r="R130" t="inlineStr">
        <is>
          <t>Ν51</t>
        </is>
      </c>
      <c r="S130" t="inlineStr">
        <is>
          <t>W51</t>
        </is>
      </c>
      <c r="T130" t="inlineStr">
        <is>
          <t>GY51</t>
        </is>
      </c>
      <c r="U130" t="inlineStr">
        <is>
          <t>W51</t>
        </is>
      </c>
      <c r="V130" t="inlineStr">
        <is>
          <t>W51</t>
        </is>
      </c>
      <c r="W130" t="inlineStr">
        <is>
          <t>W51</t>
        </is>
      </c>
      <c r="X130" t="inlineStr">
        <is>
          <t>16강전 경기3 승자</t>
        </is>
      </c>
      <c r="Y130" t="inlineStr">
        <is>
          <t>L51</t>
        </is>
      </c>
      <c r="Z130" t="inlineStr">
        <is>
          <t>П51</t>
        </is>
      </c>
      <c r="AA130" t="inlineStr">
        <is>
          <t>R51</t>
        </is>
      </c>
      <c r="AB130" t="inlineStr">
        <is>
          <t>V51</t>
        </is>
      </c>
      <c r="AC130" t="inlineStr">
        <is>
          <t>برنده بازی 51</t>
        </is>
      </c>
      <c r="AD130" t="inlineStr">
        <is>
          <t>W51</t>
        </is>
      </c>
      <c r="AE130" t="inlineStr">
        <is>
          <t>W51</t>
        </is>
      </c>
      <c r="AF130" t="inlineStr">
        <is>
          <t>C51</t>
        </is>
      </c>
      <c r="AG130" t="inlineStr">
        <is>
          <t>P51</t>
        </is>
      </c>
      <c r="AH130" t="inlineStr">
        <is>
          <t>V51</t>
        </is>
      </c>
      <c r="AI130" t="inlineStr">
        <is>
          <t>W51</t>
        </is>
      </c>
      <c r="AJ130" t="inlineStr">
        <is>
          <t>W51</t>
        </is>
      </c>
      <c r="AK130" t="inlineStr">
        <is>
          <t>W51</t>
        </is>
      </c>
      <c r="AL130" t="inlineStr">
        <is>
          <t>ผู้ชนะนัดที่ 51</t>
        </is>
      </c>
      <c r="AM130" t="inlineStr">
        <is>
          <t>G51</t>
        </is>
      </c>
      <c r="AN130" t="inlineStr">
        <is>
          <t>T51</t>
        </is>
      </c>
      <c r="AO130" t="inlineStr">
        <is>
          <t>Переможець 51</t>
        </is>
      </c>
      <c r="AP130" t="inlineStr">
        <is>
          <t>۵۱ جیت</t>
        </is>
      </c>
    </row>
    <row r="131">
      <c r="A131" t="inlineStr">
        <is>
          <t>W52</t>
        </is>
      </c>
      <c r="B131" t="inlineStr">
        <is>
          <t>F52</t>
        </is>
      </c>
      <c r="C131" t="inlineStr">
        <is>
          <t>W52</t>
        </is>
      </c>
      <c r="D131" t="inlineStr">
        <is>
          <t>W52</t>
        </is>
      </c>
      <c r="E131" t="inlineStr">
        <is>
          <t>Q52</t>
        </is>
      </c>
      <c r="F131" t="inlineStr">
        <is>
          <t>W52</t>
        </is>
      </c>
      <c r="G131" t="inlineStr">
        <is>
          <t>G52</t>
        </is>
      </c>
      <c r="H131" t="inlineStr">
        <is>
          <t>52胜者</t>
        </is>
      </c>
      <c r="I131" t="inlineStr">
        <is>
          <t>W52</t>
        </is>
      </c>
      <c r="J131" t="inlineStr">
        <is>
          <t>W52</t>
        </is>
      </c>
      <c r="K131" t="inlineStr">
        <is>
          <t>V52</t>
        </is>
      </c>
      <c r="L131" t="inlineStr">
        <is>
          <t>V52</t>
        </is>
      </c>
      <c r="M131" t="inlineStr">
        <is>
          <t>W52</t>
        </is>
      </c>
      <c r="N131" t="inlineStr">
        <is>
          <t>V52</t>
        </is>
      </c>
      <c r="O131" t="inlineStr">
        <is>
          <t>W52</t>
        </is>
      </c>
      <c r="P131" t="inlineStr">
        <is>
          <t>მ52</t>
        </is>
      </c>
      <c r="Q131" t="inlineStr">
        <is>
          <t>W52</t>
        </is>
      </c>
      <c r="R131" t="inlineStr">
        <is>
          <t>Ν52</t>
        </is>
      </c>
      <c r="S131" t="inlineStr">
        <is>
          <t>W52</t>
        </is>
      </c>
      <c r="T131" t="inlineStr">
        <is>
          <t>GY52</t>
        </is>
      </c>
      <c r="U131" t="inlineStr">
        <is>
          <t>W52</t>
        </is>
      </c>
      <c r="V131" t="inlineStr">
        <is>
          <t>W52</t>
        </is>
      </c>
      <c r="W131" t="inlineStr">
        <is>
          <t>W52</t>
        </is>
      </c>
      <c r="X131" t="inlineStr">
        <is>
          <t>16강전 경기4 승자</t>
        </is>
      </c>
      <c r="Y131" t="inlineStr">
        <is>
          <t>L52</t>
        </is>
      </c>
      <c r="Z131" t="inlineStr">
        <is>
          <t>П52</t>
        </is>
      </c>
      <c r="AA131" t="inlineStr">
        <is>
          <t>R52</t>
        </is>
      </c>
      <c r="AB131" t="inlineStr">
        <is>
          <t>V52</t>
        </is>
      </c>
      <c r="AC131" t="inlineStr">
        <is>
          <t>برنده بازی 52</t>
        </is>
      </c>
      <c r="AD131" t="inlineStr">
        <is>
          <t>W52</t>
        </is>
      </c>
      <c r="AE131" t="inlineStr">
        <is>
          <t>W52</t>
        </is>
      </c>
      <c r="AF131" t="inlineStr">
        <is>
          <t>C52</t>
        </is>
      </c>
      <c r="AG131" t="inlineStr">
        <is>
          <t>P52</t>
        </is>
      </c>
      <c r="AH131" t="inlineStr">
        <is>
          <t>V52</t>
        </is>
      </c>
      <c r="AI131" t="inlineStr">
        <is>
          <t>W52</t>
        </is>
      </c>
      <c r="AJ131" t="inlineStr">
        <is>
          <t>W52</t>
        </is>
      </c>
      <c r="AK131" t="inlineStr">
        <is>
          <t>W52</t>
        </is>
      </c>
      <c r="AL131" t="inlineStr">
        <is>
          <t>ผู้ชนะนัดที่ 52</t>
        </is>
      </c>
      <c r="AM131" t="inlineStr">
        <is>
          <t>G52</t>
        </is>
      </c>
      <c r="AN131" t="inlineStr">
        <is>
          <t>T52</t>
        </is>
      </c>
      <c r="AO131" t="inlineStr">
        <is>
          <t>Переможець 52</t>
        </is>
      </c>
      <c r="AP131" t="inlineStr">
        <is>
          <t>۵۲ جیت</t>
        </is>
      </c>
    </row>
    <row r="132">
      <c r="A132" t="inlineStr">
        <is>
          <t>W53</t>
        </is>
      </c>
      <c r="B132" t="inlineStr">
        <is>
          <t>F53</t>
        </is>
      </c>
      <c r="C132" t="inlineStr">
        <is>
          <t>W53</t>
        </is>
      </c>
      <c r="D132" t="inlineStr">
        <is>
          <t>W53</t>
        </is>
      </c>
      <c r="E132" t="inlineStr">
        <is>
          <t>Q53</t>
        </is>
      </c>
      <c r="F132" t="inlineStr">
        <is>
          <t>W53</t>
        </is>
      </c>
      <c r="G132" t="inlineStr">
        <is>
          <t>G53</t>
        </is>
      </c>
      <c r="H132" t="inlineStr">
        <is>
          <t>53胜者</t>
        </is>
      </c>
      <c r="I132" t="inlineStr">
        <is>
          <t>W53</t>
        </is>
      </c>
      <c r="J132" t="inlineStr">
        <is>
          <t>W53</t>
        </is>
      </c>
      <c r="K132" t="inlineStr">
        <is>
          <t>V53</t>
        </is>
      </c>
      <c r="L132" t="inlineStr">
        <is>
          <t>V53</t>
        </is>
      </c>
      <c r="M132" t="inlineStr">
        <is>
          <t>W53</t>
        </is>
      </c>
      <c r="N132" t="inlineStr">
        <is>
          <t>V53</t>
        </is>
      </c>
      <c r="O132" t="inlineStr">
        <is>
          <t>W53</t>
        </is>
      </c>
      <c r="P132" t="inlineStr">
        <is>
          <t>მ53</t>
        </is>
      </c>
      <c r="Q132" t="inlineStr">
        <is>
          <t>W53</t>
        </is>
      </c>
      <c r="R132" t="inlineStr">
        <is>
          <t>Ν53</t>
        </is>
      </c>
      <c r="S132" t="inlineStr">
        <is>
          <t>W53</t>
        </is>
      </c>
      <c r="T132" t="inlineStr">
        <is>
          <t>GY53</t>
        </is>
      </c>
      <c r="U132" t="inlineStr">
        <is>
          <t>W53</t>
        </is>
      </c>
      <c r="V132" t="inlineStr">
        <is>
          <t>W53</t>
        </is>
      </c>
      <c r="W132" t="inlineStr">
        <is>
          <t>W53</t>
        </is>
      </c>
      <c r="X132" t="inlineStr">
        <is>
          <t>16강전 경기5 승자</t>
        </is>
      </c>
      <c r="Y132" t="inlineStr">
        <is>
          <t>L53</t>
        </is>
      </c>
      <c r="Z132" t="inlineStr">
        <is>
          <t>П53</t>
        </is>
      </c>
      <c r="AA132" t="inlineStr">
        <is>
          <t>R53</t>
        </is>
      </c>
      <c r="AB132" t="inlineStr">
        <is>
          <t>V53</t>
        </is>
      </c>
      <c r="AC132" t="inlineStr">
        <is>
          <t>برنده بازی 53</t>
        </is>
      </c>
      <c r="AD132" t="inlineStr">
        <is>
          <t>W53</t>
        </is>
      </c>
      <c r="AE132" t="inlineStr">
        <is>
          <t>W53</t>
        </is>
      </c>
      <c r="AF132" t="inlineStr">
        <is>
          <t>C53</t>
        </is>
      </c>
      <c r="AG132" t="inlineStr">
        <is>
          <t>P53</t>
        </is>
      </c>
      <c r="AH132" t="inlineStr">
        <is>
          <t>V53</t>
        </is>
      </c>
      <c r="AI132" t="inlineStr">
        <is>
          <t>W53</t>
        </is>
      </c>
      <c r="AJ132" t="inlineStr">
        <is>
          <t>W53</t>
        </is>
      </c>
      <c r="AK132" t="inlineStr">
        <is>
          <t>W53</t>
        </is>
      </c>
      <c r="AL132" t="inlineStr">
        <is>
          <t>ผู้ชนะนัดที่ 53</t>
        </is>
      </c>
      <c r="AM132" t="inlineStr">
        <is>
          <t>G53</t>
        </is>
      </c>
      <c r="AN132" t="inlineStr">
        <is>
          <t>T53</t>
        </is>
      </c>
      <c r="AO132" t="inlineStr">
        <is>
          <t>Переможець 53</t>
        </is>
      </c>
      <c r="AP132" t="inlineStr">
        <is>
          <t>۵۳ جیت</t>
        </is>
      </c>
    </row>
    <row r="133">
      <c r="A133" t="inlineStr">
        <is>
          <t>W54</t>
        </is>
      </c>
      <c r="B133" t="inlineStr">
        <is>
          <t>F54</t>
        </is>
      </c>
      <c r="C133" t="inlineStr">
        <is>
          <t>W54</t>
        </is>
      </c>
      <c r="D133" t="inlineStr">
        <is>
          <t>W54</t>
        </is>
      </c>
      <c r="E133" t="inlineStr">
        <is>
          <t>Q54</t>
        </is>
      </c>
      <c r="F133" t="inlineStr">
        <is>
          <t>W54</t>
        </is>
      </c>
      <c r="G133" t="inlineStr">
        <is>
          <t>G54</t>
        </is>
      </c>
      <c r="H133" t="inlineStr">
        <is>
          <t>54胜者</t>
        </is>
      </c>
      <c r="I133" t="inlineStr">
        <is>
          <t>W54</t>
        </is>
      </c>
      <c r="J133" t="inlineStr">
        <is>
          <t>W54</t>
        </is>
      </c>
      <c r="K133" t="inlineStr">
        <is>
          <t>V54</t>
        </is>
      </c>
      <c r="L133" t="inlineStr">
        <is>
          <t>V54</t>
        </is>
      </c>
      <c r="M133" t="inlineStr">
        <is>
          <t>W54</t>
        </is>
      </c>
      <c r="N133" t="inlineStr">
        <is>
          <t>V54</t>
        </is>
      </c>
      <c r="O133" t="inlineStr">
        <is>
          <t>W54</t>
        </is>
      </c>
      <c r="P133" t="inlineStr">
        <is>
          <t>მ54</t>
        </is>
      </c>
      <c r="Q133" t="inlineStr">
        <is>
          <t>W54</t>
        </is>
      </c>
      <c r="R133" t="inlineStr">
        <is>
          <t>Ν54</t>
        </is>
      </c>
      <c r="S133" t="inlineStr">
        <is>
          <t>W54</t>
        </is>
      </c>
      <c r="T133" t="inlineStr">
        <is>
          <t>GY54</t>
        </is>
      </c>
      <c r="U133" t="inlineStr">
        <is>
          <t>W54</t>
        </is>
      </c>
      <c r="V133" t="inlineStr">
        <is>
          <t>W54</t>
        </is>
      </c>
      <c r="W133" t="inlineStr">
        <is>
          <t>W54</t>
        </is>
      </c>
      <c r="X133" t="inlineStr">
        <is>
          <t>16강전 경기6 승자</t>
        </is>
      </c>
      <c r="Y133" t="inlineStr">
        <is>
          <t>L54</t>
        </is>
      </c>
      <c r="Z133" t="inlineStr">
        <is>
          <t>П54</t>
        </is>
      </c>
      <c r="AA133" t="inlineStr">
        <is>
          <t>R54</t>
        </is>
      </c>
      <c r="AB133" t="inlineStr">
        <is>
          <t>V54</t>
        </is>
      </c>
      <c r="AC133" t="inlineStr">
        <is>
          <t>برنده بازی 54</t>
        </is>
      </c>
      <c r="AD133" t="inlineStr">
        <is>
          <t>W54</t>
        </is>
      </c>
      <c r="AE133" t="inlineStr">
        <is>
          <t>W54</t>
        </is>
      </c>
      <c r="AF133" t="inlineStr">
        <is>
          <t>C54</t>
        </is>
      </c>
      <c r="AG133" t="inlineStr">
        <is>
          <t>P54</t>
        </is>
      </c>
      <c r="AH133" t="inlineStr">
        <is>
          <t>V54</t>
        </is>
      </c>
      <c r="AI133" t="inlineStr">
        <is>
          <t>W54</t>
        </is>
      </c>
      <c r="AJ133" t="inlineStr">
        <is>
          <t>W54</t>
        </is>
      </c>
      <c r="AK133" t="inlineStr">
        <is>
          <t>W54</t>
        </is>
      </c>
      <c r="AL133" t="inlineStr">
        <is>
          <t>ผู้ชนะนัดที่ 54</t>
        </is>
      </c>
      <c r="AM133" t="inlineStr">
        <is>
          <t>G54</t>
        </is>
      </c>
      <c r="AN133" t="inlineStr">
        <is>
          <t>T54</t>
        </is>
      </c>
      <c r="AO133" t="inlineStr">
        <is>
          <t>Переможець 54</t>
        </is>
      </c>
      <c r="AP133" t="inlineStr">
        <is>
          <t>۵۴ جیت</t>
        </is>
      </c>
    </row>
    <row r="134">
      <c r="A134" t="inlineStr">
        <is>
          <t>W55</t>
        </is>
      </c>
      <c r="B134" t="inlineStr">
        <is>
          <t>F55</t>
        </is>
      </c>
      <c r="C134" t="inlineStr">
        <is>
          <t>W55</t>
        </is>
      </c>
      <c r="D134" t="inlineStr">
        <is>
          <t>W55</t>
        </is>
      </c>
      <c r="E134" t="inlineStr">
        <is>
          <t>Q55</t>
        </is>
      </c>
      <c r="F134" t="inlineStr">
        <is>
          <t>W55</t>
        </is>
      </c>
      <c r="G134" t="inlineStr">
        <is>
          <t>G55</t>
        </is>
      </c>
      <c r="H134" t="inlineStr">
        <is>
          <t>55胜者</t>
        </is>
      </c>
      <c r="I134" t="inlineStr">
        <is>
          <t>W55</t>
        </is>
      </c>
      <c r="J134" t="inlineStr">
        <is>
          <t>W55</t>
        </is>
      </c>
      <c r="K134" t="inlineStr">
        <is>
          <t>V55</t>
        </is>
      </c>
      <c r="L134" t="inlineStr">
        <is>
          <t>V55</t>
        </is>
      </c>
      <c r="M134" t="inlineStr">
        <is>
          <t>W55</t>
        </is>
      </c>
      <c r="N134" t="inlineStr">
        <is>
          <t>V55</t>
        </is>
      </c>
      <c r="O134" t="inlineStr">
        <is>
          <t>W55</t>
        </is>
      </c>
      <c r="P134" t="inlineStr">
        <is>
          <t>მ55</t>
        </is>
      </c>
      <c r="Q134" t="inlineStr">
        <is>
          <t>W55</t>
        </is>
      </c>
      <c r="R134" t="inlineStr">
        <is>
          <t>Ν55</t>
        </is>
      </c>
      <c r="S134" t="inlineStr">
        <is>
          <t>W55</t>
        </is>
      </c>
      <c r="T134" t="inlineStr">
        <is>
          <t>GY55</t>
        </is>
      </c>
      <c r="U134" t="inlineStr">
        <is>
          <t>W55</t>
        </is>
      </c>
      <c r="V134" t="inlineStr">
        <is>
          <t>W55</t>
        </is>
      </c>
      <c r="W134" t="inlineStr">
        <is>
          <t>W55</t>
        </is>
      </c>
      <c r="X134" t="inlineStr">
        <is>
          <t>16강전 경기7 승자</t>
        </is>
      </c>
      <c r="Y134" t="inlineStr">
        <is>
          <t>L55</t>
        </is>
      </c>
      <c r="Z134" t="inlineStr">
        <is>
          <t>П55</t>
        </is>
      </c>
      <c r="AA134" t="inlineStr">
        <is>
          <t>R55</t>
        </is>
      </c>
      <c r="AB134" t="inlineStr">
        <is>
          <t>V55</t>
        </is>
      </c>
      <c r="AC134" t="inlineStr">
        <is>
          <t>برنده بازی 55</t>
        </is>
      </c>
      <c r="AD134" t="inlineStr">
        <is>
          <t>W55</t>
        </is>
      </c>
      <c r="AE134" t="inlineStr">
        <is>
          <t>W55</t>
        </is>
      </c>
      <c r="AF134" t="inlineStr">
        <is>
          <t>C55</t>
        </is>
      </c>
      <c r="AG134" t="inlineStr">
        <is>
          <t>P55</t>
        </is>
      </c>
      <c r="AH134" t="inlineStr">
        <is>
          <t>V55</t>
        </is>
      </c>
      <c r="AI134" t="inlineStr">
        <is>
          <t>W55</t>
        </is>
      </c>
      <c r="AJ134" t="inlineStr">
        <is>
          <t>W55</t>
        </is>
      </c>
      <c r="AK134" t="inlineStr">
        <is>
          <t>W55</t>
        </is>
      </c>
      <c r="AL134" t="inlineStr">
        <is>
          <t>ผู้ชนะนัดที่ 55</t>
        </is>
      </c>
      <c r="AM134" t="inlineStr">
        <is>
          <t>G55</t>
        </is>
      </c>
      <c r="AN134" t="inlineStr">
        <is>
          <t>T55</t>
        </is>
      </c>
      <c r="AO134" t="inlineStr">
        <is>
          <t>Переможець 55</t>
        </is>
      </c>
      <c r="AP134" t="inlineStr">
        <is>
          <t>۵۵ جیت</t>
        </is>
      </c>
    </row>
    <row r="135">
      <c r="A135" t="inlineStr">
        <is>
          <t>W56</t>
        </is>
      </c>
      <c r="B135" t="inlineStr">
        <is>
          <t>F56</t>
        </is>
      </c>
      <c r="C135" t="inlineStr">
        <is>
          <t>W56</t>
        </is>
      </c>
      <c r="D135" t="inlineStr">
        <is>
          <t>W56</t>
        </is>
      </c>
      <c r="E135" t="inlineStr">
        <is>
          <t>Q56</t>
        </is>
      </c>
      <c r="F135" t="inlineStr">
        <is>
          <t>W56</t>
        </is>
      </c>
      <c r="G135" t="inlineStr">
        <is>
          <t>G56</t>
        </is>
      </c>
      <c r="H135" t="inlineStr">
        <is>
          <t>56胜者</t>
        </is>
      </c>
      <c r="I135" t="inlineStr">
        <is>
          <t>W56</t>
        </is>
      </c>
      <c r="J135" t="inlineStr">
        <is>
          <t>W56</t>
        </is>
      </c>
      <c r="K135" t="inlineStr">
        <is>
          <t>V56</t>
        </is>
      </c>
      <c r="L135" t="inlineStr">
        <is>
          <t>V56</t>
        </is>
      </c>
      <c r="M135" t="inlineStr">
        <is>
          <t>W56</t>
        </is>
      </c>
      <c r="N135" t="inlineStr">
        <is>
          <t>V56</t>
        </is>
      </c>
      <c r="O135" t="inlineStr">
        <is>
          <t>W56</t>
        </is>
      </c>
      <c r="P135" t="inlineStr">
        <is>
          <t>მ56</t>
        </is>
      </c>
      <c r="Q135" t="inlineStr">
        <is>
          <t>W56</t>
        </is>
      </c>
      <c r="R135" t="inlineStr">
        <is>
          <t>Ν56</t>
        </is>
      </c>
      <c r="S135" t="inlineStr">
        <is>
          <t>W56</t>
        </is>
      </c>
      <c r="T135" t="inlineStr">
        <is>
          <t>GY56</t>
        </is>
      </c>
      <c r="U135" t="inlineStr">
        <is>
          <t>W56</t>
        </is>
      </c>
      <c r="V135" t="inlineStr">
        <is>
          <t>W56</t>
        </is>
      </c>
      <c r="W135" t="inlineStr">
        <is>
          <t>W56</t>
        </is>
      </c>
      <c r="X135" t="inlineStr">
        <is>
          <t>16강전 경기8 승자</t>
        </is>
      </c>
      <c r="Y135" t="inlineStr">
        <is>
          <t>L56</t>
        </is>
      </c>
      <c r="Z135" t="inlineStr">
        <is>
          <t>П56</t>
        </is>
      </c>
      <c r="AA135" t="inlineStr">
        <is>
          <t>R56</t>
        </is>
      </c>
      <c r="AB135" t="inlineStr">
        <is>
          <t>V56</t>
        </is>
      </c>
      <c r="AC135" t="inlineStr">
        <is>
          <t>برنده بازی 56</t>
        </is>
      </c>
      <c r="AD135" t="inlineStr">
        <is>
          <t>W56</t>
        </is>
      </c>
      <c r="AE135" t="inlineStr">
        <is>
          <t>W56</t>
        </is>
      </c>
      <c r="AF135" t="inlineStr">
        <is>
          <t>C56</t>
        </is>
      </c>
      <c r="AG135" t="inlineStr">
        <is>
          <t>P56</t>
        </is>
      </c>
      <c r="AH135" t="inlineStr">
        <is>
          <t>V56</t>
        </is>
      </c>
      <c r="AI135" t="inlineStr">
        <is>
          <t>W56</t>
        </is>
      </c>
      <c r="AJ135" t="inlineStr">
        <is>
          <t>W56</t>
        </is>
      </c>
      <c r="AK135" t="inlineStr">
        <is>
          <t>W56</t>
        </is>
      </c>
      <c r="AL135" t="inlineStr">
        <is>
          <t>ผู้ชนะนัดที่ 56</t>
        </is>
      </c>
      <c r="AM135" t="inlineStr">
        <is>
          <t>G56</t>
        </is>
      </c>
      <c r="AN135" t="inlineStr">
        <is>
          <t>T56</t>
        </is>
      </c>
      <c r="AO135" t="inlineStr">
        <is>
          <t>Переможець 56</t>
        </is>
      </c>
      <c r="AP135" t="inlineStr">
        <is>
          <t>۵۶ جیت</t>
        </is>
      </c>
    </row>
    <row r="136">
      <c r="A136" t="inlineStr">
        <is>
          <t>W57</t>
        </is>
      </c>
      <c r="B136" t="inlineStr">
        <is>
          <t>F57</t>
        </is>
      </c>
      <c r="C136" t="inlineStr">
        <is>
          <t>W57</t>
        </is>
      </c>
      <c r="D136" t="inlineStr">
        <is>
          <t>W57</t>
        </is>
      </c>
      <c r="E136" t="inlineStr">
        <is>
          <t>Q57</t>
        </is>
      </c>
      <c r="F136" t="inlineStr">
        <is>
          <t>W57</t>
        </is>
      </c>
      <c r="G136" t="inlineStr">
        <is>
          <t>G57</t>
        </is>
      </c>
      <c r="H136" t="inlineStr">
        <is>
          <t>57胜者</t>
        </is>
      </c>
      <c r="I136" t="inlineStr">
        <is>
          <t>W57</t>
        </is>
      </c>
      <c r="J136" t="inlineStr">
        <is>
          <t>W57</t>
        </is>
      </c>
      <c r="K136" t="inlineStr">
        <is>
          <t>V57</t>
        </is>
      </c>
      <c r="L136" t="inlineStr">
        <is>
          <t>V57</t>
        </is>
      </c>
      <c r="M136" t="inlineStr">
        <is>
          <t>W57</t>
        </is>
      </c>
      <c r="N136" t="inlineStr">
        <is>
          <t>V57</t>
        </is>
      </c>
      <c r="O136" t="inlineStr">
        <is>
          <t>W57</t>
        </is>
      </c>
      <c r="P136" t="inlineStr">
        <is>
          <t>მ57</t>
        </is>
      </c>
      <c r="Q136" t="inlineStr">
        <is>
          <t>W57</t>
        </is>
      </c>
      <c r="R136" t="inlineStr">
        <is>
          <t>Ν57</t>
        </is>
      </c>
      <c r="S136" t="inlineStr">
        <is>
          <t>W57</t>
        </is>
      </c>
      <c r="T136" t="inlineStr">
        <is>
          <t>GY57</t>
        </is>
      </c>
      <c r="U136" t="inlineStr">
        <is>
          <t>W57</t>
        </is>
      </c>
      <c r="V136" t="inlineStr">
        <is>
          <t>W57</t>
        </is>
      </c>
      <c r="W136" t="inlineStr">
        <is>
          <t>W57</t>
        </is>
      </c>
      <c r="X136" t="inlineStr">
        <is>
          <t>8강전 경기1 승자</t>
        </is>
      </c>
      <c r="Y136" t="inlineStr">
        <is>
          <t>L57</t>
        </is>
      </c>
      <c r="Z136" t="inlineStr">
        <is>
          <t>П57</t>
        </is>
      </c>
      <c r="AA136" t="inlineStr">
        <is>
          <t>R57</t>
        </is>
      </c>
      <c r="AB136" t="inlineStr">
        <is>
          <t>V57</t>
        </is>
      </c>
      <c r="AC136" t="inlineStr">
        <is>
          <t>برنده بازی 57</t>
        </is>
      </c>
      <c r="AD136" t="inlineStr">
        <is>
          <t>W57</t>
        </is>
      </c>
      <c r="AE136" t="inlineStr">
        <is>
          <t>W57</t>
        </is>
      </c>
      <c r="AF136" t="inlineStr">
        <is>
          <t>C57</t>
        </is>
      </c>
      <c r="AG136" t="inlineStr">
        <is>
          <t>P57</t>
        </is>
      </c>
      <c r="AH136" t="inlineStr">
        <is>
          <t>V57</t>
        </is>
      </c>
      <c r="AI136" t="inlineStr">
        <is>
          <t>W57</t>
        </is>
      </c>
      <c r="AJ136" t="inlineStr">
        <is>
          <t>W57</t>
        </is>
      </c>
      <c r="AK136" t="inlineStr">
        <is>
          <t>W57</t>
        </is>
      </c>
      <c r="AL136" t="inlineStr">
        <is>
          <t>ผู้ชนะนัดที่ 57</t>
        </is>
      </c>
      <c r="AM136" t="inlineStr">
        <is>
          <t>G57</t>
        </is>
      </c>
      <c r="AN136" t="inlineStr">
        <is>
          <t>T57</t>
        </is>
      </c>
      <c r="AO136" t="inlineStr">
        <is>
          <t>Переможець 57</t>
        </is>
      </c>
      <c r="AP136" t="inlineStr">
        <is>
          <t>۵۷ جیت</t>
        </is>
      </c>
    </row>
    <row r="137">
      <c r="A137" t="inlineStr">
        <is>
          <t>W58</t>
        </is>
      </c>
      <c r="B137" t="inlineStr">
        <is>
          <t>F58</t>
        </is>
      </c>
      <c r="C137" t="inlineStr">
        <is>
          <t>W58</t>
        </is>
      </c>
      <c r="D137" t="inlineStr">
        <is>
          <t>W58</t>
        </is>
      </c>
      <c r="E137" t="inlineStr">
        <is>
          <t>Q58</t>
        </is>
      </c>
      <c r="F137" t="inlineStr">
        <is>
          <t>W58</t>
        </is>
      </c>
      <c r="G137" t="inlineStr">
        <is>
          <t>G58</t>
        </is>
      </c>
      <c r="H137" t="inlineStr">
        <is>
          <t>58胜者</t>
        </is>
      </c>
      <c r="I137" t="inlineStr">
        <is>
          <t>W58</t>
        </is>
      </c>
      <c r="J137" t="inlineStr">
        <is>
          <t>W58</t>
        </is>
      </c>
      <c r="K137" t="inlineStr">
        <is>
          <t>V58</t>
        </is>
      </c>
      <c r="L137" t="inlineStr">
        <is>
          <t>V58</t>
        </is>
      </c>
      <c r="M137" t="inlineStr">
        <is>
          <t>W58</t>
        </is>
      </c>
      <c r="N137" t="inlineStr">
        <is>
          <t>V58</t>
        </is>
      </c>
      <c r="O137" t="inlineStr">
        <is>
          <t>W58</t>
        </is>
      </c>
      <c r="P137" t="inlineStr">
        <is>
          <t>მ58</t>
        </is>
      </c>
      <c r="Q137" t="inlineStr">
        <is>
          <t>W58</t>
        </is>
      </c>
      <c r="R137" t="inlineStr">
        <is>
          <t>Ν58</t>
        </is>
      </c>
      <c r="S137" t="inlineStr">
        <is>
          <t>W58</t>
        </is>
      </c>
      <c r="T137" t="inlineStr">
        <is>
          <t>GY58</t>
        </is>
      </c>
      <c r="U137" t="inlineStr">
        <is>
          <t>W58</t>
        </is>
      </c>
      <c r="V137" t="inlineStr">
        <is>
          <t>W58</t>
        </is>
      </c>
      <c r="W137" t="inlineStr">
        <is>
          <t>W58</t>
        </is>
      </c>
      <c r="X137" t="inlineStr">
        <is>
          <t>8강전 경기2 승자</t>
        </is>
      </c>
      <c r="Y137" t="inlineStr">
        <is>
          <t>L58</t>
        </is>
      </c>
      <c r="Z137" t="inlineStr">
        <is>
          <t>П58</t>
        </is>
      </c>
      <c r="AA137" t="inlineStr">
        <is>
          <t>R58</t>
        </is>
      </c>
      <c r="AB137" t="inlineStr">
        <is>
          <t>V58</t>
        </is>
      </c>
      <c r="AC137" t="inlineStr">
        <is>
          <t>برنده بازی 58</t>
        </is>
      </c>
      <c r="AD137" t="inlineStr">
        <is>
          <t>W58</t>
        </is>
      </c>
      <c r="AE137" t="inlineStr">
        <is>
          <t>W58</t>
        </is>
      </c>
      <c r="AF137" t="inlineStr">
        <is>
          <t>C58</t>
        </is>
      </c>
      <c r="AG137" t="inlineStr">
        <is>
          <t>P58</t>
        </is>
      </c>
      <c r="AH137" t="inlineStr">
        <is>
          <t>V58</t>
        </is>
      </c>
      <c r="AI137" t="inlineStr">
        <is>
          <t>W58</t>
        </is>
      </c>
      <c r="AJ137" t="inlineStr">
        <is>
          <t>W58</t>
        </is>
      </c>
      <c r="AK137" t="inlineStr">
        <is>
          <t>W58</t>
        </is>
      </c>
      <c r="AL137" t="inlineStr">
        <is>
          <t>ผู้ชนะนัดที่ 58</t>
        </is>
      </c>
      <c r="AM137" t="inlineStr">
        <is>
          <t>G58</t>
        </is>
      </c>
      <c r="AN137" t="inlineStr">
        <is>
          <t>T58</t>
        </is>
      </c>
      <c r="AO137" t="inlineStr">
        <is>
          <t>Переможець 58</t>
        </is>
      </c>
      <c r="AP137" t="inlineStr">
        <is>
          <t>۵۸ جیت</t>
        </is>
      </c>
    </row>
    <row r="138">
      <c r="A138" t="inlineStr">
        <is>
          <t>W59</t>
        </is>
      </c>
      <c r="B138" t="inlineStr">
        <is>
          <t>F59</t>
        </is>
      </c>
      <c r="C138" t="inlineStr">
        <is>
          <t>W59</t>
        </is>
      </c>
      <c r="D138" t="inlineStr">
        <is>
          <t>W59</t>
        </is>
      </c>
      <c r="E138" t="inlineStr">
        <is>
          <t>Q59</t>
        </is>
      </c>
      <c r="F138" t="inlineStr">
        <is>
          <t>W59</t>
        </is>
      </c>
      <c r="G138" t="inlineStr">
        <is>
          <t>G59</t>
        </is>
      </c>
      <c r="H138" t="inlineStr">
        <is>
          <t>59胜者</t>
        </is>
      </c>
      <c r="I138" t="inlineStr">
        <is>
          <t>W59</t>
        </is>
      </c>
      <c r="J138" t="inlineStr">
        <is>
          <t>W59</t>
        </is>
      </c>
      <c r="K138" t="inlineStr">
        <is>
          <t>V59</t>
        </is>
      </c>
      <c r="L138" t="inlineStr">
        <is>
          <t>V59</t>
        </is>
      </c>
      <c r="M138" t="inlineStr">
        <is>
          <t>W59</t>
        </is>
      </c>
      <c r="N138" t="inlineStr">
        <is>
          <t>V59</t>
        </is>
      </c>
      <c r="O138" t="inlineStr">
        <is>
          <t>W59</t>
        </is>
      </c>
      <c r="P138" t="inlineStr">
        <is>
          <t>მ59</t>
        </is>
      </c>
      <c r="Q138" t="inlineStr">
        <is>
          <t>W59</t>
        </is>
      </c>
      <c r="R138" t="inlineStr">
        <is>
          <t>Ν59</t>
        </is>
      </c>
      <c r="S138" t="inlineStr">
        <is>
          <t>W59</t>
        </is>
      </c>
      <c r="T138" t="inlineStr">
        <is>
          <t>GY59</t>
        </is>
      </c>
      <c r="U138" t="inlineStr">
        <is>
          <t>W59</t>
        </is>
      </c>
      <c r="V138" t="inlineStr">
        <is>
          <t>W59</t>
        </is>
      </c>
      <c r="W138" t="inlineStr">
        <is>
          <t>W59</t>
        </is>
      </c>
      <c r="X138" t="inlineStr">
        <is>
          <t>8강전 경기3 승자</t>
        </is>
      </c>
      <c r="Y138" t="inlineStr">
        <is>
          <t>L59</t>
        </is>
      </c>
      <c r="Z138" t="inlineStr">
        <is>
          <t>П59</t>
        </is>
      </c>
      <c r="AA138" t="inlineStr">
        <is>
          <t>R59</t>
        </is>
      </c>
      <c r="AB138" t="inlineStr">
        <is>
          <t>V59</t>
        </is>
      </c>
      <c r="AC138" t="inlineStr">
        <is>
          <t>برنده بازی 59</t>
        </is>
      </c>
      <c r="AD138" t="inlineStr">
        <is>
          <t>W59</t>
        </is>
      </c>
      <c r="AE138" t="inlineStr">
        <is>
          <t>W59</t>
        </is>
      </c>
      <c r="AF138" t="inlineStr">
        <is>
          <t>C59</t>
        </is>
      </c>
      <c r="AG138" t="inlineStr">
        <is>
          <t>P59</t>
        </is>
      </c>
      <c r="AH138" t="inlineStr">
        <is>
          <t>V59</t>
        </is>
      </c>
      <c r="AI138" t="inlineStr">
        <is>
          <t>W59</t>
        </is>
      </c>
      <c r="AJ138" t="inlineStr">
        <is>
          <t>W59</t>
        </is>
      </c>
      <c r="AK138" t="inlineStr">
        <is>
          <t>W59</t>
        </is>
      </c>
      <c r="AL138" t="inlineStr">
        <is>
          <t>ผู้ชนะนัดที่ 59</t>
        </is>
      </c>
      <c r="AM138" t="inlineStr">
        <is>
          <t>G59</t>
        </is>
      </c>
      <c r="AN138" t="inlineStr">
        <is>
          <t>T59</t>
        </is>
      </c>
      <c r="AO138" t="inlineStr">
        <is>
          <t>Переможець 59</t>
        </is>
      </c>
      <c r="AP138" t="inlineStr">
        <is>
          <t>۵۹ جیت</t>
        </is>
      </c>
    </row>
    <row r="139">
      <c r="A139" t="inlineStr">
        <is>
          <t>W60</t>
        </is>
      </c>
      <c r="B139" t="inlineStr">
        <is>
          <t>F60</t>
        </is>
      </c>
      <c r="C139" t="inlineStr">
        <is>
          <t>W60</t>
        </is>
      </c>
      <c r="D139" t="inlineStr">
        <is>
          <t>W60</t>
        </is>
      </c>
      <c r="E139" t="inlineStr">
        <is>
          <t>Q60</t>
        </is>
      </c>
      <c r="F139" t="inlineStr">
        <is>
          <t>W60</t>
        </is>
      </c>
      <c r="G139" t="inlineStr">
        <is>
          <t>G60</t>
        </is>
      </c>
      <c r="H139" t="inlineStr">
        <is>
          <t>60胜者</t>
        </is>
      </c>
      <c r="I139" t="inlineStr">
        <is>
          <t>W60</t>
        </is>
      </c>
      <c r="J139" t="inlineStr">
        <is>
          <t>W60</t>
        </is>
      </c>
      <c r="K139" t="inlineStr">
        <is>
          <t>V60</t>
        </is>
      </c>
      <c r="L139" t="inlineStr">
        <is>
          <t>V60</t>
        </is>
      </c>
      <c r="M139" t="inlineStr">
        <is>
          <t>W60</t>
        </is>
      </c>
      <c r="N139" t="inlineStr">
        <is>
          <t>V60</t>
        </is>
      </c>
      <c r="O139" t="inlineStr">
        <is>
          <t>W60</t>
        </is>
      </c>
      <c r="P139" t="inlineStr">
        <is>
          <t>მ60</t>
        </is>
      </c>
      <c r="Q139" t="inlineStr">
        <is>
          <t>W60</t>
        </is>
      </c>
      <c r="R139" t="inlineStr">
        <is>
          <t>Ν60</t>
        </is>
      </c>
      <c r="S139" t="inlineStr">
        <is>
          <t>W60</t>
        </is>
      </c>
      <c r="T139" t="inlineStr">
        <is>
          <t>GY60</t>
        </is>
      </c>
      <c r="U139" t="inlineStr">
        <is>
          <t>W60</t>
        </is>
      </c>
      <c r="V139" t="inlineStr">
        <is>
          <t>W60</t>
        </is>
      </c>
      <c r="W139" t="inlineStr">
        <is>
          <t>W60</t>
        </is>
      </c>
      <c r="X139" t="inlineStr">
        <is>
          <t>8강전 경기4 승자</t>
        </is>
      </c>
      <c r="Y139" t="inlineStr">
        <is>
          <t>L60</t>
        </is>
      </c>
      <c r="Z139" t="inlineStr">
        <is>
          <t>П60</t>
        </is>
      </c>
      <c r="AA139" t="inlineStr">
        <is>
          <t>R60</t>
        </is>
      </c>
      <c r="AB139" t="inlineStr">
        <is>
          <t>V60</t>
        </is>
      </c>
      <c r="AC139" t="inlineStr">
        <is>
          <t>برنده بازی 60</t>
        </is>
      </c>
      <c r="AD139" t="inlineStr">
        <is>
          <t>W60</t>
        </is>
      </c>
      <c r="AE139" t="inlineStr">
        <is>
          <t>W60</t>
        </is>
      </c>
      <c r="AF139" t="inlineStr">
        <is>
          <t>C60</t>
        </is>
      </c>
      <c r="AG139" t="inlineStr">
        <is>
          <t>P60</t>
        </is>
      </c>
      <c r="AH139" t="inlineStr">
        <is>
          <t>V60</t>
        </is>
      </c>
      <c r="AI139" t="inlineStr">
        <is>
          <t>W60</t>
        </is>
      </c>
      <c r="AJ139" t="inlineStr">
        <is>
          <t>W60</t>
        </is>
      </c>
      <c r="AK139" t="inlineStr">
        <is>
          <t>W60</t>
        </is>
      </c>
      <c r="AL139" t="inlineStr">
        <is>
          <t>ผู้ชนะนัดที่ 60</t>
        </is>
      </c>
      <c r="AM139" t="inlineStr">
        <is>
          <t>G60</t>
        </is>
      </c>
      <c r="AN139" t="inlineStr">
        <is>
          <t>T60</t>
        </is>
      </c>
      <c r="AO139" t="inlineStr">
        <is>
          <t>Переможець 60</t>
        </is>
      </c>
      <c r="AP139" t="inlineStr">
        <is>
          <t>۶۰ جیت</t>
        </is>
      </c>
    </row>
    <row r="140">
      <c r="A140" t="inlineStr">
        <is>
          <t>W61</t>
        </is>
      </c>
      <c r="B140" t="inlineStr">
        <is>
          <t>F61</t>
        </is>
      </c>
      <c r="C140" t="inlineStr">
        <is>
          <t>W61</t>
        </is>
      </c>
      <c r="D140" t="inlineStr">
        <is>
          <t>W61</t>
        </is>
      </c>
      <c r="E140" t="inlineStr">
        <is>
          <t>Q61</t>
        </is>
      </c>
      <c r="F140" t="inlineStr">
        <is>
          <t>W61</t>
        </is>
      </c>
      <c r="G140" t="inlineStr">
        <is>
          <t>G61</t>
        </is>
      </c>
      <c r="H140" t="inlineStr">
        <is>
          <t>61胜者</t>
        </is>
      </c>
      <c r="I140" t="inlineStr">
        <is>
          <t>W61</t>
        </is>
      </c>
      <c r="J140" t="inlineStr">
        <is>
          <t>W61</t>
        </is>
      </c>
      <c r="K140" t="inlineStr">
        <is>
          <t>V61</t>
        </is>
      </c>
      <c r="L140" t="inlineStr">
        <is>
          <t>V61</t>
        </is>
      </c>
      <c r="M140" t="inlineStr">
        <is>
          <t>W61</t>
        </is>
      </c>
      <c r="N140" t="inlineStr">
        <is>
          <t>V61</t>
        </is>
      </c>
      <c r="O140" t="inlineStr">
        <is>
          <t>W61</t>
        </is>
      </c>
      <c r="P140" t="inlineStr">
        <is>
          <t>მ61</t>
        </is>
      </c>
      <c r="Q140" t="inlineStr">
        <is>
          <t>W61</t>
        </is>
      </c>
      <c r="R140" t="inlineStr">
        <is>
          <t>Ν61</t>
        </is>
      </c>
      <c r="S140" t="inlineStr">
        <is>
          <t>W61</t>
        </is>
      </c>
      <c r="T140" t="inlineStr">
        <is>
          <t>GY61</t>
        </is>
      </c>
      <c r="U140" t="inlineStr">
        <is>
          <t>W61</t>
        </is>
      </c>
      <c r="V140" t="inlineStr">
        <is>
          <t>W61</t>
        </is>
      </c>
      <c r="W140" t="inlineStr">
        <is>
          <t>W61</t>
        </is>
      </c>
      <c r="X140" t="inlineStr">
        <is>
          <t>준결승 경기1 승자</t>
        </is>
      </c>
      <c r="Y140" t="inlineStr">
        <is>
          <t>L61</t>
        </is>
      </c>
      <c r="Z140" t="inlineStr">
        <is>
          <t>П61</t>
        </is>
      </c>
      <c r="AA140" t="inlineStr">
        <is>
          <t>R61</t>
        </is>
      </c>
      <c r="AB140" t="inlineStr">
        <is>
          <t>V61</t>
        </is>
      </c>
      <c r="AC140" t="inlineStr">
        <is>
          <t>برنده بازی 61</t>
        </is>
      </c>
      <c r="AD140" t="inlineStr">
        <is>
          <t>W61</t>
        </is>
      </c>
      <c r="AE140" t="inlineStr">
        <is>
          <t>W61</t>
        </is>
      </c>
      <c r="AF140" t="inlineStr">
        <is>
          <t>C61</t>
        </is>
      </c>
      <c r="AG140" t="inlineStr">
        <is>
          <t>P61</t>
        </is>
      </c>
      <c r="AH140" t="inlineStr">
        <is>
          <t>V61</t>
        </is>
      </c>
      <c r="AI140" t="inlineStr">
        <is>
          <t>W61</t>
        </is>
      </c>
      <c r="AJ140" t="inlineStr">
        <is>
          <t>W61</t>
        </is>
      </c>
      <c r="AK140" t="inlineStr">
        <is>
          <t>W61</t>
        </is>
      </c>
      <c r="AL140" t="inlineStr">
        <is>
          <t>ผู้ชนะนัดที่ 61</t>
        </is>
      </c>
      <c r="AM140" t="inlineStr">
        <is>
          <t>G61</t>
        </is>
      </c>
      <c r="AN140" t="inlineStr">
        <is>
          <t>T61</t>
        </is>
      </c>
      <c r="AO140" t="inlineStr">
        <is>
          <t>Переможець 61</t>
        </is>
      </c>
      <c r="AP140" t="inlineStr">
        <is>
          <t>۶۱ جیت</t>
        </is>
      </c>
    </row>
    <row r="141">
      <c r="A141" t="inlineStr">
        <is>
          <t>W62</t>
        </is>
      </c>
      <c r="B141" t="inlineStr">
        <is>
          <t>F62</t>
        </is>
      </c>
      <c r="C141" t="inlineStr">
        <is>
          <t>W62</t>
        </is>
      </c>
      <c r="D141" t="inlineStr">
        <is>
          <t>W62</t>
        </is>
      </c>
      <c r="E141" t="inlineStr">
        <is>
          <t>Q62</t>
        </is>
      </c>
      <c r="F141" t="inlineStr">
        <is>
          <t>W62</t>
        </is>
      </c>
      <c r="G141" t="inlineStr">
        <is>
          <t>G62</t>
        </is>
      </c>
      <c r="H141" t="inlineStr">
        <is>
          <t>62胜者</t>
        </is>
      </c>
      <c r="I141" t="inlineStr">
        <is>
          <t>W62</t>
        </is>
      </c>
      <c r="J141" t="inlineStr">
        <is>
          <t>W62</t>
        </is>
      </c>
      <c r="K141" t="inlineStr">
        <is>
          <t>V62</t>
        </is>
      </c>
      <c r="L141" t="inlineStr">
        <is>
          <t>V62</t>
        </is>
      </c>
      <c r="M141" t="inlineStr">
        <is>
          <t>W62</t>
        </is>
      </c>
      <c r="N141" t="inlineStr">
        <is>
          <t>V62</t>
        </is>
      </c>
      <c r="O141" t="inlineStr">
        <is>
          <t>W62</t>
        </is>
      </c>
      <c r="P141" t="inlineStr">
        <is>
          <t>მ62</t>
        </is>
      </c>
      <c r="Q141" t="inlineStr">
        <is>
          <t>W62</t>
        </is>
      </c>
      <c r="R141" t="inlineStr">
        <is>
          <t>Ν62</t>
        </is>
      </c>
      <c r="S141" t="inlineStr">
        <is>
          <t>W62</t>
        </is>
      </c>
      <c r="T141" t="inlineStr">
        <is>
          <t>GY62</t>
        </is>
      </c>
      <c r="U141" t="inlineStr">
        <is>
          <t>W62</t>
        </is>
      </c>
      <c r="V141" t="inlineStr">
        <is>
          <t>W62</t>
        </is>
      </c>
      <c r="W141" t="inlineStr">
        <is>
          <t>W62</t>
        </is>
      </c>
      <c r="X141" t="inlineStr">
        <is>
          <t>준결승 경기2 승자</t>
        </is>
      </c>
      <c r="Y141" t="inlineStr">
        <is>
          <t>L62</t>
        </is>
      </c>
      <c r="Z141" t="inlineStr">
        <is>
          <t>П62</t>
        </is>
      </c>
      <c r="AA141" t="inlineStr">
        <is>
          <t>R62</t>
        </is>
      </c>
      <c r="AB141" t="inlineStr">
        <is>
          <t>V62</t>
        </is>
      </c>
      <c r="AC141" t="inlineStr">
        <is>
          <t>برنده بازی 62</t>
        </is>
      </c>
      <c r="AD141" t="inlineStr">
        <is>
          <t>W62</t>
        </is>
      </c>
      <c r="AE141" t="inlineStr">
        <is>
          <t>W62</t>
        </is>
      </c>
      <c r="AF141" t="inlineStr">
        <is>
          <t>C62</t>
        </is>
      </c>
      <c r="AG141" t="inlineStr">
        <is>
          <t>P62</t>
        </is>
      </c>
      <c r="AH141" t="inlineStr">
        <is>
          <t>V62</t>
        </is>
      </c>
      <c r="AI141" t="inlineStr">
        <is>
          <t>W62</t>
        </is>
      </c>
      <c r="AJ141" t="inlineStr">
        <is>
          <t>W62</t>
        </is>
      </c>
      <c r="AK141" t="inlineStr">
        <is>
          <t>W62</t>
        </is>
      </c>
      <c r="AL141" t="inlineStr">
        <is>
          <t>ผู้ชนะนัดที่ 62</t>
        </is>
      </c>
      <c r="AM141" t="inlineStr">
        <is>
          <t>G62</t>
        </is>
      </c>
      <c r="AN141" t="inlineStr">
        <is>
          <t>T62</t>
        </is>
      </c>
      <c r="AO141" t="inlineStr">
        <is>
          <t>Переможець 62</t>
        </is>
      </c>
      <c r="AP141" t="inlineStr">
        <is>
          <t>۶۲ جیت</t>
        </is>
      </c>
    </row>
    <row r="142">
      <c r="A142" t="inlineStr">
        <is>
          <t>L61</t>
        </is>
      </c>
      <c r="B142" t="inlineStr">
        <is>
          <t>H61</t>
        </is>
      </c>
      <c r="C142" t="inlineStr">
        <is>
          <t>L61</t>
        </is>
      </c>
      <c r="D142" t="inlineStr">
        <is>
          <t>L61</t>
        </is>
      </c>
      <c r="E142" t="inlineStr">
        <is>
          <t>M61</t>
        </is>
      </c>
      <c r="F142" t="inlineStr">
        <is>
          <t>L61</t>
        </is>
      </c>
      <c r="G142" t="inlineStr">
        <is>
          <t>P61</t>
        </is>
      </c>
      <c r="H142" t="inlineStr">
        <is>
          <t>61负者</t>
        </is>
      </c>
      <c r="I142" t="inlineStr">
        <is>
          <t>L61</t>
        </is>
      </c>
      <c r="J142" t="inlineStr">
        <is>
          <t>L61</t>
        </is>
      </c>
      <c r="K142" t="inlineStr">
        <is>
          <t>P61</t>
        </is>
      </c>
      <c r="L142" t="inlineStr">
        <is>
          <t>T61</t>
        </is>
      </c>
      <c r="M142" t="inlineStr">
        <is>
          <t>V61</t>
        </is>
      </c>
      <c r="N142" t="inlineStr">
        <is>
          <t>T61</t>
        </is>
      </c>
      <c r="O142" t="inlineStr">
        <is>
          <t>L61</t>
        </is>
      </c>
      <c r="P142" t="inlineStr">
        <is>
          <t>წ61</t>
        </is>
      </c>
      <c r="Q142" t="inlineStr">
        <is>
          <t>L61</t>
        </is>
      </c>
      <c r="R142" t="inlineStr">
        <is>
          <t>Η61</t>
        </is>
      </c>
      <c r="S142" t="inlineStr">
        <is>
          <t>L61</t>
        </is>
      </c>
      <c r="T142" t="inlineStr">
        <is>
          <t>V61</t>
        </is>
      </c>
      <c r="U142" t="inlineStr">
        <is>
          <t>L61</t>
        </is>
      </c>
      <c r="V142" t="inlineStr">
        <is>
          <t>L61</t>
        </is>
      </c>
      <c r="W142" t="inlineStr">
        <is>
          <t>L61</t>
        </is>
      </c>
      <c r="X142" t="inlineStr">
        <is>
          <t>준결승 경기1 패자</t>
        </is>
      </c>
      <c r="Y142" t="inlineStr">
        <is>
          <t>P61</t>
        </is>
      </c>
      <c r="Z142" t="inlineStr">
        <is>
          <t>И61</t>
        </is>
      </c>
      <c r="AA142" t="inlineStr">
        <is>
          <t>T61</t>
        </is>
      </c>
      <c r="AB142" t="inlineStr">
        <is>
          <t>T61</t>
        </is>
      </c>
      <c r="AC142" t="inlineStr">
        <is>
          <t>بازنده بازی 61</t>
        </is>
      </c>
      <c r="AD142" t="inlineStr">
        <is>
          <t>L61</t>
        </is>
      </c>
      <c r="AE142" t="inlineStr">
        <is>
          <t>L61</t>
        </is>
      </c>
      <c r="AF142" t="inlineStr">
        <is>
          <t>P61</t>
        </is>
      </c>
      <c r="AG142" t="inlineStr">
        <is>
          <t>I61</t>
        </is>
      </c>
      <c r="AH142" t="inlineStr">
        <is>
          <t>P61</t>
        </is>
      </c>
      <c r="AI142" t="inlineStr">
        <is>
          <t>L61</t>
        </is>
      </c>
      <c r="AJ142" t="inlineStr">
        <is>
          <t>L61</t>
        </is>
      </c>
      <c r="AK142" t="inlineStr">
        <is>
          <t>L61</t>
        </is>
      </c>
      <c r="AL142" t="inlineStr">
        <is>
          <t>ผู้แพ้นัดที่ 61</t>
        </is>
      </c>
      <c r="AM142" t="inlineStr">
        <is>
          <t>M61</t>
        </is>
      </c>
      <c r="AN142" t="inlineStr">
        <is>
          <t>B61</t>
        </is>
      </c>
      <c r="AO142" t="inlineStr">
        <is>
          <t>Переможений 61</t>
        </is>
      </c>
      <c r="AP142" t="inlineStr">
        <is>
          <t>۶۱ ہار</t>
        </is>
      </c>
    </row>
    <row r="143">
      <c r="A143" t="inlineStr">
        <is>
          <t>L62</t>
        </is>
      </c>
      <c r="B143" t="inlineStr">
        <is>
          <t>H62</t>
        </is>
      </c>
      <c r="C143" t="inlineStr">
        <is>
          <t>L62</t>
        </is>
      </c>
      <c r="D143" t="inlineStr">
        <is>
          <t>L62</t>
        </is>
      </c>
      <c r="E143" t="inlineStr">
        <is>
          <t>M62</t>
        </is>
      </c>
      <c r="F143" t="inlineStr">
        <is>
          <t>L62</t>
        </is>
      </c>
      <c r="G143" t="inlineStr">
        <is>
          <t>P62</t>
        </is>
      </c>
      <c r="H143" t="inlineStr">
        <is>
          <t>62负者</t>
        </is>
      </c>
      <c r="I143" t="inlineStr">
        <is>
          <t>L62</t>
        </is>
      </c>
      <c r="J143" t="inlineStr">
        <is>
          <t>L62</t>
        </is>
      </c>
      <c r="K143" t="inlineStr">
        <is>
          <t>P62</t>
        </is>
      </c>
      <c r="L143" t="inlineStr">
        <is>
          <t>T62</t>
        </is>
      </c>
      <c r="M143" t="inlineStr">
        <is>
          <t>V62</t>
        </is>
      </c>
      <c r="N143" t="inlineStr">
        <is>
          <t>T62</t>
        </is>
      </c>
      <c r="O143" t="inlineStr">
        <is>
          <t>L62</t>
        </is>
      </c>
      <c r="P143" t="inlineStr">
        <is>
          <t>წ62</t>
        </is>
      </c>
      <c r="Q143" t="inlineStr">
        <is>
          <t>L62</t>
        </is>
      </c>
      <c r="R143" t="inlineStr">
        <is>
          <t>Η62</t>
        </is>
      </c>
      <c r="S143" t="inlineStr">
        <is>
          <t>L62</t>
        </is>
      </c>
      <c r="T143" t="inlineStr">
        <is>
          <t>V62</t>
        </is>
      </c>
      <c r="U143" t="inlineStr">
        <is>
          <t>L62</t>
        </is>
      </c>
      <c r="V143" t="inlineStr">
        <is>
          <t>L62</t>
        </is>
      </c>
      <c r="W143" t="inlineStr">
        <is>
          <t>L62</t>
        </is>
      </c>
      <c r="X143" t="inlineStr">
        <is>
          <t>준결승 경기2 패자</t>
        </is>
      </c>
      <c r="Y143" t="inlineStr">
        <is>
          <t>P62</t>
        </is>
      </c>
      <c r="Z143" t="inlineStr">
        <is>
          <t>И62</t>
        </is>
      </c>
      <c r="AA143" t="inlineStr">
        <is>
          <t>T62</t>
        </is>
      </c>
      <c r="AB143" t="inlineStr">
        <is>
          <t>T62</t>
        </is>
      </c>
      <c r="AC143" t="inlineStr">
        <is>
          <t>بازنده بازی 62</t>
        </is>
      </c>
      <c r="AD143" t="inlineStr">
        <is>
          <t>L62</t>
        </is>
      </c>
      <c r="AE143" t="inlineStr">
        <is>
          <t>L62</t>
        </is>
      </c>
      <c r="AF143" t="inlineStr">
        <is>
          <t>P62</t>
        </is>
      </c>
      <c r="AG143" t="inlineStr">
        <is>
          <t>I62</t>
        </is>
      </c>
      <c r="AH143" t="inlineStr">
        <is>
          <t>P62</t>
        </is>
      </c>
      <c r="AI143" t="inlineStr">
        <is>
          <t>L62</t>
        </is>
      </c>
      <c r="AJ143" t="inlineStr">
        <is>
          <t>L62</t>
        </is>
      </c>
      <c r="AK143" t="inlineStr">
        <is>
          <t>L62</t>
        </is>
      </c>
      <c r="AL143" t="inlineStr">
        <is>
          <t>ผู้แพ้นัดที่ 62</t>
        </is>
      </c>
      <c r="AM143" t="inlineStr">
        <is>
          <t>M62</t>
        </is>
      </c>
      <c r="AN143" t="inlineStr">
        <is>
          <t>B62</t>
        </is>
      </c>
      <c r="AO143" t="inlineStr">
        <is>
          <t>Переможений 62</t>
        </is>
      </c>
      <c r="AP143" t="inlineStr">
        <is>
          <t>۶۲ ہار</t>
        </is>
      </c>
    </row>
    <row r="144">
      <c r="A144" t="inlineStr">
        <is>
          <t>World Champion 2026</t>
        </is>
      </c>
      <c r="B144" t="inlineStr">
        <is>
          <t xml:space="preserve">Kampioni </t>
        </is>
      </c>
      <c r="C144" t="inlineStr">
        <is>
          <t>بطل العالم 2026</t>
        </is>
      </c>
      <c r="D144" t="inlineStr">
        <is>
          <t>Աշխարհի 2026թ. Հաղթող</t>
        </is>
      </c>
      <c r="E144" t="inlineStr">
        <is>
          <t>Dünya Çempionu 2026</t>
        </is>
      </c>
      <c r="F144" t="inlineStr">
        <is>
          <t>Световен шампион 2026</t>
        </is>
      </c>
      <c r="G144" t="inlineStr">
        <is>
          <t>Campió del Món 2026</t>
        </is>
      </c>
      <c r="H144" t="inlineStr">
        <is>
          <t>2026世界杯冠军</t>
        </is>
      </c>
      <c r="I144" t="inlineStr">
        <is>
          <t>World Champion 2026</t>
        </is>
      </c>
      <c r="J144" t="inlineStr">
        <is>
          <t>Svjetski prvak 2026</t>
        </is>
      </c>
      <c r="K144" t="inlineStr">
        <is>
          <t>Mistr světa 2026</t>
        </is>
      </c>
      <c r="L144" t="inlineStr">
        <is>
          <t>Verdensmester 2026</t>
        </is>
      </c>
      <c r="M144" t="inlineStr">
        <is>
          <t>Wereldkampioen 2026</t>
        </is>
      </c>
      <c r="N144" t="inlineStr">
        <is>
          <t>Heimsmeistari 2026</t>
        </is>
      </c>
      <c r="O144" t="inlineStr">
        <is>
          <t>Champion du Monde 2026</t>
        </is>
      </c>
      <c r="P144" t="inlineStr">
        <is>
          <t>მსოფლიოს ჩემპიონი 2026</t>
        </is>
      </c>
      <c r="Q144" t="inlineStr">
        <is>
          <t>Weltmeister 2026</t>
        </is>
      </c>
      <c r="R144" t="inlineStr">
        <is>
          <t>Πρωταθλητής 2026</t>
        </is>
      </c>
      <c r="S144" t="inlineStr">
        <is>
          <t>גביע העולם 2026</t>
        </is>
      </c>
      <c r="T144" t="inlineStr">
        <is>
          <t>A labdarúgó-VB győztes csapata:</t>
        </is>
      </c>
      <c r="U144" t="inlineStr">
        <is>
          <t>Juara Piala Dunia 2026</t>
        </is>
      </c>
      <c r="V144" t="inlineStr">
        <is>
          <t>Heimsmeistarar 2026</t>
        </is>
      </c>
      <c r="W144" t="inlineStr">
        <is>
          <t>Coppa del Mondo 2026</t>
        </is>
      </c>
      <c r="X144" t="inlineStr">
        <is>
          <t>2026년 우승국가</t>
        </is>
      </c>
      <c r="Y144" t="inlineStr">
        <is>
          <t>Pasaulio Čempionas 2026</t>
        </is>
      </c>
      <c r="Z144" t="inlineStr">
        <is>
          <t>Светски шампион 2026</t>
        </is>
      </c>
      <c r="AA144" t="inlineStr">
        <is>
          <t>Rebbieħ tat-Tazza tad-Dinja 2026</t>
        </is>
      </c>
      <c r="AB144" t="inlineStr">
        <is>
          <t>Vinner 2026</t>
        </is>
      </c>
      <c r="AC144" t="inlineStr">
        <is>
          <t>قهرمان جام جهانی 2026</t>
        </is>
      </c>
      <c r="AD144" t="inlineStr">
        <is>
          <t>Mistrz Świata 2026</t>
        </is>
      </c>
      <c r="AE144" t="inlineStr">
        <is>
          <t>Vencedor do Campeonato do Mundo 2026</t>
        </is>
      </c>
      <c r="AF144" t="inlineStr">
        <is>
          <t>Campioana Mondiala 2026</t>
        </is>
      </c>
      <c r="AG144" t="inlineStr">
        <is>
          <t>Svjetski šampion 2026</t>
        </is>
      </c>
      <c r="AH144" t="inlineStr">
        <is>
          <t>Majster sveta 2026</t>
        </is>
      </c>
      <c r="AI144" t="inlineStr">
        <is>
          <t>Svetovno prvak 2026</t>
        </is>
      </c>
      <c r="AJ144" t="inlineStr">
        <is>
          <t>Campeón 2026</t>
        </is>
      </c>
      <c r="AK144" t="inlineStr">
        <is>
          <t>Världsmästare 2026</t>
        </is>
      </c>
      <c r="AL144" t="inlineStr">
        <is>
          <t>แชมป์โลกปี 2026</t>
        </is>
      </c>
      <c r="AM144" t="inlineStr">
        <is>
          <t>2026 Dünya Şampiyonu</t>
        </is>
      </c>
      <c r="AN144" t="inlineStr">
        <is>
          <t>Vòng Chung Kết 2026</t>
        </is>
      </c>
      <c r="AO144" t="inlineStr">
        <is>
          <t>Чемпіон Світу 2026</t>
        </is>
      </c>
      <c r="AP144" t="inlineStr">
        <is>
          <t>ورلڈ چیمپینس</t>
        </is>
      </c>
    </row>
    <row r="145">
      <c r="A145" s="1" t="n"/>
    </row>
    <row r="146">
      <c r="A146" s="1" t="n"/>
    </row>
    <row r="147">
      <c r="A147" s="1" t="n"/>
    </row>
    <row r="148">
      <c r="A148" s="1" t="n"/>
    </row>
    <row r="149">
      <c r="A149" s="1" t="n"/>
    </row>
    <row r="150">
      <c r="A150" s="1" t="n"/>
    </row>
    <row r="151">
      <c r="A151" s="1" t="n"/>
    </row>
    <row r="152">
      <c r="A152" s="1" t="n"/>
    </row>
    <row r="153">
      <c r="A153" s="1" t="n"/>
    </row>
    <row r="154">
      <c r="A154" s="1" t="n"/>
    </row>
    <row r="155">
      <c r="A155" s="1" t="n"/>
    </row>
    <row r="156">
      <c r="A156" s="1" t="n"/>
    </row>
    <row r="157">
      <c r="A157" t="inlineStr">
        <is>
          <t>en</t>
        </is>
      </c>
      <c r="B157" t="inlineStr">
        <is>
          <t>sq</t>
        </is>
      </c>
      <c r="C157" t="inlineStr">
        <is>
          <t>ar</t>
        </is>
      </c>
      <c r="D157" t="inlineStr">
        <is>
          <t>hy</t>
        </is>
      </c>
      <c r="E157" t="inlineStr">
        <is>
          <t>az</t>
        </is>
      </c>
      <c r="F157" t="inlineStr">
        <is>
          <t>bg</t>
        </is>
      </c>
      <c r="G157" t="inlineStr">
        <is>
          <t>ca</t>
        </is>
      </c>
      <c r="H157" t="inlineStr">
        <is>
          <t>zh-CN</t>
        </is>
      </c>
      <c r="I157" t="inlineStr">
        <is>
          <t>zh-TW</t>
        </is>
      </c>
      <c r="J157" t="inlineStr">
        <is>
          <t>hr</t>
        </is>
      </c>
      <c r="K157" t="inlineStr">
        <is>
          <t>cs</t>
        </is>
      </c>
      <c r="L157" t="inlineStr">
        <is>
          <t>da</t>
        </is>
      </c>
      <c r="M157" t="inlineStr">
        <is>
          <t>nl</t>
        </is>
      </c>
      <c r="N157" t="inlineStr">
        <is>
          <t>fr</t>
        </is>
      </c>
      <c r="O157" t="inlineStr">
        <is>
          <t>fr</t>
        </is>
      </c>
      <c r="P157" t="inlineStr">
        <is>
          <t>ka</t>
        </is>
      </c>
      <c r="Q157" t="inlineStr">
        <is>
          <t>de</t>
        </is>
      </c>
      <c r="R157" t="inlineStr">
        <is>
          <t>el</t>
        </is>
      </c>
      <c r="S157" t="inlineStr">
        <is>
          <t>iw</t>
        </is>
      </c>
      <c r="T157" t="inlineStr">
        <is>
          <t>hu</t>
        </is>
      </c>
      <c r="U157" t="inlineStr">
        <is>
          <t>id</t>
        </is>
      </c>
      <c r="V157" t="inlineStr">
        <is>
          <t>is</t>
        </is>
      </c>
      <c r="W157" t="inlineStr">
        <is>
          <t>it</t>
        </is>
      </c>
      <c r="X157" t="inlineStr">
        <is>
          <t>ko</t>
        </is>
      </c>
      <c r="Y157" t="inlineStr">
        <is>
          <t>lt</t>
        </is>
      </c>
      <c r="Z157" t="inlineStr">
        <is>
          <t>mk</t>
        </is>
      </c>
      <c r="AA157" t="inlineStr">
        <is>
          <t>mt</t>
        </is>
      </c>
      <c r="AB157" t="inlineStr">
        <is>
          <t>no</t>
        </is>
      </c>
      <c r="AC157" t="inlineStr">
        <is>
          <t>fa</t>
        </is>
      </c>
      <c r="AD157" t="inlineStr">
        <is>
          <t>pl</t>
        </is>
      </c>
      <c r="AE157" t="inlineStr">
        <is>
          <t>pt</t>
        </is>
      </c>
      <c r="AF157" t="inlineStr">
        <is>
          <t>ro</t>
        </is>
      </c>
      <c r="AG157" t="inlineStr">
        <is>
          <t>sr</t>
        </is>
      </c>
      <c r="AH157" t="inlineStr">
        <is>
          <t>sk</t>
        </is>
      </c>
      <c r="AI157" t="inlineStr">
        <is>
          <t>sl</t>
        </is>
      </c>
      <c r="AJ157" t="inlineStr">
        <is>
          <t>es</t>
        </is>
      </c>
      <c r="AK157" t="inlineStr">
        <is>
          <t>sv</t>
        </is>
      </c>
      <c r="AL157" t="inlineStr">
        <is>
          <t>th</t>
        </is>
      </c>
      <c r="AM157" t="inlineStr">
        <is>
          <t>tr</t>
        </is>
      </c>
      <c r="AN157" t="inlineStr">
        <is>
          <t>vi</t>
        </is>
      </c>
      <c r="AO157" t="inlineStr">
        <is>
          <t>uk</t>
        </is>
      </c>
      <c r="AP157" t="inlineStr">
        <is>
          <t>ur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A72"/>
  <sheetViews>
    <sheetView showGridLines="0" workbookViewId="0">
      <selection activeCell="O12" sqref="O12"/>
    </sheetView>
  </sheetViews>
  <sheetFormatPr baseColWidth="10" defaultColWidth="9.1640625" defaultRowHeight="15"/>
  <cols>
    <col width="1.1640625" customWidth="1" style="10" min="1" max="1"/>
    <col width="18.83203125" bestFit="1" customWidth="1" style="10" min="2" max="2"/>
    <col width="20.33203125" customWidth="1" style="10" min="3" max="3"/>
    <col width="9.1640625" customWidth="1" style="10" min="4" max="4"/>
    <col width="1.1640625" customWidth="1" style="10" min="5" max="5"/>
    <col width="9.1640625" customWidth="1" style="10" min="6" max="6"/>
    <col width="27.5" bestFit="1" customWidth="1" style="10" min="7" max="7"/>
    <col width="2.6640625" customWidth="1" style="10" min="8" max="8"/>
    <col width="1.1640625" customWidth="1" style="10" min="9" max="9"/>
    <col width="9.1640625" customWidth="1" style="10" min="10" max="16384"/>
  </cols>
  <sheetData>
    <row r="1" ht="7.5" customHeight="1"/>
    <row r="2" ht="17" customHeight="1" thickBot="1">
      <c r="B2" s="39" t="inlineStr">
        <is>
          <t>Settings</t>
        </is>
      </c>
      <c r="C2" s="40" t="n"/>
      <c r="D2" s="41" t="n"/>
      <c r="F2" s="39" t="inlineStr">
        <is>
          <t>Group Round Sorting</t>
        </is>
      </c>
      <c r="G2" s="40" t="n"/>
      <c r="H2" s="41" t="n"/>
    </row>
    <row r="3" ht="9" customHeight="1">
      <c r="B3" s="42" t="n"/>
      <c r="C3" s="43" t="n"/>
      <c r="D3" s="44" t="n"/>
      <c r="F3" s="42" t="n"/>
      <c r="G3" s="43" t="n"/>
      <c r="H3" s="44" t="n"/>
    </row>
    <row r="4">
      <c r="B4" s="54" t="inlineStr">
        <is>
          <t>Language</t>
        </is>
      </c>
      <c r="C4" s="60" t="inlineStr">
        <is>
          <t>English</t>
        </is>
      </c>
      <c r="D4" s="44" t="n"/>
      <c r="F4" s="42" t="n"/>
      <c r="G4" s="45" t="n"/>
      <c r="H4" s="44" t="n"/>
    </row>
    <row r="5">
      <c r="B5" s="42" t="n"/>
      <c r="C5" s="43" t="n"/>
      <c r="D5" s="44" t="n"/>
      <c r="F5" s="46" t="inlineStr">
        <is>
          <t>Step #1</t>
        </is>
      </c>
      <c r="G5" s="47" t="inlineStr">
        <is>
          <t>Points</t>
        </is>
      </c>
      <c r="H5" s="44" t="n"/>
    </row>
    <row r="6">
      <c r="B6" s="54" t="inlineStr">
        <is>
          <t>Summer Time</t>
        </is>
      </c>
      <c r="C6" s="60" t="inlineStr">
        <is>
          <t>No</t>
        </is>
      </c>
      <c r="D6" s="44" t="n"/>
      <c r="F6" s="46" t="inlineStr">
        <is>
          <t>Step #2</t>
        </is>
      </c>
      <c r="G6" s="48" t="inlineStr">
        <is>
          <t>Concerned teams (Pnt, GF-GA, GF)</t>
        </is>
      </c>
      <c r="H6" s="44" t="n"/>
    </row>
    <row r="7">
      <c r="B7" s="54" t="n"/>
      <c r="C7" s="43" t="n"/>
      <c r="D7" s="44" t="n"/>
      <c r="F7" s="46" t="inlineStr">
        <is>
          <t>Step #3</t>
        </is>
      </c>
      <c r="G7" s="48" t="inlineStr">
        <is>
          <t>Goal Difference</t>
        </is>
      </c>
      <c r="H7" s="44" t="n"/>
      <c r="AA7" s="10">
        <f t="array" ref="AA7">IF(OR(E7=Settings!I15my_team,H7=my_team),1,0)</f>
        <v/>
      </c>
    </row>
    <row r="8" ht="15" customHeight="1">
      <c r="B8" s="54" t="inlineStr">
        <is>
          <t>GTM-Time</t>
        </is>
      </c>
      <c r="C8" s="60" t="inlineStr">
        <is>
          <t>GMT</t>
        </is>
      </c>
      <c r="D8" s="44" t="n"/>
      <c r="F8" s="46" t="inlineStr">
        <is>
          <t>Step #4</t>
        </is>
      </c>
      <c r="G8" s="48" t="inlineStr">
        <is>
          <t>Goals Scored</t>
        </is>
      </c>
      <c r="H8" s="44" t="n"/>
    </row>
    <row r="9">
      <c r="B9" s="54" t="n"/>
      <c r="C9" s="43" t="n"/>
      <c r="D9" s="44" t="n"/>
      <c r="F9" s="46" t="inlineStr">
        <is>
          <t>Step #5</t>
        </is>
      </c>
      <c r="G9" s="49" t="inlineStr">
        <is>
          <t>FIFA Rank</t>
        </is>
      </c>
      <c r="H9" s="44" t="n"/>
    </row>
    <row r="10" ht="15" customHeight="1">
      <c r="B10" s="54" t="inlineStr">
        <is>
          <t>Minutes</t>
        </is>
      </c>
      <c r="C10" s="60" t="inlineStr">
        <is>
          <t>+0 min</t>
        </is>
      </c>
      <c r="D10" s="44" t="n"/>
      <c r="F10" s="42" t="n"/>
      <c r="G10" s="50" t="n"/>
      <c r="H10" s="44" t="n"/>
    </row>
    <row r="11" ht="9" customHeight="1">
      <c r="B11" s="54" t="n"/>
      <c r="C11" s="43" t="n"/>
      <c r="D11" s="44" t="n"/>
      <c r="F11" s="51" t="n"/>
      <c r="G11" s="52" t="n"/>
      <c r="H11" s="53" t="n"/>
    </row>
    <row r="12" ht="15" customHeight="1">
      <c r="B12" s="54" t="inlineStr">
        <is>
          <t>Favorite Team</t>
        </is>
      </c>
      <c r="C12" s="60" t="inlineStr">
        <is>
          <t>Algeria</t>
        </is>
      </c>
      <c r="D12" s="44" t="n"/>
      <c r="F12" s="118" t="n"/>
      <c r="G12" s="118" t="n"/>
      <c r="H12" s="118" t="n"/>
      <c r="I12" s="118" t="n"/>
      <c r="J12" s="118" t="n"/>
      <c r="K12" s="76" t="n"/>
      <c r="L12" s="76" t="n"/>
      <c r="M12" s="76" t="n"/>
      <c r="N12" s="76" t="n"/>
      <c r="O12" s="76" t="n"/>
      <c r="P12" s="76" t="n"/>
      <c r="Q12" s="76" t="n"/>
    </row>
    <row r="13" ht="9" customHeight="1">
      <c r="B13" s="54" t="n"/>
      <c r="C13" s="43" t="n"/>
      <c r="D13" s="44" t="n"/>
      <c r="F13" s="118" t="n"/>
      <c r="G13" s="118" t="n"/>
      <c r="H13" s="118" t="n"/>
      <c r="I13" s="118" t="n"/>
      <c r="J13" s="118" t="n"/>
      <c r="K13" s="76" t="n"/>
      <c r="L13" s="76" t="n"/>
      <c r="M13" s="76" t="n"/>
      <c r="N13" s="76" t="n"/>
      <c r="O13" s="76" t="n"/>
      <c r="P13" s="76" t="n"/>
      <c r="Q13" s="76" t="n"/>
    </row>
    <row r="14" ht="15" customHeight="1">
      <c r="B14" s="54" t="inlineStr">
        <is>
          <t>Group Matches</t>
        </is>
      </c>
      <c r="C14" s="60" t="inlineStr">
        <is>
          <t>No</t>
        </is>
      </c>
      <c r="D14" s="44" t="n"/>
      <c r="F14" s="118" t="n"/>
      <c r="G14" s="118" t="n"/>
      <c r="H14" s="118" t="n"/>
      <c r="I14" s="118" t="n"/>
      <c r="J14" s="118" t="n"/>
      <c r="K14" s="76" t="n"/>
      <c r="L14" s="76" t="n"/>
      <c r="M14" s="76" t="n"/>
      <c r="N14" s="76" t="n"/>
      <c r="O14" s="76" t="n"/>
      <c r="P14" s="76" t="n"/>
      <c r="Q14" s="76" t="n"/>
    </row>
    <row r="15" ht="9" customHeight="1">
      <c r="B15" s="51" t="n"/>
      <c r="C15" s="52" t="n"/>
      <c r="D15" s="53" t="n"/>
      <c r="F15" s="118" t="inlineStr">
        <is>
          <t>Language ID</t>
        </is>
      </c>
      <c r="G15" s="118">
        <f>IF(ISERROR(MATCH(C4,lang_list,0)),1,MATCH(C4,lang_list,0))</f>
        <v/>
      </c>
      <c r="H15" s="118" t="n"/>
      <c r="I15" s="118">
        <f>IFERROR(VLOOKUP(C12,T,lang,FALSE),"")</f>
        <v/>
      </c>
      <c r="J15" s="118" t="n"/>
      <c r="K15" s="76" t="n"/>
      <c r="L15" s="76" t="n"/>
      <c r="M15" s="76" t="n"/>
      <c r="N15" s="76" t="n"/>
      <c r="O15" s="76" t="n"/>
      <c r="P15" s="76" t="n"/>
      <c r="Q15" s="76" t="n"/>
    </row>
    <row r="16">
      <c r="F16" s="118" t="inlineStr">
        <is>
          <t>GMT Delta</t>
        </is>
      </c>
      <c r="G16" s="118">
        <f>TIME(VLOOKUP(C8,F18:G42,2,FALSE),VLOOKUP(C10,F44:G47,2,FALSE),0)+IF(C6="Yes",TIME(1,0,0),0)</f>
        <v/>
      </c>
      <c r="H16" s="118" t="n"/>
      <c r="I16" s="118" t="n"/>
      <c r="J16" s="118" t="n"/>
      <c r="K16" s="76" t="n"/>
      <c r="L16" s="76" t="n"/>
      <c r="M16" s="76" t="n"/>
      <c r="N16" s="76" t="n"/>
      <c r="O16" s="76" t="n"/>
      <c r="P16" s="76" t="n"/>
      <c r="Q16" s="76" t="n"/>
    </row>
    <row r="17">
      <c r="B17" s="55" t="n"/>
      <c r="C17" s="56" t="n"/>
      <c r="D17" s="57" t="n"/>
      <c r="F17" s="118" t="n"/>
      <c r="G17" s="118" t="n"/>
      <c r="H17" s="118" t="n"/>
      <c r="I17" s="118" t="inlineStr">
        <is>
          <t>Algeria</t>
        </is>
      </c>
      <c r="J17" s="118" t="n"/>
      <c r="K17" s="76" t="n"/>
      <c r="L17" s="76" t="n"/>
      <c r="M17" s="76" t="n"/>
      <c r="N17" s="76" t="n"/>
      <c r="O17" s="76" t="n"/>
      <c r="P17" s="76" t="n"/>
      <c r="Q17" s="76" t="n"/>
    </row>
    <row r="18" ht="16" customHeight="1">
      <c r="B18" s="42" t="n"/>
      <c r="C18" s="58" t="inlineStr">
        <is>
          <t>FIFA Rank</t>
        </is>
      </c>
      <c r="D18" s="44" t="n"/>
      <c r="F18" s="118" t="inlineStr">
        <is>
          <t>GMT - 11:00</t>
        </is>
      </c>
      <c r="G18" s="118" t="n">
        <v>0</v>
      </c>
      <c r="H18" s="118" t="n"/>
      <c r="I18" s="118" t="inlineStr">
        <is>
          <t>Argentina</t>
        </is>
      </c>
      <c r="J18" s="118" t="n"/>
      <c r="K18" s="76" t="n"/>
      <c r="L18" s="76" t="n"/>
      <c r="M18" s="76" t="n"/>
      <c r="N18" s="76" t="n"/>
      <c r="O18" s="76" t="n"/>
      <c r="P18" s="76" t="n"/>
      <c r="Q18" s="76" t="n"/>
    </row>
    <row r="19">
      <c r="B19" s="59">
        <f>VLOOKUP("France",T,lang,FALSE)</f>
        <v/>
      </c>
      <c r="C19" s="65" t="n">
        <v>1877.32</v>
      </c>
      <c r="D19" s="44" t="n"/>
      <c r="F19" s="118" t="inlineStr">
        <is>
          <t>GMT - 10:00</t>
        </is>
      </c>
      <c r="G19" s="118" t="n">
        <v>1</v>
      </c>
      <c r="H19" s="118" t="n"/>
      <c r="I19" s="118" t="inlineStr">
        <is>
          <t>Australia</t>
        </is>
      </c>
      <c r="J19" s="118" t="n"/>
      <c r="K19" s="76" t="n"/>
      <c r="L19" s="76" t="n"/>
      <c r="M19" s="76" t="n"/>
      <c r="N19" s="76" t="n"/>
      <c r="O19" s="76" t="n"/>
      <c r="P19" s="76" t="n"/>
      <c r="Q19" s="76" t="n"/>
    </row>
    <row r="20">
      <c r="B20" s="59">
        <f>VLOOKUP("Spain",T,lang,FALSE)</f>
        <v/>
      </c>
      <c r="C20" s="66" t="n">
        <v>1876.4</v>
      </c>
      <c r="D20" s="44" t="n"/>
      <c r="F20" s="118" t="inlineStr">
        <is>
          <t>GMT - 9:00</t>
        </is>
      </c>
      <c r="G20" s="118" t="n">
        <v>2</v>
      </c>
      <c r="H20" s="118" t="n"/>
      <c r="I20" s="118" t="inlineStr">
        <is>
          <t>Austria</t>
        </is>
      </c>
      <c r="J20" s="118" t="n"/>
      <c r="K20" s="76" t="n"/>
      <c r="L20" s="76" t="n"/>
      <c r="M20" s="76" t="n"/>
      <c r="N20" s="76" t="n"/>
      <c r="O20" s="76" t="n"/>
      <c r="P20" s="76" t="n"/>
      <c r="Q20" s="76" t="n"/>
    </row>
    <row r="21">
      <c r="B21" s="59">
        <f>VLOOKUP("Argentina",T,lang,FALSE)</f>
        <v/>
      </c>
      <c r="C21" s="66" t="n">
        <v>1874.82</v>
      </c>
      <c r="D21" s="44" t="n"/>
      <c r="F21" s="118" t="inlineStr">
        <is>
          <t>GMT - 8:00</t>
        </is>
      </c>
      <c r="G21" s="118" t="n">
        <v>3</v>
      </c>
      <c r="H21" s="118" t="n"/>
      <c r="I21" s="118" t="inlineStr">
        <is>
          <t>Belgium</t>
        </is>
      </c>
      <c r="J21" s="118" t="n"/>
      <c r="K21" s="76" t="n"/>
      <c r="L21" s="76" t="n"/>
      <c r="M21" s="76" t="n"/>
      <c r="N21" s="76" t="n"/>
      <c r="O21" s="76" t="n"/>
      <c r="P21" s="76" t="n"/>
      <c r="Q21" s="76" t="n"/>
    </row>
    <row r="22">
      <c r="B22" s="59">
        <f>VLOOKUP("England",T,lang,FALSE)</f>
        <v/>
      </c>
      <c r="C22" s="66" t="n">
        <v>1825.97</v>
      </c>
      <c r="D22" s="44" t="n"/>
      <c r="F22" s="118" t="inlineStr">
        <is>
          <t>GMT - 7:00</t>
        </is>
      </c>
      <c r="G22" s="118" t="n">
        <v>4</v>
      </c>
      <c r="H22" s="118" t="n"/>
      <c r="I22" s="118" t="inlineStr">
        <is>
          <t>Bosnia and Herzegovina</t>
        </is>
      </c>
      <c r="J22" s="118" t="n"/>
      <c r="K22" s="76" t="n"/>
      <c r="L22" s="76" t="n"/>
      <c r="M22" s="76" t="n"/>
      <c r="N22" s="76" t="n"/>
      <c r="O22" s="76" t="n"/>
      <c r="P22" s="76" t="n"/>
      <c r="Q22" s="76" t="n"/>
    </row>
    <row r="23">
      <c r="B23" s="59">
        <f>VLOOKUP("Portugal",T,lang,FALSE)</f>
        <v/>
      </c>
      <c r="C23" s="66" t="n">
        <v>1763.83</v>
      </c>
      <c r="D23" s="44" t="n"/>
      <c r="F23" s="118" t="inlineStr">
        <is>
          <t>GMT - 6:00</t>
        </is>
      </c>
      <c r="G23" s="118" t="n">
        <v>5</v>
      </c>
      <c r="H23" s="118" t="n"/>
      <c r="I23" s="118" t="inlineStr">
        <is>
          <t>Brazil</t>
        </is>
      </c>
      <c r="J23" s="118" t="n"/>
      <c r="K23" s="76" t="n"/>
      <c r="L23" s="76" t="n"/>
      <c r="M23" s="76" t="n"/>
      <c r="N23" s="76" t="n"/>
      <c r="O23" s="76" t="n"/>
      <c r="P23" s="76" t="n"/>
      <c r="Q23" s="76" t="n"/>
    </row>
    <row r="24">
      <c r="B24" s="59">
        <f>VLOOKUP("Brazil",T,lang,FALSE)</f>
        <v/>
      </c>
      <c r="C24" s="66" t="n">
        <v>1761.16</v>
      </c>
      <c r="D24" s="44" t="n"/>
      <c r="F24" s="118" t="inlineStr">
        <is>
          <t>GMT - 5:00</t>
        </is>
      </c>
      <c r="G24" s="118" t="n">
        <v>6</v>
      </c>
      <c r="H24" s="118" t="n"/>
      <c r="I24" s="118" t="inlineStr">
        <is>
          <t>Canada</t>
        </is>
      </c>
      <c r="J24" s="118" t="n"/>
      <c r="K24" s="76" t="n"/>
      <c r="L24" s="76" t="n"/>
      <c r="M24" s="76" t="n"/>
      <c r="N24" s="76" t="n"/>
      <c r="O24" s="76" t="n"/>
      <c r="P24" s="76" t="n"/>
      <c r="Q24" s="76" t="n"/>
    </row>
    <row r="25">
      <c r="B25" s="59">
        <f>VLOOKUP("Netherlands",T,lang,FALSE)</f>
        <v/>
      </c>
      <c r="C25" s="66" t="n">
        <v>1757.87</v>
      </c>
      <c r="D25" s="44" t="n"/>
      <c r="F25" s="118" t="inlineStr">
        <is>
          <t>GMT - 4:00</t>
        </is>
      </c>
      <c r="G25" s="118" t="n">
        <v>7</v>
      </c>
      <c r="H25" s="118" t="n"/>
      <c r="I25" s="118" t="inlineStr">
        <is>
          <t>Cape Verde</t>
        </is>
      </c>
      <c r="J25" s="118" t="n"/>
      <c r="K25" s="76" t="n"/>
      <c r="L25" s="76" t="n"/>
      <c r="M25" s="76" t="n"/>
      <c r="N25" s="76" t="n"/>
      <c r="O25" s="76" t="n"/>
      <c r="P25" s="76" t="n"/>
      <c r="Q25" s="76" t="n"/>
    </row>
    <row r="26">
      <c r="B26" s="59">
        <f>VLOOKUP("Morocco",T,lang,FALSE)</f>
        <v/>
      </c>
      <c r="C26" s="66" t="n">
        <v>1755.87</v>
      </c>
      <c r="D26" s="44" t="n"/>
      <c r="F26" s="118" t="inlineStr">
        <is>
          <t>GMT - 3:00</t>
        </is>
      </c>
      <c r="G26" s="118" t="n">
        <v>8</v>
      </c>
      <c r="H26" s="118" t="n"/>
      <c r="I26" s="118" t="inlineStr">
        <is>
          <t>Colombia</t>
        </is>
      </c>
      <c r="J26" s="118" t="n"/>
      <c r="K26" s="76" t="n"/>
      <c r="L26" s="76" t="n"/>
      <c r="M26" s="76" t="n"/>
      <c r="N26" s="76" t="n"/>
      <c r="O26" s="76" t="n"/>
      <c r="P26" s="76" t="n"/>
      <c r="Q26" s="76" t="n"/>
    </row>
    <row r="27">
      <c r="B27" s="59">
        <f>VLOOKUP("Belgium",T,lang,FALSE)</f>
        <v/>
      </c>
      <c r="C27" s="66" t="n">
        <v>1734.71</v>
      </c>
      <c r="D27" s="44" t="n"/>
      <c r="F27" s="118" t="inlineStr">
        <is>
          <t>GMT - 2:00</t>
        </is>
      </c>
      <c r="G27" s="118" t="n">
        <v>9</v>
      </c>
      <c r="H27" s="118" t="n"/>
      <c r="I27" s="118" t="inlineStr">
        <is>
          <t>Croatia</t>
        </is>
      </c>
      <c r="J27" s="118" t="n"/>
      <c r="K27" s="76" t="n"/>
      <c r="L27" s="76" t="n"/>
      <c r="M27" s="76" t="n"/>
      <c r="N27" s="76" t="n"/>
      <c r="O27" s="76" t="n"/>
      <c r="P27" s="76" t="n"/>
      <c r="Q27" s="76" t="n"/>
    </row>
    <row r="28">
      <c r="B28" s="59">
        <f>VLOOKUP("Germany",T,lang,FALSE)</f>
        <v/>
      </c>
      <c r="C28" s="66" t="n">
        <v>1730.37</v>
      </c>
      <c r="D28" s="44" t="n"/>
      <c r="F28" s="118" t="inlineStr">
        <is>
          <t>GMT - 1:00</t>
        </is>
      </c>
      <c r="G28" s="118" t="n">
        <v>10</v>
      </c>
      <c r="H28" s="118" t="n"/>
      <c r="I28" s="118" t="inlineStr">
        <is>
          <t>Curaçao</t>
        </is>
      </c>
      <c r="J28" s="118" t="n"/>
      <c r="K28" s="76" t="n"/>
      <c r="L28" s="76" t="n"/>
      <c r="M28" s="76" t="n"/>
      <c r="N28" s="76" t="n"/>
      <c r="O28" s="76" t="n"/>
      <c r="P28" s="76" t="n"/>
      <c r="Q28" s="76" t="n"/>
    </row>
    <row r="29">
      <c r="B29" s="59">
        <f>VLOOKUP("Croatia",T,lang,FALSE)</f>
        <v/>
      </c>
      <c r="C29" s="66" t="n">
        <v>1717.07</v>
      </c>
      <c r="D29" s="44" t="n"/>
      <c r="F29" s="118" t="inlineStr">
        <is>
          <t>GMT</t>
        </is>
      </c>
      <c r="G29" s="118" t="n">
        <v>11</v>
      </c>
      <c r="H29" s="118" t="n"/>
      <c r="I29" s="118" t="inlineStr">
        <is>
          <t>Czech Republic</t>
        </is>
      </c>
      <c r="J29" s="118" t="n"/>
      <c r="K29" s="76" t="n"/>
      <c r="L29" s="76" t="n"/>
      <c r="M29" s="76" t="n"/>
      <c r="N29" s="76" t="n"/>
      <c r="O29" s="76" t="n"/>
      <c r="P29" s="76" t="n"/>
      <c r="Q29" s="76" t="n"/>
    </row>
    <row r="30">
      <c r="B30" s="59">
        <f>VLOOKUP("Colombia",T,lang,FALSE)</f>
        <v/>
      </c>
      <c r="C30" s="66" t="n">
        <v>1693.09</v>
      </c>
      <c r="D30" s="44" t="n"/>
      <c r="F30" s="118" t="inlineStr">
        <is>
          <t>GMT + 1:00</t>
        </is>
      </c>
      <c r="G30" s="118" t="n">
        <v>12</v>
      </c>
      <c r="H30" s="118" t="n"/>
      <c r="I30" s="118" t="inlineStr">
        <is>
          <t>DR Congo</t>
        </is>
      </c>
      <c r="J30" s="118" t="n"/>
      <c r="K30" s="76" t="n"/>
      <c r="L30" s="76" t="n"/>
      <c r="M30" s="76" t="n"/>
      <c r="N30" s="76" t="n"/>
      <c r="O30" s="76" t="n"/>
      <c r="P30" s="76" t="n"/>
      <c r="Q30" s="76" t="n"/>
    </row>
    <row r="31">
      <c r="B31" s="59">
        <f>VLOOKUP("Senegal",T,lang,FALSE)</f>
        <v/>
      </c>
      <c r="C31" s="66" t="n">
        <v>1688.99</v>
      </c>
      <c r="D31" s="44" t="n"/>
      <c r="F31" s="118" t="inlineStr">
        <is>
          <t>GMT + 2:00</t>
        </is>
      </c>
      <c r="G31" s="118" t="n">
        <v>13</v>
      </c>
      <c r="H31" s="118" t="n"/>
      <c r="I31" s="118" t="inlineStr">
        <is>
          <t>Ecuador</t>
        </is>
      </c>
      <c r="J31" s="118" t="n"/>
      <c r="K31" s="76" t="n"/>
      <c r="L31" s="76" t="n"/>
      <c r="M31" s="76" t="n"/>
      <c r="N31" s="76" t="n"/>
      <c r="O31" s="76" t="n"/>
      <c r="P31" s="76" t="n"/>
      <c r="Q31" s="76" t="n"/>
    </row>
    <row r="32">
      <c r="B32" s="59">
        <f>VLOOKUP("Mexico",T,lang,FALSE)</f>
        <v/>
      </c>
      <c r="C32" s="66" t="n">
        <v>1681.03</v>
      </c>
      <c r="D32" s="44" t="n"/>
      <c r="F32" s="118" t="inlineStr">
        <is>
          <t>GMT + 3:00</t>
        </is>
      </c>
      <c r="G32" s="118" t="n">
        <v>14</v>
      </c>
      <c r="H32" s="118" t="n"/>
      <c r="I32" s="118" t="inlineStr">
        <is>
          <t>Egypt</t>
        </is>
      </c>
      <c r="J32" s="118" t="n"/>
      <c r="K32" s="76" t="n"/>
      <c r="L32" s="76" t="n"/>
      <c r="M32" s="76" t="n"/>
      <c r="N32" s="76" t="n"/>
      <c r="O32" s="76" t="n"/>
      <c r="P32" s="76" t="n"/>
      <c r="Q32" s="76" t="n"/>
    </row>
    <row r="33">
      <c r="B33" s="59">
        <f>VLOOKUP("United States",T,lang,FALSE)</f>
        <v/>
      </c>
      <c r="C33" s="66" t="n">
        <v>1673.13</v>
      </c>
      <c r="D33" s="44" t="n"/>
      <c r="F33" s="118" t="inlineStr">
        <is>
          <t>GMT + 4:00</t>
        </is>
      </c>
      <c r="G33" s="118" t="n">
        <v>15</v>
      </c>
      <c r="H33" s="118" t="n"/>
      <c r="I33" s="118" t="inlineStr">
        <is>
          <t>England</t>
        </is>
      </c>
      <c r="J33" s="118" t="n"/>
      <c r="K33" s="76" t="n"/>
      <c r="L33" s="76" t="n"/>
      <c r="M33" s="76" t="n"/>
      <c r="N33" s="76" t="n"/>
      <c r="O33" s="76" t="n"/>
      <c r="P33" s="76" t="n"/>
      <c r="Q33" s="76" t="n"/>
    </row>
    <row r="34">
      <c r="B34" s="59">
        <f>VLOOKUP("Uruguay",T,lang,FALSE)</f>
        <v/>
      </c>
      <c r="C34" s="66" t="n">
        <v>1673.07</v>
      </c>
      <c r="D34" s="44" t="n"/>
      <c r="F34" s="118" t="inlineStr">
        <is>
          <t>GMT + 5:00</t>
        </is>
      </c>
      <c r="G34" s="118" t="n">
        <v>16</v>
      </c>
      <c r="H34" s="118" t="n"/>
      <c r="I34" s="118" t="inlineStr">
        <is>
          <t>France</t>
        </is>
      </c>
      <c r="J34" s="118" t="n"/>
      <c r="K34" s="76" t="n"/>
      <c r="L34" s="76" t="n"/>
      <c r="M34" s="76" t="n"/>
      <c r="N34" s="76" t="n"/>
      <c r="O34" s="76" t="n"/>
      <c r="P34" s="76" t="n"/>
      <c r="Q34" s="76" t="n"/>
    </row>
    <row r="35">
      <c r="B35" s="59">
        <f>VLOOKUP("Japan",T,lang,FALSE)</f>
        <v/>
      </c>
      <c r="C35" s="66" t="n">
        <v>1660.43</v>
      </c>
      <c r="D35" s="44" t="n"/>
      <c r="F35" s="118" t="inlineStr">
        <is>
          <t>GMT + 6:00</t>
        </is>
      </c>
      <c r="G35" s="118" t="n">
        <v>17</v>
      </c>
      <c r="H35" s="118" t="n"/>
      <c r="I35" s="118" t="inlineStr">
        <is>
          <t>Germany</t>
        </is>
      </c>
      <c r="J35" s="118" t="n"/>
      <c r="K35" s="76" t="n"/>
      <c r="L35" s="76" t="n"/>
      <c r="M35" s="76" t="n"/>
      <c r="N35" s="76" t="n"/>
      <c r="O35" s="76" t="n"/>
      <c r="P35" s="76" t="n"/>
      <c r="Q35" s="76" t="n"/>
    </row>
    <row r="36">
      <c r="B36" s="59">
        <f>VLOOKUP("Switzerland",T,lang,FALSE)</f>
        <v/>
      </c>
      <c r="C36" s="66" t="n">
        <v>1649.4</v>
      </c>
      <c r="D36" s="44" t="n"/>
      <c r="F36" s="118" t="inlineStr">
        <is>
          <t>GMT + 7:00</t>
        </is>
      </c>
      <c r="G36" s="118" t="n">
        <v>18</v>
      </c>
      <c r="H36" s="118" t="n"/>
      <c r="I36" s="118" t="inlineStr">
        <is>
          <t>Ghana</t>
        </is>
      </c>
      <c r="J36" s="118" t="n"/>
      <c r="K36" s="76" t="n"/>
      <c r="L36" s="76" t="n"/>
      <c r="M36" s="76" t="n"/>
      <c r="N36" s="76" t="n"/>
      <c r="O36" s="76" t="n"/>
      <c r="P36" s="76" t="n"/>
      <c r="Q36" s="76" t="n"/>
    </row>
    <row r="37">
      <c r="B37" s="59">
        <f>VLOOKUP("Iran",T,lang,FALSE)</f>
        <v/>
      </c>
      <c r="C37" s="66" t="n">
        <v>1615.3</v>
      </c>
      <c r="D37" s="44" t="n"/>
      <c r="F37" s="118" t="inlineStr">
        <is>
          <t>GMT + 8:00</t>
        </is>
      </c>
      <c r="G37" s="118" t="n">
        <v>19</v>
      </c>
      <c r="H37" s="118" t="n"/>
      <c r="I37" s="118" t="inlineStr">
        <is>
          <t>Haiti</t>
        </is>
      </c>
      <c r="J37" s="118" t="n"/>
      <c r="K37" s="76" t="n"/>
      <c r="L37" s="76" t="n"/>
      <c r="M37" s="76" t="n"/>
      <c r="N37" s="76" t="n"/>
      <c r="O37" s="76" t="n"/>
      <c r="P37" s="76" t="n"/>
      <c r="Q37" s="76" t="n"/>
    </row>
    <row r="38">
      <c r="B38" s="59">
        <f>VLOOKUP("Turkey",T,lang,FALSE)</f>
        <v/>
      </c>
      <c r="C38" s="66" t="n">
        <v>1599.04</v>
      </c>
      <c r="D38" s="44" t="n"/>
      <c r="F38" s="118" t="inlineStr">
        <is>
          <t>GMT + 9:00</t>
        </is>
      </c>
      <c r="G38" s="118" t="n">
        <v>20</v>
      </c>
      <c r="H38" s="118" t="n"/>
      <c r="I38" s="118" t="inlineStr">
        <is>
          <t>Iran</t>
        </is>
      </c>
      <c r="J38" s="118" t="n"/>
      <c r="K38" s="76" t="n"/>
      <c r="L38" s="76" t="n"/>
      <c r="M38" s="76" t="n"/>
      <c r="N38" s="76" t="n"/>
      <c r="O38" s="76" t="n"/>
      <c r="P38" s="76" t="n"/>
      <c r="Q38" s="76" t="n"/>
    </row>
    <row r="39">
      <c r="B39" s="59">
        <f>VLOOKUP("Ecuador",T,lang,FALSE)</f>
        <v/>
      </c>
      <c r="C39" s="66" t="n">
        <v>1594.78</v>
      </c>
      <c r="D39" s="44" t="n"/>
      <c r="F39" s="118" t="inlineStr">
        <is>
          <t>GMT + 10:00</t>
        </is>
      </c>
      <c r="G39" s="118" t="n">
        <v>21</v>
      </c>
      <c r="H39" s="118" t="n"/>
      <c r="I39" s="118" t="inlineStr">
        <is>
          <t>Iraq</t>
        </is>
      </c>
      <c r="J39" s="118" t="n"/>
      <c r="K39" s="76" t="n"/>
      <c r="L39" s="76" t="n"/>
      <c r="M39" s="76" t="n"/>
      <c r="N39" s="76" t="n"/>
      <c r="O39" s="76" t="n"/>
      <c r="P39" s="76" t="n"/>
      <c r="Q39" s="76" t="n"/>
    </row>
    <row r="40">
      <c r="B40" s="59">
        <f>VLOOKUP("Austria",T,lang,FALSE)</f>
        <v/>
      </c>
      <c r="C40" s="66" t="n">
        <v>1593.45</v>
      </c>
      <c r="D40" s="44" t="n"/>
      <c r="F40" s="118" t="inlineStr">
        <is>
          <t>GMT + 11:00</t>
        </is>
      </c>
      <c r="G40" s="118" t="n">
        <v>22</v>
      </c>
      <c r="H40" s="118" t="n"/>
      <c r="I40" s="118" t="inlineStr">
        <is>
          <t>Ivory Coast</t>
        </is>
      </c>
      <c r="J40" s="118" t="n"/>
      <c r="K40" s="76" t="n"/>
      <c r="L40" s="76" t="n"/>
      <c r="M40" s="76" t="n"/>
      <c r="N40" s="76" t="n"/>
      <c r="O40" s="76" t="n"/>
      <c r="P40" s="76" t="n"/>
      <c r="Q40" s="76" t="n"/>
    </row>
    <row r="41">
      <c r="B41" s="59">
        <f>VLOOKUP("Korea Republic",T,lang,FALSE)</f>
        <v/>
      </c>
      <c r="C41" s="66" t="n">
        <v>1588.66</v>
      </c>
      <c r="D41" s="44" t="n"/>
      <c r="F41" s="118" t="inlineStr">
        <is>
          <t>GMT + 12:00</t>
        </is>
      </c>
      <c r="G41" s="118" t="n">
        <v>23</v>
      </c>
      <c r="H41" s="118" t="n"/>
      <c r="I41" s="118" t="inlineStr">
        <is>
          <t>Japan</t>
        </is>
      </c>
      <c r="J41" s="118" t="n"/>
      <c r="K41" s="76" t="n"/>
      <c r="L41" s="76" t="n"/>
      <c r="M41" s="76" t="n"/>
      <c r="N41" s="76" t="n"/>
      <c r="O41" s="76" t="n"/>
      <c r="P41" s="76" t="n"/>
      <c r="Q41" s="76" t="n"/>
    </row>
    <row r="42">
      <c r="B42" s="59">
        <f>VLOOKUP("Australia",T,lang,FALSE)</f>
        <v/>
      </c>
      <c r="C42" s="66" t="n">
        <v>1580.67</v>
      </c>
      <c r="D42" s="44" t="n"/>
      <c r="F42" s="118" t="inlineStr">
        <is>
          <t>GMT + 13:00</t>
        </is>
      </c>
      <c r="G42" s="118" t="n">
        <v>24</v>
      </c>
      <c r="H42" s="118" t="n"/>
      <c r="I42" s="118" t="inlineStr">
        <is>
          <t>Jordan</t>
        </is>
      </c>
      <c r="J42" s="118" t="n"/>
      <c r="K42" s="76" t="n"/>
      <c r="L42" s="76" t="n"/>
      <c r="M42" s="76" t="n"/>
      <c r="N42" s="76" t="n"/>
      <c r="O42" s="76" t="n"/>
      <c r="P42" s="76" t="n"/>
      <c r="Q42" s="76" t="n"/>
    </row>
    <row r="43">
      <c r="B43" s="59">
        <f>VLOOKUP("Algeria",T,lang,FALSE)</f>
        <v/>
      </c>
      <c r="C43" s="66" t="n">
        <v>1564.26</v>
      </c>
      <c r="D43" s="44" t="n"/>
      <c r="F43" s="118" t="n"/>
      <c r="G43" s="118" t="n"/>
      <c r="H43" s="118" t="n"/>
      <c r="I43" s="118" t="inlineStr">
        <is>
          <t>Korea Republic</t>
        </is>
      </c>
      <c r="J43" s="118" t="n"/>
      <c r="K43" s="76" t="n"/>
      <c r="L43" s="76" t="n"/>
      <c r="M43" s="76" t="n"/>
      <c r="N43" s="76" t="n"/>
      <c r="O43" s="76" t="n"/>
      <c r="P43" s="76" t="n"/>
      <c r="Q43" s="76" t="n"/>
    </row>
    <row r="44">
      <c r="B44" s="59">
        <f>VLOOKUP("Egypt",T,lang,FALSE)</f>
        <v/>
      </c>
      <c r="C44" s="66" t="n">
        <v>1563.24</v>
      </c>
      <c r="D44" s="44" t="n"/>
      <c r="F44" s="118" t="inlineStr">
        <is>
          <t>+0 min</t>
        </is>
      </c>
      <c r="G44" s="118" t="n">
        <v>0</v>
      </c>
      <c r="H44" s="118" t="n"/>
      <c r="I44" s="118" t="inlineStr">
        <is>
          <t>Mexico</t>
        </is>
      </c>
      <c r="J44" s="118" t="n"/>
      <c r="K44" s="76" t="n"/>
      <c r="L44" s="76" t="n"/>
      <c r="M44" s="76" t="n"/>
      <c r="N44" s="76" t="n"/>
      <c r="O44" s="76" t="n"/>
      <c r="P44" s="76" t="n"/>
      <c r="Q44" s="76" t="n"/>
    </row>
    <row r="45">
      <c r="B45" s="59">
        <f>VLOOKUP("Canada",T,lang,FALSE)</f>
        <v/>
      </c>
      <c r="C45" s="66" t="n">
        <v>1556.48</v>
      </c>
      <c r="D45" s="44" t="n"/>
      <c r="F45" s="118" t="inlineStr">
        <is>
          <t>+15 min</t>
        </is>
      </c>
      <c r="G45" s="118" t="n">
        <v>15</v>
      </c>
      <c r="H45" s="118" t="n"/>
      <c r="I45" s="118" t="inlineStr">
        <is>
          <t>Morocco</t>
        </is>
      </c>
      <c r="J45" s="118" t="n"/>
      <c r="K45" s="76" t="n"/>
      <c r="L45" s="76" t="n"/>
      <c r="M45" s="76" t="n"/>
      <c r="N45" s="76" t="n"/>
      <c r="O45" s="76" t="n"/>
      <c r="P45" s="76" t="n"/>
      <c r="Q45" s="76" t="n"/>
    </row>
    <row r="46">
      <c r="B46" s="59">
        <f>VLOOKUP("Norway",T,lang,FALSE)</f>
        <v/>
      </c>
      <c r="C46" s="66" t="n">
        <v>1550.94</v>
      </c>
      <c r="D46" s="44" t="n"/>
      <c r="F46" s="118" t="inlineStr">
        <is>
          <t>+30 min</t>
        </is>
      </c>
      <c r="G46" s="118" t="n">
        <v>30</v>
      </c>
      <c r="H46" s="118" t="n"/>
      <c r="I46" s="118" t="inlineStr">
        <is>
          <t>Netherlands</t>
        </is>
      </c>
      <c r="J46" s="118" t="n"/>
      <c r="K46" s="76" t="n"/>
      <c r="L46" s="76" t="n"/>
      <c r="M46" s="76" t="n"/>
      <c r="N46" s="76" t="n"/>
      <c r="O46" s="76" t="n"/>
      <c r="P46" s="76" t="n"/>
      <c r="Q46" s="76" t="n"/>
    </row>
    <row r="47">
      <c r="B47" s="59">
        <f>VLOOKUP("Panama",T,lang,FALSE)</f>
        <v/>
      </c>
      <c r="C47" s="66" t="n">
        <v>1540.64</v>
      </c>
      <c r="D47" s="44" t="n"/>
      <c r="F47" s="118" t="inlineStr">
        <is>
          <t>+45 min</t>
        </is>
      </c>
      <c r="G47" s="118" t="n">
        <v>45</v>
      </c>
      <c r="H47" s="118" t="n"/>
      <c r="I47" s="118" t="inlineStr">
        <is>
          <t>New Zealand</t>
        </is>
      </c>
      <c r="J47" s="118" t="n"/>
      <c r="K47" s="76" t="n"/>
      <c r="L47" s="76" t="n"/>
      <c r="M47" s="76" t="n"/>
      <c r="N47" s="76" t="n"/>
      <c r="O47" s="76" t="n"/>
      <c r="P47" s="76" t="n"/>
      <c r="Q47" s="76" t="n"/>
    </row>
    <row r="48">
      <c r="B48" s="59">
        <f>VLOOKUP("Ivory Coast",T,lang,FALSE)</f>
        <v/>
      </c>
      <c r="C48" s="66" t="n">
        <v>1532.98</v>
      </c>
      <c r="D48" s="44" t="n"/>
      <c r="F48" s="118" t="n"/>
      <c r="G48" s="118" t="n"/>
      <c r="H48" s="118" t="n"/>
      <c r="I48" s="118" t="inlineStr">
        <is>
          <t>Norway</t>
        </is>
      </c>
      <c r="J48" s="118" t="n"/>
      <c r="K48" s="76" t="n"/>
      <c r="L48" s="76" t="n"/>
      <c r="M48" s="76" t="n"/>
      <c r="N48" s="76" t="n"/>
      <c r="O48" s="76" t="n"/>
      <c r="P48" s="76" t="n"/>
      <c r="Q48" s="76" t="n"/>
    </row>
    <row r="49">
      <c r="B49" s="59">
        <f>VLOOKUP("Sweden",T,lang,FALSE)</f>
        <v/>
      </c>
      <c r="C49" s="66" t="n">
        <v>1514.77</v>
      </c>
      <c r="D49" s="44" t="n"/>
      <c r="F49" s="118" t="n"/>
      <c r="G49" s="118" t="n"/>
      <c r="H49" s="118" t="n"/>
      <c r="I49" s="118" t="inlineStr">
        <is>
          <t>Panama</t>
        </is>
      </c>
      <c r="J49" s="118" t="n"/>
      <c r="K49" s="76" t="n"/>
      <c r="L49" s="76" t="n"/>
      <c r="M49" s="76" t="n"/>
      <c r="N49" s="76" t="n"/>
      <c r="O49" s="76" t="n"/>
      <c r="P49" s="76" t="n"/>
      <c r="Q49" s="76" t="n"/>
    </row>
    <row r="50">
      <c r="B50" s="59">
        <f>VLOOKUP("Paraguay",T,lang,FALSE)</f>
        <v/>
      </c>
      <c r="C50" s="66" t="n">
        <v>1503.5</v>
      </c>
      <c r="D50" s="44" t="n"/>
      <c r="F50" s="118" t="n"/>
      <c r="G50" s="118" t="n"/>
      <c r="H50" s="118" t="n"/>
      <c r="I50" s="118" t="inlineStr">
        <is>
          <t>Paraguay</t>
        </is>
      </c>
      <c r="J50" s="118" t="n"/>
      <c r="K50" s="76" t="n"/>
      <c r="L50" s="76" t="n"/>
      <c r="M50" s="76" t="n"/>
      <c r="N50" s="76" t="n"/>
      <c r="O50" s="76" t="n"/>
      <c r="P50" s="76" t="n"/>
      <c r="Q50" s="76" t="n"/>
    </row>
    <row r="51">
      <c r="B51" s="59">
        <f>VLOOKUP("Czech Republic",T,lang,FALSE)</f>
        <v/>
      </c>
      <c r="C51" s="66" t="n">
        <v>1501.38</v>
      </c>
      <c r="D51" s="44" t="n"/>
      <c r="F51" s="118" t="n"/>
      <c r="G51" s="118" t="n"/>
      <c r="H51" s="118" t="n"/>
      <c r="I51" s="118" t="inlineStr">
        <is>
          <t>Portugal</t>
        </is>
      </c>
      <c r="J51" s="118" t="n"/>
      <c r="K51" s="76" t="n"/>
      <c r="L51" s="76" t="n"/>
      <c r="M51" s="76" t="n"/>
      <c r="N51" s="76" t="n"/>
      <c r="O51" s="76" t="n"/>
      <c r="P51" s="76" t="n"/>
      <c r="Q51" s="76" t="n"/>
    </row>
    <row r="52">
      <c r="B52" s="59">
        <f>VLOOKUP("Scotland",T,lang,FALSE)</f>
        <v/>
      </c>
      <c r="C52" s="66" t="n">
        <v>1498.35</v>
      </c>
      <c r="D52" s="44" t="n"/>
      <c r="F52" s="118" t="n"/>
      <c r="G52" s="118" t="n"/>
      <c r="H52" s="118" t="n"/>
      <c r="I52" s="118" t="inlineStr">
        <is>
          <t>Qatar</t>
        </is>
      </c>
      <c r="J52" s="118" t="n"/>
      <c r="K52" s="76" t="n"/>
      <c r="L52" s="76" t="n"/>
      <c r="M52" s="76" t="n"/>
      <c r="N52" s="76" t="n"/>
      <c r="O52" s="76" t="n"/>
      <c r="P52" s="76" t="n"/>
      <c r="Q52" s="76" t="n"/>
    </row>
    <row r="53">
      <c r="B53" s="59">
        <f>VLOOKUP("Tunisia",T,lang,FALSE)</f>
        <v/>
      </c>
      <c r="C53" s="66" t="n">
        <v>1483.05</v>
      </c>
      <c r="D53" s="44" t="n"/>
      <c r="F53" s="118" t="n"/>
      <c r="G53" s="118" t="n"/>
      <c r="H53" s="118" t="n"/>
      <c r="I53" s="118" t="inlineStr">
        <is>
          <t>Saudi Arabia</t>
        </is>
      </c>
      <c r="J53" s="118" t="n"/>
      <c r="K53" s="76" t="n"/>
      <c r="L53" s="76" t="n"/>
      <c r="M53" s="76" t="n"/>
      <c r="N53" s="76" t="n"/>
      <c r="O53" s="76" t="n"/>
      <c r="P53" s="76" t="n"/>
      <c r="Q53" s="76" t="n"/>
    </row>
    <row r="54">
      <c r="B54" s="59">
        <f>VLOOKUP("DR Congo",T,lang,FALSE)</f>
        <v/>
      </c>
      <c r="C54" s="66" t="n">
        <v>1478.35</v>
      </c>
      <c r="D54" s="44" t="n"/>
      <c r="F54" s="118" t="n"/>
      <c r="G54" s="118" t="n"/>
      <c r="H54" s="118" t="n"/>
      <c r="I54" s="118" t="inlineStr">
        <is>
          <t>Scotland</t>
        </is>
      </c>
      <c r="J54" s="118" t="n"/>
      <c r="K54" s="76" t="n"/>
      <c r="L54" s="76" t="n"/>
      <c r="M54" s="76" t="n"/>
      <c r="N54" s="76" t="n"/>
      <c r="O54" s="76" t="n"/>
      <c r="P54" s="76" t="n"/>
      <c r="Q54" s="76" t="n"/>
    </row>
    <row r="55">
      <c r="B55" s="59">
        <f>VLOOKUP("Uzbekistan",T,lang,FALSE)</f>
        <v/>
      </c>
      <c r="C55" s="66" t="n">
        <v>1465.34</v>
      </c>
      <c r="D55" s="44" t="n"/>
      <c r="F55" s="118" t="n"/>
      <c r="G55" s="118" t="n"/>
      <c r="H55" s="118" t="n"/>
      <c r="I55" s="118" t="inlineStr">
        <is>
          <t>Senegal</t>
        </is>
      </c>
      <c r="J55" s="118" t="n"/>
      <c r="K55" s="76" t="n"/>
      <c r="L55" s="76" t="n"/>
      <c r="M55" s="76" t="n"/>
      <c r="N55" s="76" t="n"/>
      <c r="O55" s="76" t="n"/>
      <c r="P55" s="76" t="n"/>
      <c r="Q55" s="76" t="n"/>
    </row>
    <row r="56">
      <c r="B56" s="59">
        <f>VLOOKUP("Qatar",T,lang,FALSE)</f>
        <v/>
      </c>
      <c r="C56" s="66" t="n">
        <v>1454.96</v>
      </c>
      <c r="D56" s="44" t="n"/>
      <c r="F56" s="118" t="n"/>
      <c r="G56" s="118" t="n"/>
      <c r="H56" s="118" t="n"/>
      <c r="I56" s="118" t="inlineStr">
        <is>
          <t>South Africa</t>
        </is>
      </c>
      <c r="J56" s="118" t="n"/>
      <c r="K56" s="76" t="n"/>
      <c r="L56" s="76" t="n"/>
      <c r="M56" s="76" t="n"/>
      <c r="N56" s="76" t="n"/>
      <c r="O56" s="76" t="n"/>
      <c r="P56" s="76" t="n"/>
      <c r="Q56" s="76" t="n"/>
    </row>
    <row r="57">
      <c r="B57" s="59">
        <f>VLOOKUP("Iraq",T,lang,FALSE)</f>
        <v/>
      </c>
      <c r="C57" s="66" t="n">
        <v>1447.14</v>
      </c>
      <c r="D57" s="44" t="n"/>
      <c r="F57" s="118" t="n"/>
      <c r="G57" s="118" t="n"/>
      <c r="H57" s="118" t="n"/>
      <c r="I57" s="118" t="inlineStr">
        <is>
          <t>Spain</t>
        </is>
      </c>
      <c r="J57" s="118" t="n"/>
      <c r="K57" s="76" t="n"/>
      <c r="L57" s="76" t="n"/>
      <c r="M57" s="76" t="n"/>
      <c r="N57" s="76" t="n"/>
      <c r="O57" s="76" t="n"/>
      <c r="P57" s="76" t="n"/>
      <c r="Q57" s="76" t="n"/>
    </row>
    <row r="58">
      <c r="B58" s="59">
        <f>VLOOKUP("South Africa",T,lang,FALSE)</f>
        <v/>
      </c>
      <c r="C58" s="66" t="n">
        <v>1429.73</v>
      </c>
      <c r="D58" s="44" t="n"/>
      <c r="F58" s="118" t="n"/>
      <c r="G58" s="118" t="n"/>
      <c r="H58" s="118" t="n"/>
      <c r="I58" s="118" t="inlineStr">
        <is>
          <t>Sweden</t>
        </is>
      </c>
      <c r="J58" s="118" t="n"/>
      <c r="K58" s="76" t="n"/>
      <c r="L58" s="76" t="n"/>
      <c r="M58" s="76" t="n"/>
      <c r="N58" s="76" t="n"/>
      <c r="O58" s="76" t="n"/>
      <c r="P58" s="76" t="n"/>
      <c r="Q58" s="76" t="n"/>
    </row>
    <row r="59">
      <c r="B59" s="59">
        <f>VLOOKUP("Saudi Arabia",T,lang,FALSE)</f>
        <v/>
      </c>
      <c r="C59" s="66" t="n">
        <v>1421.43</v>
      </c>
      <c r="D59" s="44" t="n"/>
      <c r="F59" s="118" t="n"/>
      <c r="G59" s="118" t="n"/>
      <c r="H59" s="118" t="n"/>
      <c r="I59" s="118" t="inlineStr">
        <is>
          <t>Switzerland</t>
        </is>
      </c>
      <c r="J59" s="118" t="n"/>
      <c r="K59" s="76" t="n"/>
      <c r="L59" s="76" t="n"/>
      <c r="M59" s="76" t="n"/>
      <c r="N59" s="76" t="n"/>
      <c r="O59" s="76" t="n"/>
      <c r="P59" s="76" t="n"/>
      <c r="Q59" s="76" t="n"/>
    </row>
    <row r="60">
      <c r="B60" s="59">
        <f>VLOOKUP("Jordan",T,lang,FALSE)</f>
        <v/>
      </c>
      <c r="C60" s="66" t="n">
        <v>1391.45</v>
      </c>
      <c r="D60" s="44" t="n"/>
      <c r="F60" s="118" t="n"/>
      <c r="G60" s="118" t="n"/>
      <c r="H60" s="118" t="n"/>
      <c r="I60" s="118" t="inlineStr">
        <is>
          <t>Tunisia</t>
        </is>
      </c>
      <c r="J60" s="118" t="n"/>
      <c r="K60" s="76" t="n"/>
      <c r="L60" s="76" t="n"/>
      <c r="M60" s="76" t="n"/>
      <c r="N60" s="76" t="n"/>
      <c r="O60" s="76" t="n"/>
      <c r="P60" s="76" t="n"/>
      <c r="Q60" s="76" t="n"/>
    </row>
    <row r="61">
      <c r="B61" s="59">
        <f>VLOOKUP("Bosnia and Herzegovina",T,lang,FALSE)</f>
        <v/>
      </c>
      <c r="C61" s="66" t="n">
        <v>1385.84</v>
      </c>
      <c r="D61" s="44" t="n"/>
      <c r="F61" s="118" t="n"/>
      <c r="G61" s="118" t="n"/>
      <c r="H61" s="118" t="n"/>
      <c r="I61" s="118" t="inlineStr">
        <is>
          <t>Turkey</t>
        </is>
      </c>
      <c r="J61" s="118" t="n"/>
      <c r="K61" s="76" t="n"/>
      <c r="L61" s="76" t="n"/>
      <c r="M61" s="76" t="n"/>
      <c r="N61" s="76" t="n"/>
      <c r="O61" s="76" t="n"/>
      <c r="P61" s="76" t="n"/>
      <c r="Q61" s="76" t="n"/>
    </row>
    <row r="62">
      <c r="B62" s="59">
        <f>VLOOKUP("Cape Verde",T,lang,FALSE)</f>
        <v/>
      </c>
      <c r="C62" s="66" t="n">
        <v>1366.13</v>
      </c>
      <c r="D62" s="44" t="n"/>
      <c r="F62" s="118" t="n"/>
      <c r="G62" s="118" t="n"/>
      <c r="H62" s="118" t="n"/>
      <c r="I62" s="118" t="inlineStr">
        <is>
          <t>United States</t>
        </is>
      </c>
      <c r="J62" s="118" t="n"/>
      <c r="K62" s="76" t="n"/>
      <c r="L62" s="76" t="n"/>
      <c r="M62" s="76" t="n"/>
      <c r="N62" s="76" t="n"/>
      <c r="O62" s="76" t="n"/>
      <c r="P62" s="76" t="n"/>
      <c r="Q62" s="76" t="n"/>
    </row>
    <row r="63">
      <c r="B63" s="59">
        <f>VLOOKUP("Ghana",T,lang,FALSE)</f>
        <v/>
      </c>
      <c r="C63" s="66" t="n">
        <v>1346.31</v>
      </c>
      <c r="D63" s="44" t="n"/>
      <c r="F63" s="118" t="n"/>
      <c r="G63" s="118" t="n"/>
      <c r="H63" s="118" t="n"/>
      <c r="I63" s="118" t="inlineStr">
        <is>
          <t>Uruguay</t>
        </is>
      </c>
      <c r="J63" s="118" t="n"/>
      <c r="K63" s="76" t="n"/>
      <c r="L63" s="76" t="n"/>
      <c r="M63" s="76" t="n"/>
      <c r="N63" s="76" t="n"/>
      <c r="O63" s="76" t="n"/>
      <c r="P63" s="76" t="n"/>
      <c r="Q63" s="76" t="n"/>
    </row>
    <row r="64">
      <c r="B64" s="59">
        <f>VLOOKUP("Curaçao",T,lang,FALSE)</f>
        <v/>
      </c>
      <c r="C64" s="66" t="n">
        <v>1294.65</v>
      </c>
      <c r="D64" s="44" t="n"/>
      <c r="F64" s="118" t="n"/>
      <c r="G64" s="118" t="n"/>
      <c r="H64" s="118" t="n"/>
      <c r="I64" s="118" t="inlineStr">
        <is>
          <t>Uzbekistan</t>
        </is>
      </c>
      <c r="J64" s="118" t="n"/>
      <c r="K64" s="76" t="n"/>
      <c r="L64" s="76" t="n"/>
      <c r="M64" s="76" t="n"/>
      <c r="N64" s="76" t="n"/>
      <c r="O64" s="76" t="n"/>
      <c r="P64" s="76" t="n"/>
      <c r="Q64" s="76" t="n"/>
    </row>
    <row r="65">
      <c r="B65" s="59">
        <f>VLOOKUP("Haiti",T,lang,FALSE)</f>
        <v/>
      </c>
      <c r="C65" s="66" t="n">
        <v>1291.71</v>
      </c>
      <c r="D65" s="44" t="n"/>
      <c r="F65" s="118" t="inlineStr">
        <is>
          <t>itype</t>
        </is>
      </c>
      <c r="G65" s="118">
        <f>IF(G4="Type 2",0,1)</f>
        <v/>
      </c>
      <c r="H65" s="118" t="n"/>
      <c r="I65" s="118" t="n"/>
      <c r="J65" s="118" t="n"/>
      <c r="K65" s="76" t="n"/>
      <c r="L65" s="76" t="n"/>
      <c r="M65" s="76" t="n"/>
      <c r="N65" s="76" t="n"/>
      <c r="O65" s="76" t="n"/>
      <c r="P65" s="76" t="n"/>
      <c r="Q65" s="76" t="n"/>
    </row>
    <row r="66">
      <c r="B66" s="59">
        <f>VLOOKUP("New Zealand",T,lang,FALSE)</f>
        <v/>
      </c>
      <c r="C66" s="67" t="n">
        <v>1281.57</v>
      </c>
      <c r="D66" s="44" t="n"/>
      <c r="F66" s="76" t="n"/>
      <c r="G66" s="76" t="n"/>
      <c r="H66" s="76" t="n"/>
      <c r="I66" s="76" t="n"/>
      <c r="J66" s="76" t="n"/>
      <c r="K66" s="76" t="n"/>
      <c r="L66" s="76" t="n"/>
      <c r="M66" s="76" t="n"/>
      <c r="N66" s="76" t="n"/>
      <c r="O66" s="76" t="n"/>
      <c r="P66" s="76" t="n"/>
      <c r="Q66" s="76" t="n"/>
    </row>
    <row r="67">
      <c r="B67" s="51" t="n"/>
      <c r="C67" s="52" t="n"/>
      <c r="D67" s="53" t="n"/>
      <c r="F67" s="76" t="n"/>
      <c r="G67" s="76" t="n"/>
      <c r="H67" s="76" t="n"/>
      <c r="I67" s="76" t="n"/>
      <c r="J67" s="76" t="n"/>
      <c r="K67" s="76" t="n"/>
      <c r="L67" s="76" t="n"/>
      <c r="M67" s="76" t="n"/>
      <c r="N67" s="76" t="n"/>
      <c r="O67" s="76" t="n"/>
      <c r="P67" s="76" t="n"/>
      <c r="Q67" s="76" t="n"/>
    </row>
    <row r="68">
      <c r="F68" s="76" t="n"/>
      <c r="G68" s="76" t="n"/>
      <c r="H68" s="76" t="n"/>
      <c r="I68" s="76" t="n"/>
      <c r="J68" s="76" t="n"/>
      <c r="K68" s="76" t="n"/>
      <c r="L68" s="76" t="n"/>
      <c r="M68" s="76" t="n"/>
      <c r="N68" s="76" t="n"/>
      <c r="O68" s="76" t="n"/>
      <c r="P68" s="76" t="n"/>
      <c r="Q68" s="76" t="n"/>
    </row>
    <row r="69">
      <c r="F69" s="76" t="n"/>
      <c r="G69" s="76" t="n"/>
      <c r="H69" s="76" t="n"/>
      <c r="I69" s="76" t="n"/>
      <c r="J69" s="76" t="n"/>
      <c r="K69" s="76" t="n"/>
      <c r="L69" s="76" t="n"/>
      <c r="M69" s="76" t="n"/>
      <c r="N69" s="76" t="n"/>
      <c r="O69" s="76" t="n"/>
      <c r="P69" s="76" t="n"/>
      <c r="Q69" s="76" t="n"/>
    </row>
    <row r="70">
      <c r="F70" s="76" t="n"/>
      <c r="G70" s="76" t="n"/>
      <c r="H70" s="76" t="n"/>
      <c r="I70" s="76" t="n"/>
      <c r="J70" s="76" t="n"/>
      <c r="K70" s="76" t="n"/>
      <c r="L70" s="76" t="n"/>
      <c r="M70" s="76" t="n"/>
      <c r="N70" s="76" t="n"/>
      <c r="O70" s="76" t="n"/>
      <c r="P70" s="76" t="n"/>
      <c r="Q70" s="76" t="n"/>
    </row>
    <row r="71">
      <c r="F71" s="76" t="n"/>
      <c r="G71" s="76" t="n"/>
      <c r="H71" s="76" t="n"/>
      <c r="I71" s="76" t="n"/>
      <c r="J71" s="76" t="n"/>
      <c r="K71" s="76" t="n"/>
      <c r="L71" s="76" t="n"/>
      <c r="M71" s="76" t="n"/>
      <c r="N71" s="76" t="n"/>
      <c r="O71" s="76" t="n"/>
      <c r="P71" s="76" t="n"/>
      <c r="Q71" s="76" t="n"/>
    </row>
    <row r="72">
      <c r="F72" s="76" t="n"/>
      <c r="G72" s="76" t="n"/>
      <c r="H72" s="76" t="n"/>
      <c r="I72" s="76" t="n"/>
      <c r="J72" s="76" t="n"/>
      <c r="K72" s="76" t="n"/>
      <c r="L72" s="76" t="n"/>
      <c r="M72" s="76" t="n"/>
      <c r="N72" s="76" t="n"/>
      <c r="O72" s="76" t="n"/>
      <c r="P72" s="76" t="n"/>
      <c r="Q72" s="76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cLLhtMne1kSM6QbKQoaFMw==" formatRows="1" sort="1" spinCount="100000" hashValue="kskvAe6zVBzOc7F9qex7mcbnakd5j6ZJBXXsQEVmNo1L3lYh559YlHsl8VkAgYFdowXYjPn+M0CRrW5PS4T8BA=="/>
  <dataValidations count="6">
    <dataValidation sqref="C4" showDropDown="0" showInputMessage="1" showErrorMessage="1" allowBlank="1" promptTitle="Select Language" prompt="Use drop-down List" type="list">
      <formula1>lang_list</formula1>
    </dataValidation>
    <dataValidation sqref="C6" showDropDown="0" showInputMessage="1" showErrorMessage="1" allowBlank="1" promptTitle="Select Summer Time" prompt="Use drop-down List" type="list">
      <formula1>"Yes,No"</formula1>
    </dataValidation>
    <dataValidation sqref="C10" showDropDown="0" showInputMessage="1" showErrorMessage="1" allowBlank="1" promptTitle="Select Minutes" prompt="Use drop-down List" type="list">
      <formula1>$F$44:$F$47</formula1>
    </dataValidation>
    <dataValidation sqref="C12" showDropDown="0" showInputMessage="1" showErrorMessage="1" allowBlank="1" promptTitle="Select Your Favorite Team" prompt="Use drop-down List" type="list">
      <formula1>teams</formula1>
    </dataValidation>
    <dataValidation sqref="C8" showDropDown="0" showInputMessage="1" showErrorMessage="1" allowBlank="1" promptTitle="Select GTM-time" prompt="Use drop-down List" type="list">
      <formula1>$F$18:$F$42</formula1>
    </dataValidation>
    <dataValidation sqref="C14" showDropDown="0" showInputMessage="1" showErrorMessage="1" allowBlank="1" promptTitle="Highlight Group Matches" prompt="Include all group-stage matches for your selected team" type="list">
      <formula1>"Yes,No"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R111"/>
  <sheetViews>
    <sheetView showGridLines="0" tabSelected="1" zoomScaleNormal="100" workbookViewId="0">
      <selection activeCell="F17" sqref="F17"/>
    </sheetView>
  </sheetViews>
  <sheetFormatPr baseColWidth="10" defaultColWidth="9.1640625" defaultRowHeight="15"/>
  <cols>
    <col width="4.83203125" customWidth="1" style="3" min="1" max="1"/>
    <col width="6.1640625" customWidth="1" style="3" min="2" max="2"/>
    <col width="11.6640625" bestFit="1" customWidth="1" style="3" min="3" max="3"/>
    <col width="9" customWidth="1" style="4" min="4" max="4"/>
    <col width="22.5" customWidth="1" style="5" min="5" max="5"/>
    <col width="4.33203125" customWidth="1" style="6" min="6" max="7"/>
    <col width="22.5" customWidth="1" style="7" min="8" max="8"/>
    <col width="3.5" customWidth="1" style="2" min="9" max="9"/>
    <col width="19.5" customWidth="1" style="8" min="10" max="10"/>
    <col width="5.5" customWidth="1" style="9" min="11" max="14"/>
    <col width="7.6640625" customWidth="1" style="9" min="15" max="15"/>
    <col width="6.6640625" customWidth="1" style="9" min="16" max="16"/>
    <col width="3.5" customWidth="1" style="68" min="17" max="17"/>
    <col hidden="1" width="15.5" customWidth="1" style="123" min="18" max="18"/>
    <col hidden="1" width="16" customWidth="1" style="127" min="19" max="20"/>
    <col hidden="1" width="4" customWidth="1" style="123" min="21" max="28"/>
    <col hidden="1" width="4.33203125" customWidth="1" style="124" min="29" max="29"/>
    <col hidden="1" width="5.5" customWidth="1" style="123" min="30" max="30"/>
    <col hidden="1" width="13.5" customWidth="1" style="124" min="31" max="31"/>
    <col hidden="1" width="5.5" customWidth="1" style="123" min="32" max="36"/>
    <col hidden="1" width="6" customWidth="1" style="123" min="37" max="39"/>
    <col hidden="1" width="5.5" customWidth="1" style="123" min="40" max="40"/>
    <col hidden="1" width="6" customWidth="1" style="123" min="41" max="42"/>
    <col hidden="1" width="7.1640625" customWidth="1" style="125" min="43" max="43"/>
    <col hidden="1" width="10" customWidth="1" style="125" min="44" max="44"/>
    <col hidden="1" width="15.33203125" customWidth="1" style="125" min="45" max="45"/>
    <col hidden="1" width="4.6640625" customWidth="1" style="126" min="46" max="50"/>
    <col hidden="1" width="9.1640625" customWidth="1" style="125" min="51" max="51"/>
    <col hidden="1" width="9.1640625" customWidth="1" style="126" min="52" max="61"/>
    <col hidden="1" width="9.1640625" customWidth="1" style="112" min="62" max="62"/>
    <col width="3.33203125" customWidth="1" style="2" min="63" max="63"/>
    <col width="19.6640625" customWidth="1" style="2" min="64" max="64"/>
    <col width="3" customWidth="1" style="2" min="65" max="67"/>
    <col width="2" customWidth="1" style="111" min="68" max="69"/>
    <col width="3.33203125" customWidth="1" style="2" min="70" max="70"/>
    <col width="19.6640625" customWidth="1" style="2" min="71" max="71"/>
    <col width="3" customWidth="1" style="2" min="72" max="74"/>
    <col width="2" customWidth="1" style="111" min="75" max="76"/>
    <col width="4" customWidth="1" style="2" min="77" max="77"/>
    <col width="19.6640625" customWidth="1" style="2" min="78" max="78"/>
    <col width="3" customWidth="1" style="2" min="79" max="81"/>
    <col width="2" customWidth="1" style="111" min="82" max="83"/>
    <col width="3.83203125" customWidth="1" style="2" min="84" max="84"/>
    <col width="19.6640625" customWidth="1" style="2" min="85" max="85"/>
    <col width="3" customWidth="1" style="2" min="86" max="88"/>
    <col width="2" customWidth="1" style="111" min="89" max="90"/>
    <col width="3.6640625" customWidth="1" style="2" min="91" max="91"/>
    <col width="19.6640625" customWidth="1" style="2" min="92" max="92"/>
    <col width="3" customWidth="1" style="2" min="93" max="95"/>
    <col width="2" customWidth="1" style="111" min="96" max="96"/>
    <col width="9.1640625" customWidth="1" style="2" min="97" max="16384"/>
  </cols>
  <sheetData>
    <row r="1" ht="47" customHeight="1">
      <c r="A1" s="150">
        <f t="array" ref="A1">INDEX(T,2,lang)</f>
        <v/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S1" s="123" t="n"/>
      <c r="T1" s="123" t="n"/>
      <c r="AC1" s="123" t="n"/>
      <c r="AE1" s="123" t="n"/>
      <c r="AG1" s="124" t="n"/>
      <c r="AH1" s="124" t="n"/>
      <c r="AI1" s="124" t="n"/>
      <c r="AO1" s="124" t="n"/>
      <c r="AP1" s="124" t="n"/>
      <c r="AT1" s="125" t="n"/>
      <c r="AU1" s="125" t="n"/>
      <c r="AV1" s="125" t="n"/>
      <c r="AW1" s="125" t="n"/>
      <c r="AX1" s="125" t="n"/>
    </row>
    <row r="2" ht="3" customHeight="1">
      <c r="S2" s="123" t="n"/>
      <c r="T2" s="123" t="n"/>
      <c r="AC2" s="123" t="n"/>
      <c r="AE2" s="123" t="n"/>
      <c r="AG2" s="124" t="n"/>
      <c r="AH2" s="124" t="n"/>
      <c r="AI2" s="124" t="n"/>
      <c r="AO2" s="124" t="n"/>
      <c r="AP2" s="124" t="n"/>
      <c r="AT2" s="125" t="n"/>
      <c r="AU2" s="125" t="n"/>
      <c r="AV2" s="125" t="n"/>
      <c r="AW2" s="125" t="n"/>
      <c r="AX2" s="125" t="n"/>
    </row>
    <row r="3" ht="12.75" customHeight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51">
        <f>"Language: " &amp; Settings!C4</f>
        <v/>
      </c>
      <c r="P3" s="10" t="n"/>
      <c r="S3" s="123" t="n"/>
      <c r="T3" s="123" t="n"/>
      <c r="AC3" s="123" t="n"/>
      <c r="AE3" s="123" t="n"/>
      <c r="AG3" s="124" t="n"/>
      <c r="AH3" s="124" t="n"/>
      <c r="AI3" s="124" t="n"/>
      <c r="AO3" s="124" t="n"/>
      <c r="AP3" s="124" t="n"/>
      <c r="AT3" s="125" t="n"/>
      <c r="AU3" s="125" t="n"/>
      <c r="AV3" s="125" t="n"/>
      <c r="AW3" s="125" t="n"/>
      <c r="AX3" s="125" t="n"/>
    </row>
    <row r="4" ht="3" customHeight="1"/>
    <row r="5">
      <c r="A5" s="164">
        <f t="array" ref="A5">INDEX(T,3,lang)</f>
        <v/>
      </c>
      <c r="B5" s="165" t="n"/>
      <c r="C5" s="165" t="n"/>
      <c r="D5" s="165" t="n"/>
      <c r="E5" s="165" t="n"/>
      <c r="F5" s="165" t="n"/>
      <c r="G5" s="165" t="n"/>
      <c r="H5" s="166" t="n"/>
      <c r="J5" s="167" t="inlineStr">
        <is>
          <t>Home Page: www.excely.com</t>
        </is>
      </c>
      <c r="K5" s="165" t="n"/>
      <c r="L5" s="165" t="n"/>
      <c r="M5" s="165" t="n"/>
      <c r="N5" s="165" t="n"/>
      <c r="O5" s="165" t="n"/>
      <c r="P5" s="168" t="n"/>
    </row>
    <row r="6" ht="15" customHeight="1">
      <c r="A6" s="169" t="n"/>
      <c r="B6" s="170" t="n"/>
      <c r="C6" s="170" t="n"/>
      <c r="D6" s="170" t="n"/>
      <c r="E6" s="170" t="n"/>
      <c r="F6" s="170" t="n"/>
      <c r="G6" s="170" t="n"/>
      <c r="H6" s="171" t="n"/>
      <c r="J6" s="169" t="n"/>
      <c r="K6" s="170" t="n"/>
      <c r="L6" s="170" t="n"/>
      <c r="M6" s="170" t="n"/>
      <c r="N6" s="170" t="n"/>
      <c r="O6" s="170" t="n"/>
      <c r="P6" s="172" t="n"/>
      <c r="R6" s="123" t="inlineStr">
        <is>
          <t>Date + Time + GMT</t>
        </is>
      </c>
      <c r="V6" s="123" t="inlineStr">
        <is>
          <t>GF</t>
        </is>
      </c>
      <c r="W6" s="123" t="inlineStr">
        <is>
          <t>GA</t>
        </is>
      </c>
      <c r="Y6" s="123" t="inlineStr">
        <is>
          <t>GF</t>
        </is>
      </c>
      <c r="Z6" s="123" t="inlineStr">
        <is>
          <t>GA</t>
        </is>
      </c>
      <c r="AA6" s="123">
        <f>IF(Settings!C14="Yes",INT(MATCH(my_team,$AE$8:$AE$78,0)/6),-1)</f>
        <v/>
      </c>
      <c r="AD6" s="123" t="inlineStr">
        <is>
          <t>Place</t>
        </is>
      </c>
      <c r="AE6" s="123" t="inlineStr">
        <is>
          <t>Team</t>
        </is>
      </c>
      <c r="AF6" s="123" t="inlineStr">
        <is>
          <t>W</t>
        </is>
      </c>
      <c r="AG6" s="123" t="inlineStr">
        <is>
          <t>D</t>
        </is>
      </c>
      <c r="AH6" s="123" t="inlineStr">
        <is>
          <t>L</t>
        </is>
      </c>
      <c r="AI6" s="123" t="inlineStr">
        <is>
          <t>GF</t>
        </is>
      </c>
      <c r="AJ6" s="123" t="inlineStr">
        <is>
          <t>GA</t>
        </is>
      </c>
      <c r="AL6" s="123" t="inlineStr">
        <is>
          <t>F-A</t>
        </is>
      </c>
      <c r="AM6" s="123" t="inlineStr">
        <is>
          <t>F-A (norm)</t>
        </is>
      </c>
      <c r="AN6" s="123" t="inlineStr">
        <is>
          <t>Pnt</t>
        </is>
      </c>
      <c r="AO6" s="123" t="inlineStr">
        <is>
          <t>R1</t>
        </is>
      </c>
      <c r="AP6" s="123" t="inlineStr">
        <is>
          <t>R2</t>
        </is>
      </c>
      <c r="AQ6" s="126" t="inlineStr">
        <is>
          <t>FIFA</t>
        </is>
      </c>
      <c r="AR6" s="126" t="inlineStr">
        <is>
          <t>Rank</t>
        </is>
      </c>
      <c r="AT6" s="126" t="inlineStr">
        <is>
          <t>W</t>
        </is>
      </c>
      <c r="AU6" s="126" t="inlineStr">
        <is>
          <t>D</t>
        </is>
      </c>
      <c r="AV6" s="126" t="inlineStr">
        <is>
          <t>GF</t>
        </is>
      </c>
      <c r="AW6" s="126" t="inlineStr">
        <is>
          <t>GA</t>
        </is>
      </c>
      <c r="AX6" s="126" t="inlineStr">
        <is>
          <t>F-A</t>
        </is>
      </c>
      <c r="AY6" s="126" t="inlineStr">
        <is>
          <t>F-A (norm)</t>
        </is>
      </c>
      <c r="AZ6" s="126" t="inlineStr">
        <is>
          <t>Rank</t>
        </is>
      </c>
      <c r="BA6" s="128" t="inlineStr">
        <is>
          <t>R (norm)</t>
        </is>
      </c>
      <c r="BB6" s="128" t="inlineStr">
        <is>
          <t>W</t>
        </is>
      </c>
      <c r="BC6" s="128" t="inlineStr">
        <is>
          <t>D</t>
        </is>
      </c>
      <c r="BD6" s="128" t="inlineStr">
        <is>
          <t>GF</t>
        </is>
      </c>
      <c r="BE6" s="128" t="inlineStr">
        <is>
          <t>GA</t>
        </is>
      </c>
      <c r="BF6" s="128" t="inlineStr">
        <is>
          <t>F-A</t>
        </is>
      </c>
      <c r="BG6" s="128" t="inlineStr">
        <is>
          <t>F-A (norm)</t>
        </is>
      </c>
      <c r="BH6" s="128" t="inlineStr">
        <is>
          <t>Rank</t>
        </is>
      </c>
      <c r="BI6" s="128" t="inlineStr">
        <is>
          <t>R (norm)</t>
        </is>
      </c>
      <c r="BK6" s="173" t="inlineStr">
        <is>
          <t>Round of 32</t>
        </is>
      </c>
      <c r="BL6" s="174" t="n"/>
      <c r="BM6" s="174" t="n"/>
      <c r="BN6" s="174" t="n"/>
      <c r="BO6" s="175" t="n"/>
      <c r="BR6" s="173">
        <f t="array" ref="BR6">INDEX(T,4,lang)</f>
        <v/>
      </c>
      <c r="BS6" s="174" t="n"/>
      <c r="BT6" s="174" t="n"/>
      <c r="BU6" s="174" t="n"/>
      <c r="BV6" s="175" t="n"/>
      <c r="BY6" s="173">
        <f t="array" ref="BY6">INDEX(T,5,lang)</f>
        <v/>
      </c>
      <c r="BZ6" s="174" t="n"/>
      <c r="CA6" s="174" t="n"/>
      <c r="CB6" s="174" t="n"/>
      <c r="CC6" s="175" t="n"/>
      <c r="CF6" s="173">
        <f t="array" ref="CF6">INDEX(T,6,lang)</f>
        <v/>
      </c>
      <c r="CG6" s="174" t="n"/>
      <c r="CH6" s="174" t="n"/>
      <c r="CI6" s="174" t="n"/>
      <c r="CJ6" s="175" t="n"/>
    </row>
    <row r="7" ht="15" customHeight="1">
      <c r="A7" s="11" t="n">
        <v>1</v>
      </c>
      <c r="B7" s="12">
        <f t="array" ref="B7">INDEX(T,18+INT(MOD(R7-1,7)),lang)</f>
        <v/>
      </c>
      <c r="C7" s="13">
        <f t="array" ref="C7">INDEX(T,24+MONTH(R7),lang) &amp; " " &amp; DAY(R7) &amp; ", " &amp; YEAR(R7)</f>
        <v/>
      </c>
      <c r="D7" s="119">
        <f>TIME(HOUR(R7),MINUTE(R7),0)</f>
        <v/>
      </c>
      <c r="E7" s="77">
        <f>AE8</f>
        <v/>
      </c>
      <c r="F7" s="14" t="n">
        <v>3</v>
      </c>
      <c r="G7" s="15" t="n">
        <v>1</v>
      </c>
      <c r="H7" s="79">
        <f>AE9</f>
        <v/>
      </c>
      <c r="R7" s="123">
        <f>DATE(2026,6,11)+TIME(8,0,0)+gmt_delta</f>
        <v/>
      </c>
      <c r="S7" s="127">
        <f>IF(OR(F7="",G7=""),"",IF(F7&gt;G7,E7&amp;"_win",IF(F7&lt;G7,E7&amp;"_lose",E7&amp;"_draw")))</f>
        <v/>
      </c>
      <c r="T7" s="127">
        <f>IF(S7="","",IF(F7&lt;G7,H7&amp;"_win",IF(F7&gt;G7,H7&amp;"_lose",H7&amp;"_draw")))</f>
        <v/>
      </c>
      <c r="U7" s="123">
        <f>IF(S7="",0,IF(VLOOKUP(E7,$AE$8:$AN$77,10,FALSE)=VLOOKUP(H7,$AE$8:$AN$77,10,FALSE),1,0))</f>
        <v/>
      </c>
      <c r="V7" s="123">
        <f>U7*F7</f>
        <v/>
      </c>
      <c r="W7" s="123">
        <f>U7*G7</f>
        <v/>
      </c>
      <c r="X7" s="123">
        <f>IF(S7="",0,IF(VLOOKUP(E7,$AE$8:$AO$77,11,FALSE)=VLOOKUP(H7,$AE$8:$AO$77,11,FALSE),1,0))</f>
        <v/>
      </c>
      <c r="Y7" s="123">
        <f>X7*F7</f>
        <v/>
      </c>
      <c r="Z7" s="123">
        <f>X7*G7</f>
        <v/>
      </c>
      <c r="AA7" s="123">
        <f>IF(OR(E7=my_team,H7=my_team),1,IF(INT(MATCH(E7,$AE$8:$AE$78,0)/6)=$AA$6,1,0))</f>
        <v/>
      </c>
      <c r="AB7" s="123">
        <f>IF(OR(F7="",G7=""),"",IF(F7&gt;G7,1,IF(F7&lt;G7,-1,0)))</f>
        <v/>
      </c>
      <c r="AY7" s="126" t="n"/>
      <c r="BK7" s="176" t="n"/>
      <c r="BL7" s="177" t="n"/>
      <c r="BM7" s="177" t="n"/>
      <c r="BN7" s="177" t="n"/>
      <c r="BO7" s="178" t="n"/>
      <c r="BR7" s="176" t="n"/>
      <c r="BS7" s="177" t="n"/>
      <c r="BT7" s="177" t="n"/>
      <c r="BU7" s="177" t="n"/>
      <c r="BV7" s="178" t="n"/>
      <c r="BY7" s="176" t="n"/>
      <c r="BZ7" s="177" t="n"/>
      <c r="CA7" s="177" t="n"/>
      <c r="CB7" s="177" t="n"/>
      <c r="CC7" s="178" t="n"/>
      <c r="CF7" s="176" t="n"/>
      <c r="CG7" s="177" t="n"/>
      <c r="CH7" s="177" t="n"/>
      <c r="CI7" s="177" t="n"/>
      <c r="CJ7" s="178" t="n"/>
    </row>
    <row r="8">
      <c r="A8" s="16" t="n">
        <v>2</v>
      </c>
      <c r="B8" s="17">
        <f t="array" ref="B8">INDEX(T,18+INT(MOD(R8-1,7)),lang)</f>
        <v/>
      </c>
      <c r="C8" s="18">
        <f t="array" ref="C8">INDEX(T,24+MONTH(R8),lang) &amp; " " &amp; DAY(R8) &amp; ", " &amp; YEAR(R8)</f>
        <v/>
      </c>
      <c r="D8" s="120">
        <f>TIME(HOUR(R8),MINUTE(R8),0)</f>
        <v/>
      </c>
      <c r="E8" s="78">
        <f>AE10</f>
        <v/>
      </c>
      <c r="F8" s="19" t="n">
        <v>2</v>
      </c>
      <c r="G8" s="20" t="n">
        <v>1</v>
      </c>
      <c r="H8" s="80">
        <f>AE11</f>
        <v/>
      </c>
      <c r="J8" s="38">
        <f t="array" ref="J8">INDEX(T,9,lang) &amp; " " &amp; "A"</f>
        <v/>
      </c>
      <c r="K8" s="94">
        <f t="array" ref="K8">INDEX(T,10,lang)</f>
        <v/>
      </c>
      <c r="L8" s="94">
        <f t="array" ref="L8">INDEX(T,11,lang)</f>
        <v/>
      </c>
      <c r="M8" s="94">
        <f t="array" ref="M8">INDEX(T,12,lang)</f>
        <v/>
      </c>
      <c r="N8" s="94">
        <f t="array" ref="N8">INDEX(T,13,lang)</f>
        <v/>
      </c>
      <c r="O8" s="94">
        <f t="array" ref="O8">INDEX(T,14,lang)</f>
        <v/>
      </c>
      <c r="P8" s="95">
        <f t="array" ref="P8">INDEX(T,15,lang)</f>
        <v/>
      </c>
      <c r="R8" s="123">
        <f>DATE(2026,6,11)+TIME(15,0,0)+gmt_delta</f>
        <v/>
      </c>
      <c r="S8" s="127">
        <f>IF(OR(F8="",G8=""),"",IF(F8&gt;G8,E8&amp;"_win",IF(F8&lt;G8,E8&amp;"_lose",E8&amp;"_draw")))</f>
        <v/>
      </c>
      <c r="T8" s="127">
        <f>IF(S8="","",IF(F8&lt;G8,H8&amp;"_win",IF(F8&gt;G8,H8&amp;"_lose",H8&amp;"_draw")))</f>
        <v/>
      </c>
      <c r="U8" s="123">
        <f>IF(S8="",0,IF(VLOOKUP(E8,$AE$8:$AN$77,10,FALSE)=VLOOKUP(H8,$AE$8:$AN$77,10,FALSE),1,0))</f>
        <v/>
      </c>
      <c r="V8" s="123">
        <f>U8*F8</f>
        <v/>
      </c>
      <c r="W8" s="123">
        <f>U8*G8</f>
        <v/>
      </c>
      <c r="X8" s="123">
        <f>IF(S8="",0,IF(VLOOKUP(E8,$AE$8:$AO$77,11,FALSE)=VLOOKUP(H8,$AE$8:$AO$77,11,FALSE),1,0))</f>
        <v/>
      </c>
      <c r="Y8" s="123">
        <f>X8*F8</f>
        <v/>
      </c>
      <c r="Z8" s="123">
        <f>X8*G8</f>
        <v/>
      </c>
      <c r="AA8" s="123">
        <f>IF(OR(E8=my_team,H8=my_team),1,IF(INT(MATCH(E8,$AE$8:$AE$78,0)/6)=$AA$6,1,0))</f>
        <v/>
      </c>
      <c r="AB8" s="123">
        <f>IF(OR(F8="",G8=""),"",IF(F8&gt;G8,1,IF(F8&lt;G8,-1,0)))</f>
        <v/>
      </c>
      <c r="AD8" s="123">
        <f>COUNTIF(AR8:AR11,CONCATENATE("&gt;=",AR8))</f>
        <v/>
      </c>
      <c r="AE8" s="124">
        <f>VLOOKUP("Mexico",T,lang,FALSE)</f>
        <v/>
      </c>
      <c r="AF8" s="123">
        <f>COUNTIF($S$7:$T$78,"=" &amp; AE8 &amp; "_win")</f>
        <v/>
      </c>
      <c r="AG8" s="123">
        <f>COUNTIF($S$7:$T$78,"=" &amp; AE8 &amp; "_draw")</f>
        <v/>
      </c>
      <c r="AH8" s="123">
        <f>COUNTIF($S$7:$T$78,"=" &amp; AE8 &amp; "_lose")</f>
        <v/>
      </c>
      <c r="AI8" s="123">
        <f>SUMIF($E$7:$E$78,$AE8,$F$7:$F$78) + SUMIF($H$7:$H$78,$AE8,$G$7:$G$78)</f>
        <v/>
      </c>
      <c r="AJ8" s="123">
        <f>SUMIF($E$7:$E$78,$AE8,$G$7:$G$78) + SUMIF($H$7:$H$78,$AE8,$F$7:$F$78)</f>
        <v/>
      </c>
      <c r="AL8" s="123">
        <f>AI8-AJ8</f>
        <v/>
      </c>
      <c r="AM8" s="123">
        <f>AL8-AL12</f>
        <v/>
      </c>
      <c r="AN8" s="123">
        <f>AF8*3+AG8</f>
        <v/>
      </c>
      <c r="AO8" s="123">
        <f>AN8/AN12*10+BA8</f>
        <v/>
      </c>
      <c r="AP8" s="123">
        <f>AO8*10000000+BI8*100+AM8/AM12*10+AI8/AI12*1++IF(AQ8=0,ROW(),AQ8)/2000000</f>
        <v/>
      </c>
      <c r="AQ8" s="126">
        <f>VLOOKUP(AE8,db_fifarank,2,FALSE)</f>
        <v/>
      </c>
      <c r="AR8" s="125">
        <f>AP8/AP12</f>
        <v/>
      </c>
      <c r="AS8" s="125">
        <f>IF(SUM(AF8:AH11)=12,J9,"1A")</f>
        <v/>
      </c>
      <c r="AT8" s="126">
        <f t="array" ref="AT8">SUMPRODUCT(($S$7:$S$78=AE8&amp;"_win")*($U$7:$U$78))+SUMPRODUCT(($T$7:$T$78=AE8&amp;"_win")*($U$7:$U$78))</f>
        <v/>
      </c>
      <c r="AU8" s="126">
        <f t="array" ref="AU8">SUMPRODUCT(($S$7:$S$78=AE8&amp;"_draw")*($U$7:$U$78))+SUMPRODUCT(($T$7:$T$78=AE8&amp;"_draw")*($U$7:$U$78))</f>
        <v/>
      </c>
      <c r="AV8" s="126">
        <f t="array" ref="AV8">SUMPRODUCT(($E$7:$E$78=AE8)*($U$7:$U$78)*($F$7:$F$78))+SUMPRODUCT(($H$7:$H$78=AE8)*($U$7:$U$78)*($G$7:$G$78))</f>
        <v/>
      </c>
      <c r="AW8" s="126">
        <f t="array" ref="AW8">SUMPRODUCT(($E$7:$E$78=AE8)*($U$7:$U$78)*($G$7:$G$78))+SUMPRODUCT(($H$7:$H$78=AE8)*($U$7:$U$78)*($F$7:$F$78))</f>
        <v/>
      </c>
      <c r="AX8" s="126">
        <f>AV8-AW8</f>
        <v/>
      </c>
      <c r="AY8" s="126">
        <f>AX8-MIN(AX8:AX11)</f>
        <v/>
      </c>
      <c r="AZ8" s="126">
        <f>AT8/AT12*1000+AU8/AU12*100+AY8/AY12*10+AV8/AV12</f>
        <v/>
      </c>
      <c r="BA8" s="126">
        <f>AZ8/AZ12</f>
        <v/>
      </c>
      <c r="BB8" s="126">
        <f t="array" ref="BB8">SUMPRODUCT(($S$7:$S$78=AE8&amp;"_win")*($X$7:$X$78))+SUMPRODUCT(($T$7:$T$78=AE8&amp;"_win")*($X$7:$X$78))</f>
        <v/>
      </c>
      <c r="BC8" s="126">
        <f t="array" ref="BC8">SUMPRODUCT(($S$7:$S$78=AE8&amp;"_draw")*($X$7:$X$78))+SUMPRODUCT(($T$7:$T$78=AE8&amp;"_draw")*($X$7:$X$78))</f>
        <v/>
      </c>
      <c r="BD8" s="126">
        <f t="array" ref="BD8">SUMPRODUCT(($E$7:$E$78=AE8)*($X$7:$X$78)*($F$7:$F$78))+SUMPRODUCT(($H$7:$H$78=AE8)*($X$7:$X$78)*($G$7:$G$78))</f>
        <v/>
      </c>
      <c r="BE8" s="126">
        <f t="array" ref="BE8">SUMPRODUCT(($E$7:$E$78=AE8)*($X$7:$X$78)*($G$7:$G$78))+SUMPRODUCT(($H$7:$H$78=AE8)*($X$7:$X$78)*($F$7:$F$78))</f>
        <v/>
      </c>
      <c r="BF8" s="126">
        <f>BD8-BE8</f>
        <v/>
      </c>
      <c r="BG8" s="126">
        <f>BF8-MIN(BF8:BF11)</f>
        <v/>
      </c>
      <c r="BH8" s="126">
        <f>BB8/BB12*1000+BC8/BC12*100+BG8/BG12*10+BD8/BD12</f>
        <v/>
      </c>
      <c r="BI8" s="126">
        <f>BH8/BH12</f>
        <v/>
      </c>
      <c r="BS8" s="21" t="n"/>
      <c r="BT8" s="21" t="n"/>
      <c r="BU8" s="21" t="n"/>
      <c r="BZ8" s="21" t="n"/>
      <c r="CA8" s="21" t="n"/>
      <c r="CB8" s="21" t="n"/>
      <c r="CC8" s="21" t="n"/>
      <c r="CD8" s="112" t="n"/>
      <c r="CE8" s="112" t="n"/>
      <c r="CF8" s="21" t="n"/>
      <c r="CG8" s="21" t="n"/>
      <c r="CH8" s="21" t="n"/>
      <c r="CI8" s="21" t="n"/>
      <c r="CJ8" s="21" t="n"/>
      <c r="CL8" s="112" t="n"/>
      <c r="CM8" s="21" t="n"/>
      <c r="CN8" s="21" t="n"/>
      <c r="CO8" s="21" t="n"/>
      <c r="CP8" s="21" t="n"/>
      <c r="CQ8" s="21" t="n"/>
    </row>
    <row r="9">
      <c r="A9" s="16" t="n">
        <v>3</v>
      </c>
      <c r="B9" s="17">
        <f t="array" ref="B9">INDEX(T,18+INT(MOD(R9-1,7)),lang)</f>
        <v/>
      </c>
      <c r="C9" s="18">
        <f t="array" ref="C9">INDEX(T,24+MONTH(R9),lang) &amp; " " &amp; DAY(R9) &amp; ", " &amp; YEAR(R9)</f>
        <v/>
      </c>
      <c r="D9" s="120">
        <f>TIME(HOUR(R9),MINUTE(R9),0)</f>
        <v/>
      </c>
      <c r="E9" s="78">
        <f>AE14</f>
        <v/>
      </c>
      <c r="F9" s="19" t="n">
        <v>2</v>
      </c>
      <c r="G9" s="20" t="n">
        <v>0</v>
      </c>
      <c r="H9" s="80">
        <f>AE15</f>
        <v/>
      </c>
      <c r="J9" s="30">
        <f>VLOOKUP(1,AD8:AN11,2,FALSE)</f>
        <v/>
      </c>
      <c r="K9" s="31">
        <f>L9+M9+N9</f>
        <v/>
      </c>
      <c r="L9" s="31">
        <f>VLOOKUP(1,AD8:AN11,3,FALSE)</f>
        <v/>
      </c>
      <c r="M9" s="31">
        <f>VLOOKUP(1,AD8:AN11,4,FALSE)</f>
        <v/>
      </c>
      <c r="N9" s="31">
        <f>VLOOKUP(1,AD8:AN11,5,FALSE)</f>
        <v/>
      </c>
      <c r="O9" s="31">
        <f>VLOOKUP(1,AD8:AN11,6,FALSE) &amp; " - " &amp; VLOOKUP(1,AD8:AN11,7,FALSE)</f>
        <v/>
      </c>
      <c r="P9" s="32">
        <f>L9*3+M9</f>
        <v/>
      </c>
      <c r="R9" s="123">
        <f>DATE(2026,6,12)+TIME(8,0,0)+gmt_delta</f>
        <v/>
      </c>
      <c r="S9" s="127">
        <f>IF(OR(F9="",G9=""),"",IF(F9&gt;G9,E9&amp;"_win",IF(F9&lt;G9,E9&amp;"_lose",E9&amp;"_draw")))</f>
        <v/>
      </c>
      <c r="T9" s="127">
        <f>IF(S9="","",IF(F9&lt;G9,H9&amp;"_win",IF(F9&gt;G9,H9&amp;"_lose",H9&amp;"_draw")))</f>
        <v/>
      </c>
      <c r="U9" s="123">
        <f>IF(S9="",0,IF(VLOOKUP(E9,$AE$8:$AN$77,10,FALSE)=VLOOKUP(H9,$AE$8:$AN$77,10,FALSE),1,0))</f>
        <v/>
      </c>
      <c r="V9" s="123">
        <f>U9*F9</f>
        <v/>
      </c>
      <c r="W9" s="123">
        <f>U9*G9</f>
        <v/>
      </c>
      <c r="X9" s="123">
        <f>IF(S9="",0,IF(VLOOKUP(E9,$AE$8:$AO$77,11,FALSE)=VLOOKUP(H9,$AE$8:$AO$77,11,FALSE),1,0))</f>
        <v/>
      </c>
      <c r="Y9" s="123">
        <f>X9*F9</f>
        <v/>
      </c>
      <c r="Z9" s="123">
        <f>X9*G9</f>
        <v/>
      </c>
      <c r="AA9" s="123">
        <f>IF(OR(E9=my_team,H9=my_team),1,IF(INT(MATCH(E9,$AE$8:$AE$78,0)/6)=$AA$6,1,0))</f>
        <v/>
      </c>
      <c r="AB9" s="123">
        <f>IF(OR(F9="",G9=""),"",IF(F9&gt;G9,1,IF(F9&lt;G9,-1,0)))</f>
        <v/>
      </c>
      <c r="AD9" s="123">
        <f>COUNTIF(AR8:AR11,CONCATENATE("&gt;=",AR9))</f>
        <v/>
      </c>
      <c r="AE9" s="124">
        <f>VLOOKUP("South Africa",T,lang,FALSE)</f>
        <v/>
      </c>
      <c r="AF9" s="123">
        <f>COUNTIF($S$7:$T$78,"=" &amp; AE9 &amp; "_win")</f>
        <v/>
      </c>
      <c r="AG9" s="123">
        <f>COUNTIF($S$7:$T$78,"=" &amp; AE9 &amp; "_draw")</f>
        <v/>
      </c>
      <c r="AH9" s="123">
        <f>COUNTIF($S$7:$T$78,"=" &amp; AE9 &amp; "_lose")</f>
        <v/>
      </c>
      <c r="AI9" s="123">
        <f>SUMIF($E$7:$E$78,$AE9,$F$7:$F$78) + SUMIF($H$7:$H$78,$AE9,$G$7:$G$78)</f>
        <v/>
      </c>
      <c r="AJ9" s="123">
        <f>SUMIF($E$7:$E$78,$AE9,$G$7:$G$78) + SUMIF($H$7:$H$78,$AE9,$F$7:$F$78)</f>
        <v/>
      </c>
      <c r="AL9" s="123">
        <f>AI9-AJ9</f>
        <v/>
      </c>
      <c r="AM9" s="123">
        <f>AL9-AL12</f>
        <v/>
      </c>
      <c r="AN9" s="123">
        <f>AF9*3+AG9</f>
        <v/>
      </c>
      <c r="AO9" s="123">
        <f>AN9/AN12*10+BA9</f>
        <v/>
      </c>
      <c r="AP9" s="123">
        <f>AO9*10000000+BI9*100+AM9/AM12*10+AI9/AI12*1++IF(AQ9=0,ROW(),AQ9)/2000000</f>
        <v/>
      </c>
      <c r="AQ9" s="126">
        <f>VLOOKUP(AE9,db_fifarank,2,FALSE)</f>
        <v/>
      </c>
      <c r="AR9" s="125">
        <f>AP9/AP12</f>
        <v/>
      </c>
      <c r="AS9" s="125">
        <f>IF(SUM(AF8:AH11)=12,J10,"2A")</f>
        <v/>
      </c>
      <c r="AT9" s="126">
        <f t="array" ref="AT9">SUMPRODUCT(($S$7:$S$78=AE9&amp;"_win")*($U$7:$U$78))+SUMPRODUCT(($T$7:$T$78=AE9&amp;"_win")*($U$7:$U$78))</f>
        <v/>
      </c>
      <c r="AU9" s="126">
        <f t="array" ref="AU9">SUMPRODUCT(($S$7:$S$78=AE9&amp;"_draw")*($U$7:$U$78))+SUMPRODUCT(($T$7:$T$78=AE9&amp;"_draw")*($U$7:$U$78))</f>
        <v/>
      </c>
      <c r="AV9" s="126">
        <f t="array" ref="AV9">SUMPRODUCT(($E$7:$E$78=AE9)*($U$7:$U$78)*($F$7:$F$78))+SUMPRODUCT(($H$7:$H$78=AE9)*($U$7:$U$78)*($G$7:$G$78))</f>
        <v/>
      </c>
      <c r="AW9" s="126">
        <f t="array" ref="AW9">SUMPRODUCT(($E$7:$E$78=AE9)*($U$7:$U$78)*($G$7:$G$78))+SUMPRODUCT(($H$7:$H$78=AE9)*($U$7:$U$78)*($F$7:$F$78))</f>
        <v/>
      </c>
      <c r="AX9" s="126">
        <f>AV9-AW9</f>
        <v/>
      </c>
      <c r="AY9" s="126">
        <f>AX9-MIN(AX8:AX11)</f>
        <v/>
      </c>
      <c r="AZ9" s="126">
        <f>AT9/AT12*1000+AU9/AU12*100+AY9/AY12*10+AV9/AV12</f>
        <v/>
      </c>
      <c r="BA9" s="126">
        <f>AZ9/AZ12</f>
        <v/>
      </c>
      <c r="BB9" s="126">
        <f t="array" ref="BB9">SUMPRODUCT(($S$7:$S$78=AE9&amp;"_win")*($X$7:$X$78))+SUMPRODUCT(($T$7:$T$78=AE9&amp;"_win")*($X$7:$X$78))</f>
        <v/>
      </c>
      <c r="BC9" s="126">
        <f t="array" ref="BC9">SUMPRODUCT(($S$7:$S$78=AE9&amp;"_draw")*($X$7:$X$78))+SUMPRODUCT(($T$7:$T$78=AE9&amp;"_draw")*($X$7:$X$78))</f>
        <v/>
      </c>
      <c r="BD9" s="126">
        <f t="array" ref="BD9">SUMPRODUCT(($E$7:$E$78=AE9)*($X$7:$X$78)*($F$7:$F$78))+SUMPRODUCT(($H$7:$H$78=AE9)*($X$7:$X$78)*($G$7:$G$78))</f>
        <v/>
      </c>
      <c r="BE9" s="126">
        <f t="array" ref="BE9">SUMPRODUCT(($E$7:$E$78=AE9)*($X$7:$X$78)*($G$7:$G$78))+SUMPRODUCT(($H$7:$H$78=AE9)*($X$7:$X$78)*($F$7:$F$78))</f>
        <v/>
      </c>
      <c r="BF9" s="126">
        <f>BD9-BE9</f>
        <v/>
      </c>
      <c r="BG9" s="126">
        <f>BF9-MIN(BF8:BF11)</f>
        <v/>
      </c>
      <c r="BH9" s="126">
        <f>BB9/BB12*1000+BC9/BC12*100+BG9/BG12*10+BD9/BD12</f>
        <v/>
      </c>
      <c r="BI9" s="126">
        <f>BH9/BH12</f>
        <v/>
      </c>
      <c r="BK9" s="21">
        <f t="array" ref="BK9">INDEX(T,24+MONTH(BP9),lang) &amp; " " &amp; DAY(BP9) &amp; ", " &amp; YEAR(BP9) &amp; "   " &amp; (IF(HOUR(BP9)&lt;10,0,"")&amp;HOUR(BP9)) &amp; ":" &amp;  (IF(MINUTE(BP9)&lt;10,0,"")&amp;MINUTE(BP9))</f>
        <v/>
      </c>
      <c r="BL9" s="21" t="n"/>
      <c r="BM9" s="21" t="n"/>
      <c r="BN9" s="21" t="n"/>
      <c r="BO9" s="110" t="n"/>
      <c r="BP9" s="112">
        <f>DATE(2026,6,29)+TIME(9,30,0)+gmt_delta</f>
        <v/>
      </c>
      <c r="BQ9" s="112" t="n"/>
      <c r="BR9" s="21" t="n"/>
      <c r="BS9" s="21" t="n"/>
      <c r="BT9" s="21" t="n"/>
      <c r="BU9" s="21" t="n"/>
      <c r="BV9" s="21" t="n"/>
      <c r="BW9" s="112" t="n"/>
      <c r="BX9" s="112" t="n"/>
      <c r="BY9" s="21" t="n"/>
      <c r="BZ9" s="21" t="n"/>
      <c r="CA9" s="21" t="n"/>
      <c r="CB9" s="21" t="n"/>
      <c r="CC9" s="21" t="n"/>
      <c r="CD9" s="112" t="n"/>
      <c r="CE9" s="112" t="n"/>
      <c r="CF9" s="21" t="n"/>
      <c r="CG9" s="21" t="n"/>
      <c r="CH9" s="21" t="n"/>
      <c r="CI9" s="21" t="n"/>
      <c r="CJ9" s="21" t="n"/>
      <c r="CL9" s="112" t="n"/>
      <c r="CM9" s="21" t="n"/>
      <c r="CN9" s="21" t="n"/>
      <c r="CO9" s="21" t="n"/>
      <c r="CP9" s="21" t="n"/>
      <c r="CQ9" s="21" t="n"/>
    </row>
    <row r="10">
      <c r="A10" s="16" t="n">
        <v>4</v>
      </c>
      <c r="B10" s="17">
        <f t="array" ref="B10">INDEX(T,18+INT(MOD(R10-1,7)),lang)</f>
        <v/>
      </c>
      <c r="C10" s="18">
        <f t="array" ref="C10">INDEX(T,24+MONTH(R10),lang) &amp; " " &amp; DAY(R10) &amp; ", " &amp; YEAR(R10)</f>
        <v/>
      </c>
      <c r="D10" s="120">
        <f>TIME(HOUR(R10),MINUTE(R10),0)</f>
        <v/>
      </c>
      <c r="E10" s="78">
        <f>AE26</f>
        <v/>
      </c>
      <c r="F10" s="19" t="n">
        <v>2</v>
      </c>
      <c r="G10" s="20" t="n">
        <v>0</v>
      </c>
      <c r="H10" s="80">
        <f>AE27</f>
        <v/>
      </c>
      <c r="J10" s="33">
        <f>VLOOKUP(2,AD8:AN11,2,FALSE)</f>
        <v/>
      </c>
      <c r="K10" s="23">
        <f>L10+M10+N10</f>
        <v/>
      </c>
      <c r="L10" s="23">
        <f>VLOOKUP(2,AD8:AN11,3,FALSE)</f>
        <v/>
      </c>
      <c r="M10" s="23">
        <f>VLOOKUP(2,AD8:AN11,4,FALSE)</f>
        <v/>
      </c>
      <c r="N10" s="23">
        <f>VLOOKUP(2,AD8:AN11,5,FALSE)</f>
        <v/>
      </c>
      <c r="O10" s="23">
        <f>VLOOKUP(2,AD8:AN11,6,FALSE) &amp; " - " &amp; VLOOKUP(2,AD8:AN11,7,FALSE)</f>
        <v/>
      </c>
      <c r="P10" s="34">
        <f>L10*3+M10</f>
        <v/>
      </c>
      <c r="R10" s="123">
        <f>DATE(2026,6,12)+TIME(14,0,0)+gmt_delta</f>
        <v/>
      </c>
      <c r="S10" s="127">
        <f>IF(OR(F10="",G10=""),"",IF(F10&gt;G10,E10&amp;"_win",IF(F10&lt;G10,E10&amp;"_lose",E10&amp;"_draw")))</f>
        <v/>
      </c>
      <c r="T10" s="127">
        <f>IF(S10="","",IF(F10&lt;G10,H10&amp;"_win",IF(F10&gt;G10,H10&amp;"_lose",H10&amp;"_draw")))</f>
        <v/>
      </c>
      <c r="U10" s="123">
        <f>IF(S10="",0,IF(VLOOKUP(E10,$AE$8:$AN$77,10,FALSE)=VLOOKUP(H10,$AE$8:$AN$77,10,FALSE),1,0))</f>
        <v/>
      </c>
      <c r="V10" s="123">
        <f>U10*F10</f>
        <v/>
      </c>
      <c r="W10" s="123">
        <f>U10*G10</f>
        <v/>
      </c>
      <c r="X10" s="123">
        <f>IF(S10="",0,IF(VLOOKUP(E10,$AE$8:$AO$77,11,FALSE)=VLOOKUP(H10,$AE$8:$AO$77,11,FALSE),1,0))</f>
        <v/>
      </c>
      <c r="Y10" s="123">
        <f>X10*F10</f>
        <v/>
      </c>
      <c r="Z10" s="123">
        <f>X10*G10</f>
        <v/>
      </c>
      <c r="AA10" s="123">
        <f>IF(OR(E10=my_team,H10=my_team),1,IF(INT(MATCH(E10,$AE$8:$AE$78,0)/6)=$AA$6,1,0))</f>
        <v/>
      </c>
      <c r="AB10" s="123">
        <f>IF(OR(F10="",G10=""),"",IF(F10&gt;G10,1,IF(F10&lt;G10,-1,0)))</f>
        <v/>
      </c>
      <c r="AD10" s="123">
        <f>COUNTIF(AR8:AR11,CONCATENATE("&gt;=",AR10))</f>
        <v/>
      </c>
      <c r="AE10" s="124">
        <f>VLOOKUP("Korea Republic",T,lang,FALSE)</f>
        <v/>
      </c>
      <c r="AF10" s="123">
        <f>COUNTIF($S$7:$T$78,"=" &amp; AE10 &amp; "_win")</f>
        <v/>
      </c>
      <c r="AG10" s="123">
        <f>COUNTIF($S$7:$T$78,"=" &amp; AE10 &amp; "_draw")</f>
        <v/>
      </c>
      <c r="AH10" s="123">
        <f>COUNTIF($S$7:$T$78,"=" &amp; AE10 &amp; "_lose")</f>
        <v/>
      </c>
      <c r="AI10" s="123">
        <f>SUMIF($E$7:$E$78,$AE10,$F$7:$F$78) + SUMIF($H$7:$H$78,$AE10,$G$7:$G$78)</f>
        <v/>
      </c>
      <c r="AJ10" s="123">
        <f>SUMIF($E$7:$E$78,$AE10,$G$7:$G$78) + SUMIF($H$7:$H$78,$AE10,$F$7:$F$78)</f>
        <v/>
      </c>
      <c r="AL10" s="123">
        <f>AI10-AJ10</f>
        <v/>
      </c>
      <c r="AM10" s="123">
        <f>AL10-AL12</f>
        <v/>
      </c>
      <c r="AN10" s="123">
        <f>AF10*3+AG10</f>
        <v/>
      </c>
      <c r="AO10" s="123">
        <f>AN10/AN12*10+BA10</f>
        <v/>
      </c>
      <c r="AP10" s="123">
        <f>AO10*10000000+BI10*100+AM10/AM12*10+AI10/AI12*1++IF(AQ10=0,ROW(),AQ10)/2000000</f>
        <v/>
      </c>
      <c r="AQ10" s="126">
        <f>VLOOKUP(AE10,db_fifarank,2,FALSE)</f>
        <v/>
      </c>
      <c r="AR10" s="125">
        <f>AP10/AP12</f>
        <v/>
      </c>
      <c r="AT10" s="126">
        <f t="array" ref="AT10">SUMPRODUCT(($S$7:$S$78=AE10&amp;"_win")*($U$7:$U$78))+SUMPRODUCT(($T$7:$T$78=AE10&amp;"_win")*($U$7:$U$78))</f>
        <v/>
      </c>
      <c r="AU10" s="126">
        <f t="array" ref="AU10">SUMPRODUCT(($S$7:$S$78=AE10&amp;"_draw")*($U$7:$U$78))+SUMPRODUCT(($T$7:$T$78=AE10&amp;"_draw")*($U$7:$U$78))</f>
        <v/>
      </c>
      <c r="AV10" s="126">
        <f t="array" ref="AV10">SUMPRODUCT(($E$7:$E$78=AE10)*($U$7:$U$78)*($F$7:$F$78))+SUMPRODUCT(($H$7:$H$78=AE10)*($U$7:$U$78)*($G$7:$G$78))</f>
        <v/>
      </c>
      <c r="AW10" s="126">
        <f t="array" ref="AW10">SUMPRODUCT(($E$7:$E$78=AE10)*($U$7:$U$78)*($G$7:$G$78))+SUMPRODUCT(($H$7:$H$78=AE10)*($U$7:$U$78)*($F$7:$F$78))</f>
        <v/>
      </c>
      <c r="AX10" s="126">
        <f>AV10-AW10</f>
        <v/>
      </c>
      <c r="AY10" s="126">
        <f>AX10-MIN(AX8:AX11)</f>
        <v/>
      </c>
      <c r="AZ10" s="126">
        <f>AT10/AT12*1000+AU10/AU12*100+AY10/AY12*10+AV10/AV12</f>
        <v/>
      </c>
      <c r="BA10" s="126">
        <f>AZ10/AZ12</f>
        <v/>
      </c>
      <c r="BB10" s="126">
        <f t="array" ref="BB10">SUMPRODUCT(($S$7:$S$78=AE10&amp;"_win")*($X$7:$X$78))+SUMPRODUCT(($T$7:$T$78=AE10&amp;"_win")*($X$7:$X$78))</f>
        <v/>
      </c>
      <c r="BC10" s="126">
        <f t="array" ref="BC10">SUMPRODUCT(($S$7:$S$78=AE10&amp;"_draw")*($X$7:$X$78))+SUMPRODUCT(($T$7:$T$78=AE10&amp;"_draw")*($X$7:$X$78))</f>
        <v/>
      </c>
      <c r="BD10" s="126">
        <f t="array" ref="BD10">SUMPRODUCT(($E$7:$E$78=AE10)*($X$7:$X$78)*($F$7:$F$78))+SUMPRODUCT(($H$7:$H$78=AE10)*($X$7:$X$78)*($G$7:$G$78))</f>
        <v/>
      </c>
      <c r="BE10" s="126">
        <f t="array" ref="BE10">SUMPRODUCT(($E$7:$E$78=AE10)*($X$7:$X$78)*($G$7:$G$78))+SUMPRODUCT(($H$7:$H$78=AE10)*($X$7:$X$78)*($F$7:$F$78))</f>
        <v/>
      </c>
      <c r="BF10" s="126">
        <f>BD10-BE10</f>
        <v/>
      </c>
      <c r="BG10" s="126">
        <f>BF10-MIN(BF8:BF11)</f>
        <v/>
      </c>
      <c r="BH10" s="126">
        <f>BB10/BB12*1000+BC10/BC12*100+BG10/BG12*10+BD10/BD12</f>
        <v/>
      </c>
      <c r="BI10" s="126">
        <f>BH10/BH12</f>
        <v/>
      </c>
      <c r="BK10" s="179" t="n">
        <v>74</v>
      </c>
      <c r="BL10" s="24">
        <f>AS32</f>
        <v/>
      </c>
      <c r="BM10" s="61" t="n">
        <v>3</v>
      </c>
      <c r="BN10" s="63" t="n"/>
      <c r="BO10" s="25" t="n"/>
      <c r="BP10" s="112">
        <f>IF(OR(BM10="",BM11="",AND(BN10="",BN11&lt;&gt;""),AND(BN11="",BN10&lt;&gt;""),AND(BO10="",BO11&lt;&gt;""),AND(BO11="",BO10&lt;&gt;"")),"",BM10*1000+BN10*10+BO10)</f>
        <v/>
      </c>
      <c r="BQ10" s="112" t="n"/>
      <c r="BR10" s="21" t="n"/>
      <c r="BS10" s="21" t="n"/>
      <c r="BT10" s="21" t="n"/>
      <c r="BU10" s="21" t="n"/>
      <c r="BV10" s="21" t="n"/>
      <c r="BW10" s="112" t="n"/>
      <c r="BX10" s="112" t="n"/>
      <c r="BY10" s="21" t="n"/>
      <c r="BZ10" s="21" t="n"/>
      <c r="CA10" s="21" t="n"/>
      <c r="CB10" s="21" t="n"/>
      <c r="CC10" s="21" t="n"/>
      <c r="CD10" s="112" t="n"/>
      <c r="CE10" s="112" t="n"/>
      <c r="CF10" s="21" t="n"/>
      <c r="CG10" s="21" t="n"/>
      <c r="CH10" s="21" t="n"/>
      <c r="CI10" s="21" t="n"/>
      <c r="CJ10" s="21" t="n"/>
      <c r="CL10" s="112" t="n"/>
      <c r="CM10" s="21" t="n"/>
      <c r="CN10" s="21" t="n"/>
      <c r="CO10" s="21" t="n"/>
      <c r="CP10" s="21" t="n"/>
      <c r="CQ10" s="21" t="n"/>
    </row>
    <row r="11" ht="15" customHeight="1">
      <c r="A11" s="16" t="n">
        <v>5</v>
      </c>
      <c r="B11" s="17">
        <f t="array" ref="B11">INDEX(T,18+INT(MOD(R11-1,7)),lang)</f>
        <v/>
      </c>
      <c r="C11" s="18">
        <f t="array" ref="C11">INDEX(T,24+MONTH(R11),lang) &amp; " " &amp; DAY(R11) &amp; ", " &amp; YEAR(R11)</f>
        <v/>
      </c>
      <c r="D11" s="120">
        <f>TIME(HOUR(R11),MINUTE(R11),0)</f>
        <v/>
      </c>
      <c r="E11" s="78">
        <f>AE22</f>
        <v/>
      </c>
      <c r="F11" s="19" t="n">
        <v>0</v>
      </c>
      <c r="G11" s="20" t="n">
        <v>2</v>
      </c>
      <c r="H11" s="80">
        <f>AE23</f>
        <v/>
      </c>
      <c r="J11" s="33">
        <f>VLOOKUP(3,AD8:AN11,2,FALSE)</f>
        <v/>
      </c>
      <c r="K11" s="23">
        <f>L11+M11+N11</f>
        <v/>
      </c>
      <c r="L11" s="23">
        <f>VLOOKUP(3,AD8:AN11,3,FALSE)</f>
        <v/>
      </c>
      <c r="M11" s="23">
        <f>VLOOKUP(3,AD8:AN11,4,FALSE)</f>
        <v/>
      </c>
      <c r="N11" s="23">
        <f>VLOOKUP(3,AD8:AN11,5,FALSE)</f>
        <v/>
      </c>
      <c r="O11" s="23">
        <f>VLOOKUP(3,AD8:AN11,6,FALSE) &amp; " - " &amp; VLOOKUP(3,AD8:AN11,7,FALSE)</f>
        <v/>
      </c>
      <c r="P11" s="34">
        <f>L11*3+M11</f>
        <v/>
      </c>
      <c r="R11" s="123">
        <f>DATE(2026,6,13)+TIME(14,0,0)+gmt_delta</f>
        <v/>
      </c>
      <c r="S11" s="127">
        <f>IF(OR(F11="",G11=""),"",IF(F11&gt;G11,E11&amp;"_win",IF(F11&lt;G11,E11&amp;"_lose",E11&amp;"_draw")))</f>
        <v/>
      </c>
      <c r="T11" s="127">
        <f>IF(S11="","",IF(F11&lt;G11,H11&amp;"_win",IF(F11&gt;G11,H11&amp;"_lose",H11&amp;"_draw")))</f>
        <v/>
      </c>
      <c r="U11" s="123">
        <f>IF(S11="",0,IF(VLOOKUP(E11,$AE$8:$AN$77,10,FALSE)=VLOOKUP(H11,$AE$8:$AN$77,10,FALSE),1,0))</f>
        <v/>
      </c>
      <c r="V11" s="123">
        <f>U11*F11</f>
        <v/>
      </c>
      <c r="W11" s="123">
        <f>U11*G11</f>
        <v/>
      </c>
      <c r="X11" s="123">
        <f>IF(S11="",0,IF(VLOOKUP(E11,$AE$8:$AO$77,11,FALSE)=VLOOKUP(H11,$AE$8:$AO$77,11,FALSE),1,0))</f>
        <v/>
      </c>
      <c r="Y11" s="123">
        <f>X11*F11</f>
        <v/>
      </c>
      <c r="Z11" s="123">
        <f>X11*G11</f>
        <v/>
      </c>
      <c r="AA11" s="123">
        <f>IF(OR(E11=my_team,H11=my_team),1,IF(INT(MATCH(E11,$AE$8:$AE$78,0)/6)=$AA$6,1,0))</f>
        <v/>
      </c>
      <c r="AB11" s="123">
        <f>IF(OR(F11="",G11=""),"",IF(F11&gt;G11,1,IF(F11&lt;G11,-1,0)))</f>
        <v/>
      </c>
      <c r="AD11" s="123">
        <f>COUNTIF(AR8:AR11,CONCATENATE("&gt;=",AR11))</f>
        <v/>
      </c>
      <c r="AE11" s="124">
        <f>VLOOKUP("Czech Republic",T,lang,FALSE)</f>
        <v/>
      </c>
      <c r="AF11" s="123">
        <f>COUNTIF($S$7:$T$78,"=" &amp; AE11 &amp; "_win")</f>
        <v/>
      </c>
      <c r="AG11" s="123">
        <f>COUNTIF($S$7:$T$78,"=" &amp; AE11 &amp; "_draw")</f>
        <v/>
      </c>
      <c r="AH11" s="123">
        <f>COUNTIF($S$7:$T$78,"=" &amp; AE11 &amp; "_lose")</f>
        <v/>
      </c>
      <c r="AI11" s="123">
        <f>SUMIF($E$7:$E$78,$AE11,$F$7:$F$78) + SUMIF($H$7:$H$78,$AE11,$G$7:$G$78)</f>
        <v/>
      </c>
      <c r="AJ11" s="123">
        <f>SUMIF($E$7:$E$78,$AE11,$G$7:$G$78) + SUMIF($H$7:$H$78,$AE11,$F$7:$F$78)</f>
        <v/>
      </c>
      <c r="AL11" s="123">
        <f>AI11-AJ11</f>
        <v/>
      </c>
      <c r="AM11" s="123">
        <f>AL11-AL12</f>
        <v/>
      </c>
      <c r="AN11" s="123">
        <f>AF11*3+AG11</f>
        <v/>
      </c>
      <c r="AO11" s="123">
        <f>AN11/AN12*10+BA11</f>
        <v/>
      </c>
      <c r="AP11" s="123">
        <f>AO11*10000000+BI11*100+AM11/AM12*10+AI11/AI12*1++IF(AQ11=0,ROW(),AQ11)/2000000</f>
        <v/>
      </c>
      <c r="AQ11" s="126">
        <f>VLOOKUP(AE11,db_fifarank,2,FALSE)</f>
        <v/>
      </c>
      <c r="AR11" s="125">
        <f>AP11/AP12</f>
        <v/>
      </c>
      <c r="AT11" s="126">
        <f t="array" ref="AT11">SUMPRODUCT(($S$7:$S$78=AE11&amp;"_win")*($U$7:$U$78))+SUMPRODUCT(($T$7:$T$78=AE11&amp;"_win")*($U$7:$U$78))</f>
        <v/>
      </c>
      <c r="AU11" s="126">
        <f t="array" ref="AU11">SUMPRODUCT(($S$7:$S$78=AE11&amp;"_draw")*($U$7:$U$78))+SUMPRODUCT(($T$7:$T$78=AE11&amp;"_draw")*($U$7:$U$78))</f>
        <v/>
      </c>
      <c r="AV11" s="126">
        <f t="array" ref="AV11">SUMPRODUCT(($E$7:$E$78=AE11)*($U$7:$U$78)*($F$7:$F$78))+SUMPRODUCT(($H$7:$H$78=AE11)*($U$7:$U$78)*($G$7:$G$78))</f>
        <v/>
      </c>
      <c r="AW11" s="126">
        <f t="array" ref="AW11">SUMPRODUCT(($E$7:$E$78=AE11)*($U$7:$U$78)*($G$7:$G$78))+SUMPRODUCT(($H$7:$H$78=AE11)*($U$7:$U$78)*($F$7:$F$78))</f>
        <v/>
      </c>
      <c r="AX11" s="126">
        <f>AV11-AW11</f>
        <v/>
      </c>
      <c r="AY11" s="126">
        <f>AX11-MIN(AX8:AX11)</f>
        <v/>
      </c>
      <c r="AZ11" s="126">
        <f>AT11/AT12*1000+AU11/AU12*100+AY11/AY12*10+AV11/AV12</f>
        <v/>
      </c>
      <c r="BA11" s="126">
        <f>AZ11/AZ12</f>
        <v/>
      </c>
      <c r="BB11" s="126">
        <f t="array" ref="BB11">SUMPRODUCT(($S$7:$S$78=AE11&amp;"_win")*($X$7:$X$78))+SUMPRODUCT(($T$7:$T$78=AE11&amp;"_win")*($X$7:$X$78))</f>
        <v/>
      </c>
      <c r="BC11" s="126">
        <f t="array" ref="BC11">SUMPRODUCT(($S$7:$S$78=AE11&amp;"_draw")*($X$7:$X$78))+SUMPRODUCT(($T$7:$T$78=AE11&amp;"_draw")*($X$7:$X$78))</f>
        <v/>
      </c>
      <c r="BD11" s="126">
        <f t="array" ref="BD11">SUMPRODUCT(($E$7:$E$78=AE11)*($X$7:$X$78)*($F$7:$F$78))+SUMPRODUCT(($H$7:$H$78=AE11)*($X$7:$X$78)*($G$7:$G$78))</f>
        <v/>
      </c>
      <c r="BE11" s="126">
        <f t="array" ref="BE11">SUMPRODUCT(($E$7:$E$78=AE11)*($X$7:$X$78)*($G$7:$G$78))+SUMPRODUCT(($H$7:$H$78=AE11)*($X$7:$X$78)*($F$7:$F$78))</f>
        <v/>
      </c>
      <c r="BF11" s="126">
        <f>BD11-BE11</f>
        <v/>
      </c>
      <c r="BG11" s="126">
        <f>BF11-MIN(BF8:BF11)</f>
        <v/>
      </c>
      <c r="BH11" s="126">
        <f>BB11/BB12*1000+BC11/BC12*100+BG11/BG12*10+BD11/BD12</f>
        <v/>
      </c>
      <c r="BI11" s="126">
        <f>BH11/BH12</f>
        <v/>
      </c>
      <c r="BK11" s="180" t="n"/>
      <c r="BL11" s="26">
        <f>IF(group_round_completed,VLOOKUP('3rd places'!G3,AK80:AS91,9,FALSE),"3rd Group A/B/C/D/F")</f>
        <v/>
      </c>
      <c r="BM11" s="62" t="n">
        <v>1</v>
      </c>
      <c r="BN11" s="64" t="n"/>
      <c r="BO11" s="27" t="n"/>
      <c r="BP11" s="113">
        <f>IF(BP10="","",BM11*1000+BN11*10+BO11)</f>
        <v/>
      </c>
      <c r="BQ11" s="112" t="n"/>
      <c r="BR11" s="21">
        <f t="array" ref="BR11">INDEX(T,24+MONTH(BW11),lang) &amp; " " &amp; DAY(BW11) &amp; ", " &amp; YEAR(BW11) &amp; "   " &amp; (IF(HOUR(BW11)&lt;10,0,"")&amp;HOUR(BW11)) &amp; ":" &amp;  (IF(MINUTE(BW11)&lt;10,0,"")&amp;MINUTE(BW11))</f>
        <v/>
      </c>
      <c r="BS11" s="21" t="n"/>
      <c r="BT11" s="21" t="n"/>
      <c r="BU11" s="21" t="n"/>
      <c r="BV11" s="28" t="n"/>
      <c r="BW11" s="112">
        <f>DATE(2026,7,4)+TIME(10,0,0)+gmt_delta</f>
        <v/>
      </c>
      <c r="BX11" s="112" t="n"/>
      <c r="BY11" s="21" t="n"/>
      <c r="BZ11" s="21" t="n"/>
      <c r="CA11" s="21" t="n"/>
      <c r="CB11" s="21" t="n"/>
      <c r="CC11" s="21" t="n"/>
      <c r="CD11" s="112" t="n"/>
      <c r="CE11" s="112" t="n"/>
      <c r="CF11" s="21" t="n"/>
      <c r="CG11" s="21" t="n"/>
      <c r="CH11" s="21" t="n"/>
      <c r="CI11" s="21" t="n"/>
      <c r="CJ11" s="21" t="n"/>
      <c r="CL11" s="112" t="n"/>
      <c r="CM11" s="21" t="n"/>
      <c r="CN11" s="21" t="n"/>
      <c r="CO11" s="21" t="n"/>
      <c r="CP11" s="21" t="n"/>
      <c r="CQ11" s="21" t="n"/>
    </row>
    <row r="12">
      <c r="A12" s="16" t="n">
        <v>6</v>
      </c>
      <c r="B12" s="17">
        <f t="array" ref="B12">INDEX(T,18+INT(MOD(R12-1,7)),lang)</f>
        <v/>
      </c>
      <c r="C12" s="18">
        <f t="array" ref="C12">INDEX(T,24+MONTH(R12),lang) &amp; " " &amp; DAY(R12) &amp; ", " &amp; YEAR(R12)</f>
        <v/>
      </c>
      <c r="D12" s="120">
        <f>TIME(HOUR(R12),MINUTE(R12),0)</f>
        <v/>
      </c>
      <c r="E12" s="78">
        <f>AE28</f>
        <v/>
      </c>
      <c r="F12" s="19" t="n">
        <v>1</v>
      </c>
      <c r="G12" s="20" t="n">
        <v>2</v>
      </c>
      <c r="H12" s="80">
        <f>AE29</f>
        <v/>
      </c>
      <c r="J12" s="35">
        <f>VLOOKUP(4,AD8:AN11,2,FALSE)</f>
        <v/>
      </c>
      <c r="K12" s="36">
        <f>L12+M12+N12</f>
        <v/>
      </c>
      <c r="L12" s="36">
        <f>VLOOKUP(4,AD8:AN11,3,FALSE)</f>
        <v/>
      </c>
      <c r="M12" s="36">
        <f>VLOOKUP(4,AD8:AN11,4,FALSE)</f>
        <v/>
      </c>
      <c r="N12" s="36">
        <f>VLOOKUP(4,AD8:AN11,5,FALSE)</f>
        <v/>
      </c>
      <c r="O12" s="36">
        <f>VLOOKUP(4,AD8:AN11,6,FALSE) &amp; " - " &amp; VLOOKUP(4,AD8:AN11,7,FALSE)</f>
        <v/>
      </c>
      <c r="P12" s="37">
        <f>L12*3+M12</f>
        <v/>
      </c>
      <c r="R12" s="123">
        <f>DATE(2026,6,13)+TIME(17,0,0)+gmt_delta</f>
        <v/>
      </c>
      <c r="S12" s="127">
        <f>IF(OR(F12="",G12=""),"",IF(F12&gt;G12,E12&amp;"_win",IF(F12&lt;G12,E12&amp;"_lose",E12&amp;"_draw")))</f>
        <v/>
      </c>
      <c r="T12" s="127">
        <f>IF(S12="","",IF(F12&lt;G12,H12&amp;"_win",IF(F12&gt;G12,H12&amp;"_lose",H12&amp;"_draw")))</f>
        <v/>
      </c>
      <c r="U12" s="123">
        <f>IF(S12="",0,IF(VLOOKUP(E12,$AE$8:$AN$77,10,FALSE)=VLOOKUP(H12,$AE$8:$AN$77,10,FALSE),1,0))</f>
        <v/>
      </c>
      <c r="V12" s="123">
        <f>U12*F12</f>
        <v/>
      </c>
      <c r="W12" s="123">
        <f>U12*G12</f>
        <v/>
      </c>
      <c r="X12" s="123">
        <f>IF(S12="",0,IF(VLOOKUP(E12,$AE$8:$AO$77,11,FALSE)=VLOOKUP(H12,$AE$8:$AO$77,11,FALSE),1,0))</f>
        <v/>
      </c>
      <c r="Y12" s="123">
        <f>X12*F12</f>
        <v/>
      </c>
      <c r="Z12" s="123">
        <f>X12*G12</f>
        <v/>
      </c>
      <c r="AA12" s="123">
        <f>IF(OR(E12=my_team,H12=my_team),1,IF(INT(MATCH(E12,$AE$8:$AE$78,0)/6)=$AA$6,1,0))</f>
        <v/>
      </c>
      <c r="AB12" s="123">
        <f>IF(OR(F12="",G12=""),"",IF(F12&gt;G12,1,IF(F12&lt;G12,-1,0)))</f>
        <v/>
      </c>
      <c r="AF12" s="123">
        <f>MAX(AF8:AF11)-MIN(AF8:AF11)+1</f>
        <v/>
      </c>
      <c r="AG12" s="123">
        <f>MAX(AG8:AG11)-MIN(AG8:AG11)+1</f>
        <v/>
      </c>
      <c r="AH12" s="123">
        <f>MAX(AH8:AH11)-MIN(AH8:AH11)+1</f>
        <v/>
      </c>
      <c r="AI12" s="123">
        <f>MAX(AI8:AI11)+1</f>
        <v/>
      </c>
      <c r="AL12" s="123">
        <f>MIN(AL8:AL11)</f>
        <v/>
      </c>
      <c r="AM12" s="123">
        <f>MAX(AM8:AM11)+1</f>
        <v/>
      </c>
      <c r="AN12" s="123">
        <f>MAX(AN8:AN11)+1</f>
        <v/>
      </c>
      <c r="AO12" s="123">
        <f>MAX(AO8:AO11)+1</f>
        <v/>
      </c>
      <c r="AP12" s="123">
        <f>MAX(AP8:AP11)+1</f>
        <v/>
      </c>
      <c r="AT12" s="126">
        <f>MAX(AT8:AT11)-MIN(AT8:AT11)+1</f>
        <v/>
      </c>
      <c r="AU12" s="126">
        <f>MAX(AU8:AU11)-MIN(AU8:AU11)+1</f>
        <v/>
      </c>
      <c r="AV12" s="126">
        <f>MAX(AV8:AV11)-MIN(AV8:AV11)+1</f>
        <v/>
      </c>
      <c r="AW12" s="126">
        <f>MAX(AW8:AW11)-MIN(AW8:AW11)+1</f>
        <v/>
      </c>
      <c r="AY12" s="126">
        <f>MAX(AY8:AY11)-MIN(AY8:AY11)+1</f>
        <v/>
      </c>
      <c r="AZ12" s="126">
        <f>MAX(AZ8:AZ11)+1</f>
        <v/>
      </c>
      <c r="BB12" s="126">
        <f>MAX(BB8:BB11)-MIN(BB8:BB11)+1</f>
        <v/>
      </c>
      <c r="BC12" s="126">
        <f>MAX(BC8:BC11)-MIN(BC8:BC11)+1</f>
        <v/>
      </c>
      <c r="BD12" s="126">
        <f>MAX(BD8:BD11)-MIN(BD8:BD11)+1</f>
        <v/>
      </c>
      <c r="BE12" s="126">
        <f>MAX(BE8:BE11)-MIN(BE8:BE11)+1</f>
        <v/>
      </c>
      <c r="BG12" s="126">
        <f>MAX(BG8:BG11)-MIN(BG8:BG11)+1</f>
        <v/>
      </c>
      <c r="BH12" s="126">
        <f>MAX(BH8:BH11)+1</f>
        <v/>
      </c>
      <c r="BK12" s="21" t="n"/>
      <c r="BL12" s="21" t="n"/>
      <c r="BM12" s="21" t="n"/>
      <c r="BN12" s="21" t="n"/>
      <c r="BO12" s="21" t="n"/>
      <c r="BP12" s="114" t="n"/>
      <c r="BQ12" s="112" t="n"/>
      <c r="BR12" s="179" t="n">
        <v>89</v>
      </c>
      <c r="BS12" s="24">
        <f>IF(BP10&gt;BP11,BL10,IF(BP10&lt;BP11,BL11,""))</f>
        <v/>
      </c>
      <c r="BT12" s="61" t="n">
        <v>0</v>
      </c>
      <c r="BU12" s="63" t="n"/>
      <c r="BV12" s="25" t="n"/>
      <c r="BW12" s="112">
        <f>IF(OR(BT12="",BT13="",AND(BU12="",BU13&lt;&gt;""),AND(BU13="",BU12&lt;&gt;""),AND(BV12="",BV13&lt;&gt;""),AND(BV13="",BV12&lt;&gt;"")),"",BT12*1000+BU12*10+BV12)</f>
        <v/>
      </c>
      <c r="BX12" s="112" t="n"/>
      <c r="BY12" s="21" t="n"/>
      <c r="BZ12" s="21" t="n"/>
      <c r="CA12" s="21" t="n"/>
      <c r="CB12" s="21" t="n"/>
      <c r="CC12" s="21" t="n"/>
      <c r="CD12" s="112" t="n"/>
      <c r="CE12" s="112" t="n"/>
      <c r="CF12" s="21" t="n"/>
      <c r="CG12" s="21" t="n"/>
      <c r="CH12" s="21" t="n"/>
      <c r="CI12" s="21" t="n"/>
      <c r="CJ12" s="21" t="n"/>
      <c r="CL12" s="112" t="n"/>
      <c r="CM12" s="21" t="n"/>
      <c r="CN12" s="21" t="n"/>
      <c r="CO12" s="21" t="n"/>
      <c r="CP12" s="21" t="n"/>
      <c r="CQ12" s="21" t="n"/>
    </row>
    <row r="13">
      <c r="A13" s="16" t="n">
        <v>7</v>
      </c>
      <c r="B13" s="17">
        <f t="array" ref="B13">INDEX(T,18+INT(MOD(R13-1,7)),lang)</f>
        <v/>
      </c>
      <c r="C13" s="18">
        <f t="array" ref="C13">INDEX(T,24+MONTH(R13),lang) &amp; " " &amp; DAY(R13) &amp; ", " &amp; YEAR(R13)</f>
        <v/>
      </c>
      <c r="D13" s="120">
        <f>TIME(HOUR(R13),MINUTE(R13),0)</f>
        <v/>
      </c>
      <c r="E13" s="78">
        <f>AE20</f>
        <v/>
      </c>
      <c r="F13" s="19" t="n">
        <v>2</v>
      </c>
      <c r="G13" s="20" t="n">
        <v>1</v>
      </c>
      <c r="H13" s="80">
        <f>AE21</f>
        <v/>
      </c>
      <c r="R13" s="123">
        <f>DATE(2026,6,13)+TIME(11,0,0)+gmt_delta</f>
        <v/>
      </c>
      <c r="S13" s="127">
        <f>IF(OR(F13="",G13=""),"",IF(F13&gt;G13,E13&amp;"_win",IF(F13&lt;G13,E13&amp;"_lose",E13&amp;"_draw")))</f>
        <v/>
      </c>
      <c r="T13" s="127">
        <f>IF(S13="","",IF(F13&lt;G13,H13&amp;"_win",IF(F13&gt;G13,H13&amp;"_lose",H13&amp;"_draw")))</f>
        <v/>
      </c>
      <c r="U13" s="123">
        <f>IF(S13="",0,IF(VLOOKUP(E13,$AE$8:$AN$77,10,FALSE)=VLOOKUP(H13,$AE$8:$AN$77,10,FALSE),1,0))</f>
        <v/>
      </c>
      <c r="V13" s="123">
        <f>U13*F13</f>
        <v/>
      </c>
      <c r="W13" s="123">
        <f>U13*G13</f>
        <v/>
      </c>
      <c r="X13" s="123">
        <f>IF(S13="",0,IF(VLOOKUP(E13,$AE$8:$AO$77,11,FALSE)=VLOOKUP(H13,$AE$8:$AO$77,11,FALSE),1,0))</f>
        <v/>
      </c>
      <c r="Y13" s="123">
        <f>X13*F13</f>
        <v/>
      </c>
      <c r="Z13" s="123">
        <f>X13*G13</f>
        <v/>
      </c>
      <c r="AA13" s="123">
        <f>IF(OR(E13=my_team,H13=my_team),1,IF(INT(MATCH(E13,$AE$8:$AE$78,0)/6)=$AA$6,1,0))</f>
        <v/>
      </c>
      <c r="AB13" s="123">
        <f>IF(OR(F13="",G13=""),"",IF(F13&gt;G13,1,IF(F13&lt;G13,-1,0)))</f>
        <v/>
      </c>
      <c r="BK13" s="21">
        <f t="array" ref="BK13">INDEX(T,24+MONTH(BP13),lang) &amp; " " &amp; DAY(BP13) &amp; ", " &amp; YEAR(BP13) &amp; "   " &amp; (IF(HOUR(BP13)&lt;10,0,"")&amp;HOUR(BP13)) &amp; ":" &amp;  (IF(MINUTE(BP13)&lt;10,0,"")&amp;MINUTE(BP13))</f>
        <v/>
      </c>
      <c r="BL13" s="21" t="n"/>
      <c r="BM13" s="21" t="n"/>
      <c r="BN13" s="21" t="n"/>
      <c r="BO13" s="28" t="n"/>
      <c r="BP13" s="114">
        <f>DATE(2026,6,30)+TIME(10,0,0)+gmt_delta</f>
        <v/>
      </c>
      <c r="BQ13" s="115" t="n"/>
      <c r="BR13" s="180" t="n"/>
      <c r="BS13" s="26">
        <f>IF(BP14&gt;BP15,BL14,IF(BP14&lt;BP15,BL15,""))</f>
        <v/>
      </c>
      <c r="BT13" s="62" t="n">
        <v>2</v>
      </c>
      <c r="BU13" s="64" t="n"/>
      <c r="BV13" s="27" t="n"/>
      <c r="BW13" s="113">
        <f>IF(BW12="","",BT13*1000+BU13*10+BV13)</f>
        <v/>
      </c>
      <c r="BX13" s="112" t="n"/>
      <c r="BY13" s="21" t="n"/>
      <c r="BZ13" s="21" t="n"/>
      <c r="CA13" s="21" t="n"/>
      <c r="CB13" s="21" t="n"/>
      <c r="CC13" s="21" t="n"/>
      <c r="CD13" s="112" t="n"/>
      <c r="CE13" s="112" t="n"/>
      <c r="CF13" s="21" t="n"/>
      <c r="CG13" s="21" t="n"/>
      <c r="CH13" s="21" t="n"/>
      <c r="CI13" s="21" t="n"/>
      <c r="CJ13" s="21" t="n"/>
      <c r="CL13" s="112" t="n"/>
      <c r="CM13" s="21" t="n"/>
      <c r="CN13" s="21" t="n"/>
      <c r="CO13" s="21" t="n"/>
      <c r="CP13" s="21" t="n"/>
      <c r="CQ13" s="21" t="n"/>
    </row>
    <row r="14">
      <c r="A14" s="16" t="n">
        <v>8</v>
      </c>
      <c r="B14" s="17">
        <f t="array" ref="B14">INDEX(T,18+INT(MOD(R14-1,7)),lang)</f>
        <v/>
      </c>
      <c r="C14" s="18">
        <f t="array" ref="C14">INDEX(T,24+MONTH(R14),lang) &amp; " " &amp; DAY(R14) &amp; ", " &amp; YEAR(R14)</f>
        <v/>
      </c>
      <c r="D14" s="120">
        <f>TIME(HOUR(R14),MINUTE(R14),0)</f>
        <v/>
      </c>
      <c r="E14" s="78">
        <f>AE16</f>
        <v/>
      </c>
      <c r="F14" s="19" t="n">
        <v>1</v>
      </c>
      <c r="G14" s="20" t="n">
        <v>3</v>
      </c>
      <c r="H14" s="80">
        <f>AE17</f>
        <v/>
      </c>
      <c r="J14" s="38">
        <f t="array" ref="J14">INDEX(T,9,lang) &amp; " " &amp; "B"</f>
        <v/>
      </c>
      <c r="K14" s="94">
        <f t="array" ref="K14">INDEX(T,10,lang)</f>
        <v/>
      </c>
      <c r="L14" s="94">
        <f t="array" ref="L14">INDEX(T,11,lang)</f>
        <v/>
      </c>
      <c r="M14" s="94">
        <f t="array" ref="M14">INDEX(T,12,lang)</f>
        <v/>
      </c>
      <c r="N14" s="94">
        <f t="array" ref="N14">INDEX(T,13,lang)</f>
        <v/>
      </c>
      <c r="O14" s="94">
        <f t="array" ref="O14">INDEX(T,14,lang)</f>
        <v/>
      </c>
      <c r="P14" s="95">
        <f t="array" ref="P14">INDEX(T,15,lang)</f>
        <v/>
      </c>
      <c r="R14" s="123">
        <f>DATE(2026,6,13)+TIME(8,0,0)+gmt_delta</f>
        <v/>
      </c>
      <c r="S14" s="127">
        <f>IF(OR(F14="",G14=""),"",IF(F14&gt;G14,E14&amp;"_win",IF(F14&lt;G14,E14&amp;"_lose",E14&amp;"_draw")))</f>
        <v/>
      </c>
      <c r="T14" s="127">
        <f>IF(S14="","",IF(F14&lt;G14,H14&amp;"_win",IF(F14&gt;G14,H14&amp;"_lose",H14&amp;"_draw")))</f>
        <v/>
      </c>
      <c r="U14" s="123">
        <f>IF(S14="",0,IF(VLOOKUP(E14,$AE$8:$AN$77,10,FALSE)=VLOOKUP(H14,$AE$8:$AN$77,10,FALSE),1,0))</f>
        <v/>
      </c>
      <c r="V14" s="123">
        <f>U14*F14</f>
        <v/>
      </c>
      <c r="W14" s="123">
        <f>U14*G14</f>
        <v/>
      </c>
      <c r="X14" s="123">
        <f>IF(S14="",0,IF(VLOOKUP(E14,$AE$8:$AO$77,11,FALSE)=VLOOKUP(H14,$AE$8:$AO$77,11,FALSE),1,0))</f>
        <v/>
      </c>
      <c r="Y14" s="123">
        <f>X14*F14</f>
        <v/>
      </c>
      <c r="Z14" s="123">
        <f>X14*G14</f>
        <v/>
      </c>
      <c r="AA14" s="123">
        <f>IF(OR(E14=my_team,H14=my_team),1,IF(INT(MATCH(E14,$AE$8:$AE$78,0)/6)=$AA$6,1,0))</f>
        <v/>
      </c>
      <c r="AB14" s="123">
        <f>IF(OR(F14="",G14=""),"",IF(F14&gt;G14,1,IF(F14&lt;G14,-1,0)))</f>
        <v/>
      </c>
      <c r="AD14" s="123">
        <f>COUNTIF(AR14:AR17,CONCATENATE("&gt;=",AR14))</f>
        <v/>
      </c>
      <c r="AE14" s="124">
        <f>VLOOKUP("Canada",T,lang,FALSE)</f>
        <v/>
      </c>
      <c r="AF14" s="123">
        <f>COUNTIF($S$7:$T$78,"=" &amp; AE14 &amp; "_win")</f>
        <v/>
      </c>
      <c r="AG14" s="123">
        <f>COUNTIF($S$7:$T$78,"=" &amp; AE14 &amp; "_draw")</f>
        <v/>
      </c>
      <c r="AH14" s="123">
        <f>COUNTIF($S$7:$T$78,"=" &amp; AE14 &amp; "_lose")</f>
        <v/>
      </c>
      <c r="AI14" s="123">
        <f>SUMIF($E$7:$E$78,$AE14,$F$7:$F$78) + SUMIF($H$7:$H$78,$AE14,$G$7:$G$78)</f>
        <v/>
      </c>
      <c r="AJ14" s="123">
        <f>SUMIF($E$7:$E$78,$AE14,$G$7:$G$78) + SUMIF($H$7:$H$78,$AE14,$F$7:$F$78)</f>
        <v/>
      </c>
      <c r="AL14" s="123">
        <f>AI14-AJ14</f>
        <v/>
      </c>
      <c r="AM14" s="123">
        <f>AL14-AL18</f>
        <v/>
      </c>
      <c r="AN14" s="123">
        <f>AF14*3+AG14</f>
        <v/>
      </c>
      <c r="AO14" s="123">
        <f>AN14/AN18*10+BA14</f>
        <v/>
      </c>
      <c r="AP14" s="123">
        <f>AO14*10000000+BI14*100+AM14/AM18*10+AI14/AI18*1++IF(AQ14=0,ROW(),AQ14)/2000000</f>
        <v/>
      </c>
      <c r="AQ14" s="126">
        <f>VLOOKUP(AE14,db_fifarank,2,FALSE)</f>
        <v/>
      </c>
      <c r="AR14" s="125">
        <f>AP14/AP18</f>
        <v/>
      </c>
      <c r="AS14" s="125">
        <f>IF(SUM(AF14:AH17)=12,J15,"1B")</f>
        <v/>
      </c>
      <c r="AT14" s="126">
        <f t="array" ref="AT14">SUMPRODUCT(($S$7:$S$78=AE14&amp;"_win")*($U$7:$U$78))+SUMPRODUCT(($T$7:$T$78=AE14&amp;"_win")*($U$7:$U$78))</f>
        <v/>
      </c>
      <c r="AU14" s="126">
        <f t="array" ref="AU14">SUMPRODUCT(($S$7:$S$78=AE14&amp;"_draw")*($U$7:$U$78))+SUMPRODUCT(($T$7:$T$78=AE14&amp;"_draw")*($U$7:$U$78))</f>
        <v/>
      </c>
      <c r="AV14" s="126">
        <f t="array" ref="AV14">SUMPRODUCT(($E$7:$E$78=AE14)*($U$7:$U$78)*($F$7:$F$78))+SUMPRODUCT(($H$7:$H$78=AE14)*($U$7:$U$78)*($G$7:$G$78))</f>
        <v/>
      </c>
      <c r="AW14" s="126">
        <f t="array" ref="AW14">SUMPRODUCT(($E$7:$E$78=AE14)*($U$7:$U$78)*($G$7:$G$78))+SUMPRODUCT(($H$7:$H$78=AE14)*($U$7:$U$78)*($F$7:$F$78))</f>
        <v/>
      </c>
      <c r="AX14" s="126">
        <f>AV14-AW14</f>
        <v/>
      </c>
      <c r="AY14" s="126">
        <f>AX14-MIN(AX14:AX17)</f>
        <v/>
      </c>
      <c r="AZ14" s="126">
        <f>AT14/AT18*1000+AU14/AU18*100+AY14/AY18*10+AV14/AV18</f>
        <v/>
      </c>
      <c r="BA14" s="126">
        <f>AZ14/AZ18</f>
        <v/>
      </c>
      <c r="BB14" s="126">
        <f t="array" ref="BB14">SUMPRODUCT(($S$7:$S$78=AE14&amp;"_win")*($X$7:$X$78))+SUMPRODUCT(($T$7:$T$78=AE14&amp;"_win")*($X$7:$X$78))</f>
        <v/>
      </c>
      <c r="BC14" s="126">
        <f t="array" ref="BC14">SUMPRODUCT(($S$7:$S$78=AE14&amp;"_draw")*($X$7:$X$78))+SUMPRODUCT(($T$7:$T$78=AE14&amp;"_draw")*($X$7:$X$78))</f>
        <v/>
      </c>
      <c r="BD14" s="126">
        <f t="array" ref="BD14">SUMPRODUCT(($E$7:$E$78=AE14)*($X$7:$X$78)*($F$7:$F$78))+SUMPRODUCT(($H$7:$H$78=AE14)*($X$7:$X$78)*($G$7:$G$78))</f>
        <v/>
      </c>
      <c r="BE14" s="126">
        <f t="array" ref="BE14">SUMPRODUCT(($E$7:$E$78=AE14)*($X$7:$X$78)*($G$7:$G$78))+SUMPRODUCT(($H$7:$H$78=AE14)*($X$7:$X$78)*($F$7:$F$78))</f>
        <v/>
      </c>
      <c r="BF14" s="126">
        <f>BD14-BE14</f>
        <v/>
      </c>
      <c r="BG14" s="126">
        <f>BF14-MIN(BF14:BF17)</f>
        <v/>
      </c>
      <c r="BH14" s="126">
        <f>BB14/BB18*1000+BC14/BC18*100+BG14/BG18*10+BD14/BD18</f>
        <v/>
      </c>
      <c r="BI14" s="126">
        <f>BH14/BH18</f>
        <v/>
      </c>
      <c r="BK14" s="179" t="n">
        <v>77</v>
      </c>
      <c r="BL14" s="24">
        <f>AS56</f>
        <v/>
      </c>
      <c r="BM14" s="61" t="n">
        <v>3</v>
      </c>
      <c r="BN14" s="63" t="n"/>
      <c r="BO14" s="25" t="n"/>
      <c r="BP14" s="116">
        <f>IF(OR(BM14="",BM15="",AND(BN14="",BN15&lt;&gt;""),AND(BN15="",BN14&lt;&gt;""),AND(BO14="",BO15&lt;&gt;""),AND(BO15="",BO14&lt;&gt;"")),"",BM14*1000+BN14*10+BO14)</f>
        <v/>
      </c>
      <c r="BQ14" s="112" t="n"/>
      <c r="BR14" s="21" t="n"/>
      <c r="BS14" s="21" t="n"/>
      <c r="BT14" s="21" t="n"/>
      <c r="BU14" s="21" t="n"/>
      <c r="BV14" s="21" t="n"/>
      <c r="BW14" s="114" t="n"/>
      <c r="BX14" s="112" t="n"/>
      <c r="BY14" s="21" t="n"/>
      <c r="BZ14" s="21" t="n"/>
      <c r="CA14" s="21" t="n"/>
      <c r="CB14" s="21" t="n"/>
      <c r="CC14" s="28" t="n"/>
      <c r="CD14" s="112" t="n"/>
      <c r="CE14" s="112" t="n"/>
      <c r="CF14" s="21" t="n"/>
      <c r="CG14" s="21" t="n"/>
      <c r="CH14" s="21" t="n"/>
      <c r="CI14" s="21" t="n"/>
      <c r="CJ14" s="21" t="n"/>
      <c r="CL14" s="112" t="n"/>
      <c r="CM14" s="21" t="n"/>
      <c r="CN14" s="21" t="n"/>
      <c r="CO14" s="21" t="n"/>
      <c r="CP14" s="21" t="n"/>
      <c r="CQ14" s="21" t="n"/>
    </row>
    <row r="15">
      <c r="A15" s="16" t="n">
        <v>9</v>
      </c>
      <c r="B15" s="17">
        <f t="array" ref="B15">INDEX(T,18+INT(MOD(R15-1,7)),lang)</f>
        <v/>
      </c>
      <c r="C15" s="18">
        <f t="array" ref="C15">INDEX(T,24+MONTH(R15),lang) &amp; " " &amp; DAY(R15) &amp; ", " &amp; YEAR(R15)</f>
        <v/>
      </c>
      <c r="D15" s="120">
        <f>TIME(HOUR(R15),MINUTE(R15),0)</f>
        <v/>
      </c>
      <c r="E15" s="78">
        <f>AE34</f>
        <v/>
      </c>
      <c r="F15" s="19" t="n">
        <v>1</v>
      </c>
      <c r="G15" s="20" t="n">
        <v>2</v>
      </c>
      <c r="H15" s="80">
        <f>AE35</f>
        <v/>
      </c>
      <c r="J15" s="30">
        <f>VLOOKUP(1,AD14:AN17,2,FALSE)</f>
        <v/>
      </c>
      <c r="K15" s="31">
        <f>L15+M15+N15</f>
        <v/>
      </c>
      <c r="L15" s="31">
        <f>VLOOKUP(1,AD14:AN17,3,FALSE)</f>
        <v/>
      </c>
      <c r="M15" s="31">
        <f>VLOOKUP(1,AD14:AN17,4,FALSE)</f>
        <v/>
      </c>
      <c r="N15" s="31">
        <f>VLOOKUP(1,AD14:AN17,5,FALSE)</f>
        <v/>
      </c>
      <c r="O15" s="31">
        <f>VLOOKUP(1,AD14:AN17,6,FALSE) &amp; " - " &amp; VLOOKUP(1,AD14:AN17,7,FALSE)</f>
        <v/>
      </c>
      <c r="P15" s="32">
        <f>L15*3+M15</f>
        <v/>
      </c>
      <c r="R15" s="123">
        <f>DATE(2026,6,14)+TIME(12,0,0)+gmt_delta</f>
        <v/>
      </c>
      <c r="S15" s="127">
        <f>IF(OR(F15="",G15=""),"",IF(F15&gt;G15,E15&amp;"_win",IF(F15&lt;G15,E15&amp;"_lose",E15&amp;"_draw")))</f>
        <v/>
      </c>
      <c r="T15" s="127">
        <f>IF(S15="","",IF(F15&lt;G15,H15&amp;"_win",IF(F15&gt;G15,H15&amp;"_lose",H15&amp;"_draw")))</f>
        <v/>
      </c>
      <c r="U15" s="123">
        <f>IF(S15="",0,IF(VLOOKUP(E15,$AE$8:$AN$77,10,FALSE)=VLOOKUP(H15,$AE$8:$AN$77,10,FALSE),1,0))</f>
        <v/>
      </c>
      <c r="V15" s="123">
        <f>U15*F15</f>
        <v/>
      </c>
      <c r="W15" s="123">
        <f>U15*G15</f>
        <v/>
      </c>
      <c r="X15" s="123">
        <f>IF(S15="",0,IF(VLOOKUP(E15,$AE$8:$AO$77,11,FALSE)=VLOOKUP(H15,$AE$8:$AO$77,11,FALSE),1,0))</f>
        <v/>
      </c>
      <c r="Y15" s="123">
        <f>X15*F15</f>
        <v/>
      </c>
      <c r="Z15" s="123">
        <f>X15*G15</f>
        <v/>
      </c>
      <c r="AA15" s="123">
        <f>IF(OR(E15=my_team,H15=my_team),1,IF(INT(MATCH(E15,$AE$8:$AE$78,0)/6)=$AA$6,1,0))</f>
        <v/>
      </c>
      <c r="AB15" s="123">
        <f>IF(OR(F15="",G15=""),"",IF(F15&gt;G15,1,IF(F15&lt;G15,-1,0)))</f>
        <v/>
      </c>
      <c r="AD15" s="123">
        <f>COUNTIF(AR14:AR17,CONCATENATE("&gt;=",AR15))</f>
        <v/>
      </c>
      <c r="AE15" s="124">
        <f>VLOOKUP("Bosnia and Herzegovina",T,lang,FALSE)</f>
        <v/>
      </c>
      <c r="AF15" s="123">
        <f>COUNTIF($S$7:$T$78,"=" &amp; AE15 &amp; "_win")</f>
        <v/>
      </c>
      <c r="AG15" s="123">
        <f>COUNTIF($S$7:$T$78,"=" &amp; AE15 &amp; "_draw")</f>
        <v/>
      </c>
      <c r="AH15" s="123">
        <f>COUNTIF($S$7:$T$78,"=" &amp; AE15 &amp; "_lose")</f>
        <v/>
      </c>
      <c r="AI15" s="123">
        <f>SUMIF($E$7:$E$78,$AE15,$F$7:$F$78) + SUMIF($H$7:$H$78,$AE15,$G$7:$G$78)</f>
        <v/>
      </c>
      <c r="AJ15" s="123">
        <f>SUMIF($E$7:$E$78,$AE15,$G$7:$G$78) + SUMIF($H$7:$H$78,$AE15,$F$7:$F$78)</f>
        <v/>
      </c>
      <c r="AL15" s="123">
        <f>AI15-AJ15</f>
        <v/>
      </c>
      <c r="AM15" s="123">
        <f>AL15-AL18</f>
        <v/>
      </c>
      <c r="AN15" s="123">
        <f>AF15*3+AG15</f>
        <v/>
      </c>
      <c r="AO15" s="123">
        <f>AN15/AN18*10+BA15</f>
        <v/>
      </c>
      <c r="AP15" s="123">
        <f>AO15*10000000+BI15*100+AM15/AM18*10+AI15/AI18*1++IF(AQ15=0,ROW(),AQ15)/2000000</f>
        <v/>
      </c>
      <c r="AQ15" s="126">
        <f>VLOOKUP(AE15,db_fifarank,2,FALSE)</f>
        <v/>
      </c>
      <c r="AR15" s="125">
        <f>AP15/AP18</f>
        <v/>
      </c>
      <c r="AS15" s="125">
        <f>IF(SUM(AF14:AH17)=12,J16,"2B")</f>
        <v/>
      </c>
      <c r="AT15" s="126">
        <f t="array" ref="AT15">SUMPRODUCT(($S$7:$S$78=AE15&amp;"_win")*($U$7:$U$78))+SUMPRODUCT(($T$7:$T$78=AE15&amp;"_win")*($U$7:$U$78))</f>
        <v/>
      </c>
      <c r="AU15" s="126">
        <f t="array" ref="AU15">SUMPRODUCT(($S$7:$S$78=AE15&amp;"_draw")*($U$7:$U$78))+SUMPRODUCT(($T$7:$T$78=AE15&amp;"_draw")*($U$7:$U$78))</f>
        <v/>
      </c>
      <c r="AV15" s="126">
        <f t="array" ref="AV15">SUMPRODUCT(($E$7:$E$78=AE15)*($U$7:$U$78)*($F$7:$F$78))+SUMPRODUCT(($H$7:$H$78=AE15)*($U$7:$U$78)*($G$7:$G$78))</f>
        <v/>
      </c>
      <c r="AW15" s="126">
        <f t="array" ref="AW15">SUMPRODUCT(($E$7:$E$78=AE15)*($U$7:$U$78)*($G$7:$G$78))+SUMPRODUCT(($H$7:$H$78=AE15)*($U$7:$U$78)*($F$7:$F$78))</f>
        <v/>
      </c>
      <c r="AX15" s="126">
        <f>AV15-AW15</f>
        <v/>
      </c>
      <c r="AY15" s="126">
        <f>AX15-MIN(AX14:AX17)</f>
        <v/>
      </c>
      <c r="AZ15" s="126">
        <f>AT15/AT18*1000+AU15/AU18*100+AY15/AY18*10+AV15/AV18</f>
        <v/>
      </c>
      <c r="BA15" s="126">
        <f>AZ15/AZ18</f>
        <v/>
      </c>
      <c r="BB15" s="126">
        <f t="array" ref="BB15">SUMPRODUCT(($S$7:$S$78=AE15&amp;"_win")*($X$7:$X$78))+SUMPRODUCT(($T$7:$T$78=AE15&amp;"_win")*($X$7:$X$78))</f>
        <v/>
      </c>
      <c r="BC15" s="126">
        <f t="array" ref="BC15">SUMPRODUCT(($S$7:$S$78=AE15&amp;"_draw")*($X$7:$X$78))+SUMPRODUCT(($T$7:$T$78=AE15&amp;"_draw")*($X$7:$X$78))</f>
        <v/>
      </c>
      <c r="BD15" s="126">
        <f t="array" ref="BD15">SUMPRODUCT(($E$7:$E$78=AE15)*($X$7:$X$78)*($F$7:$F$78))+SUMPRODUCT(($H$7:$H$78=AE15)*($X$7:$X$78)*($G$7:$G$78))</f>
        <v/>
      </c>
      <c r="BE15" s="126">
        <f t="array" ref="BE15">SUMPRODUCT(($E$7:$E$78=AE15)*($X$7:$X$78)*($G$7:$G$78))+SUMPRODUCT(($H$7:$H$78=AE15)*($X$7:$X$78)*($F$7:$F$78))</f>
        <v/>
      </c>
      <c r="BF15" s="126">
        <f>BD15-BE15</f>
        <v/>
      </c>
      <c r="BG15" s="126">
        <f>BF15-MIN(BF14:BF17)</f>
        <v/>
      </c>
      <c r="BH15" s="126">
        <f>BB15/BB18*1000+BC15/BC18*100+BG15/BG18*10+BD15/BD18</f>
        <v/>
      </c>
      <c r="BI15" s="126">
        <f>BH15/BH18</f>
        <v/>
      </c>
      <c r="BK15" s="180" t="n"/>
      <c r="BL15" s="26">
        <f>IF(group_round_completed,VLOOKUP('3rd places'!I3,AK80:AS91,9,FALSE),"3rd Group C/D/F/G/H")</f>
        <v/>
      </c>
      <c r="BM15" s="62" t="n">
        <v>1</v>
      </c>
      <c r="BN15" s="64" t="n"/>
      <c r="BO15" s="27" t="n"/>
      <c r="BP15" s="112">
        <f>IF(BP14="","",BM15*1000+BN15*10+BO15)</f>
        <v/>
      </c>
      <c r="BQ15" s="112" t="n"/>
      <c r="BR15" s="21" t="n"/>
      <c r="BS15" s="21" t="n"/>
      <c r="BT15" s="21" t="n"/>
      <c r="BU15" s="21" t="n"/>
      <c r="BV15" s="21" t="n"/>
      <c r="BW15" s="114" t="n"/>
      <c r="BX15" s="112" t="n"/>
      <c r="BY15" s="21">
        <f t="array" ref="BY15">INDEX(T,24+MONTH(CD15),lang) &amp; " " &amp; DAY(CD15) &amp; ", " &amp; YEAR(CD15) &amp; "   " &amp; (IF(HOUR(CD15)&lt;10,0,"")&amp;HOUR(CD15)) &amp; ":" &amp;  (IF(MINUTE(CD15)&lt;10,0,"")&amp;MINUTE(CD15))</f>
        <v/>
      </c>
      <c r="BZ15" s="21" t="n"/>
      <c r="CA15" s="21" t="n"/>
      <c r="CB15" s="21" t="n"/>
      <c r="CC15" s="28" t="n"/>
      <c r="CD15" s="112">
        <f>DATE(2026,7,9)+TIME(9,0,0)+gmt_delta</f>
        <v/>
      </c>
      <c r="CE15" s="112" t="n"/>
      <c r="CF15" s="21" t="n"/>
      <c r="CG15" s="21" t="n"/>
      <c r="CH15" s="21" t="n"/>
      <c r="CI15" s="21" t="n"/>
    </row>
    <row r="16">
      <c r="A16" s="16" t="n">
        <v>10</v>
      </c>
      <c r="B16" s="17">
        <f t="array" ref="B16">INDEX(T,18+INT(MOD(R16-1,7)),lang)</f>
        <v/>
      </c>
      <c r="C16" s="18">
        <f t="array" ref="C16">INDEX(T,24+MONTH(R16),lang) &amp; " " &amp; DAY(R16) &amp; ", " &amp; YEAR(R16)</f>
        <v/>
      </c>
      <c r="D16" s="120">
        <f>TIME(HOUR(R16),MINUTE(R16),0)</f>
        <v/>
      </c>
      <c r="E16" s="78">
        <f>AE32</f>
        <v/>
      </c>
      <c r="F16" s="19" t="n">
        <v>3</v>
      </c>
      <c r="G16" s="20" t="n">
        <v>0</v>
      </c>
      <c r="H16" s="80">
        <f>AE33</f>
        <v/>
      </c>
      <c r="J16" s="33">
        <f>VLOOKUP(2,AD14:AN17,2,FALSE)</f>
        <v/>
      </c>
      <c r="K16" s="23">
        <f>L16+M16+N16</f>
        <v/>
      </c>
      <c r="L16" s="23">
        <f>VLOOKUP(2,AD14:AN17,3,FALSE)</f>
        <v/>
      </c>
      <c r="M16" s="23">
        <f>VLOOKUP(2,AD14:AN17,4,FALSE)</f>
        <v/>
      </c>
      <c r="N16" s="23">
        <f>VLOOKUP(2,AD14:AN17,5,FALSE)</f>
        <v/>
      </c>
      <c r="O16" s="23">
        <f>VLOOKUP(2,AD14:AN17,6,FALSE) &amp; " - " &amp; VLOOKUP(2,AD14:AN17,7,FALSE)</f>
        <v/>
      </c>
      <c r="P16" s="34">
        <f>L16*3+M16</f>
        <v/>
      </c>
      <c r="R16" s="123">
        <f>DATE(2026,6,14)+TIME(6,0,0)+gmt_delta</f>
        <v/>
      </c>
      <c r="S16" s="127">
        <f>IF(OR(F16="",G16=""),"",IF(F16&gt;G16,E16&amp;"_win",IF(F16&lt;G16,E16&amp;"_lose",E16&amp;"_draw")))</f>
        <v/>
      </c>
      <c r="T16" s="127">
        <f>IF(S16="","",IF(F16&lt;G16,H16&amp;"_win",IF(F16&gt;G16,H16&amp;"_lose",H16&amp;"_draw")))</f>
        <v/>
      </c>
      <c r="U16" s="123">
        <f>IF(S16="",0,IF(VLOOKUP(E16,$AE$8:$AN$77,10,FALSE)=VLOOKUP(H16,$AE$8:$AN$77,10,FALSE),1,0))</f>
        <v/>
      </c>
      <c r="V16" s="123">
        <f>U16*F16</f>
        <v/>
      </c>
      <c r="W16" s="123">
        <f>U16*G16</f>
        <v/>
      </c>
      <c r="X16" s="123">
        <f>IF(S16="",0,IF(VLOOKUP(E16,$AE$8:$AO$77,11,FALSE)=VLOOKUP(H16,$AE$8:$AO$77,11,FALSE),1,0))</f>
        <v/>
      </c>
      <c r="Y16" s="123">
        <f>X16*F16</f>
        <v/>
      </c>
      <c r="Z16" s="123">
        <f>X16*G16</f>
        <v/>
      </c>
      <c r="AA16" s="123">
        <f>IF(OR(E16=my_team,H16=my_team),1,IF(INT(MATCH(E16,$AE$8:$AE$78,0)/6)=$AA$6,1,0))</f>
        <v/>
      </c>
      <c r="AB16" s="123">
        <f>IF(OR(F16="",G16=""),"",IF(F16&gt;G16,1,IF(F16&lt;G16,-1,0)))</f>
        <v/>
      </c>
      <c r="AD16" s="123">
        <f>COUNTIF(AR14:AR17,CONCATENATE("&gt;=",AR16))</f>
        <v/>
      </c>
      <c r="AE16" s="124">
        <f>VLOOKUP("Qatar",T,lang,FALSE)</f>
        <v/>
      </c>
      <c r="AF16" s="123">
        <f>COUNTIF($S$7:$T$78,"=" &amp; AE16 &amp; "_win")</f>
        <v/>
      </c>
      <c r="AG16" s="123">
        <f>COUNTIF($S$7:$T$78,"=" &amp; AE16 &amp; "_draw")</f>
        <v/>
      </c>
      <c r="AH16" s="123">
        <f>COUNTIF($S$7:$T$78,"=" &amp; AE16 &amp; "_lose")</f>
        <v/>
      </c>
      <c r="AI16" s="123">
        <f>SUMIF($E$7:$E$78,$AE16,$F$7:$F$78) + SUMIF($H$7:$H$78,$AE16,$G$7:$G$78)</f>
        <v/>
      </c>
      <c r="AJ16" s="123">
        <f>SUMIF($E$7:$E$78,$AE16,$G$7:$G$78) + SUMIF($H$7:$H$78,$AE16,$F$7:$F$78)</f>
        <v/>
      </c>
      <c r="AL16" s="123">
        <f>AI16-AJ16</f>
        <v/>
      </c>
      <c r="AM16" s="123">
        <f>AL16-AL18</f>
        <v/>
      </c>
      <c r="AN16" s="123">
        <f>AF16*3+AG16</f>
        <v/>
      </c>
      <c r="AO16" s="123">
        <f>AN16/AN18*10+BA16</f>
        <v/>
      </c>
      <c r="AP16" s="123">
        <f>AO16*10000000+BI16*100+AM16/AM18*10+AI16/AI18*1++IF(AQ16=0,ROW(),AQ16)/2000000</f>
        <v/>
      </c>
      <c r="AQ16" s="126">
        <f>VLOOKUP(AE16,db_fifarank,2,FALSE)</f>
        <v/>
      </c>
      <c r="AR16" s="125">
        <f>AP16/AP18</f>
        <v/>
      </c>
      <c r="AT16" s="126">
        <f t="array" ref="AT16">SUMPRODUCT(($S$7:$S$78=AE16&amp;"_win")*($U$7:$U$78))+SUMPRODUCT(($T$7:$T$78=AE16&amp;"_win")*($U$7:$U$78))</f>
        <v/>
      </c>
      <c r="AU16" s="126">
        <f t="array" ref="AU16">SUMPRODUCT(($S$7:$S$78=AE16&amp;"_draw")*($U$7:$U$78))+SUMPRODUCT(($T$7:$T$78=AE16&amp;"_draw")*($U$7:$U$78))</f>
        <v/>
      </c>
      <c r="AV16" s="126">
        <f t="array" ref="AV16">SUMPRODUCT(($E$7:$E$78=AE16)*($U$7:$U$78)*($F$7:$F$78))+SUMPRODUCT(($H$7:$H$78=AE16)*($U$7:$U$78)*($G$7:$G$78))</f>
        <v/>
      </c>
      <c r="AW16" s="126">
        <f t="array" ref="AW16">SUMPRODUCT(($E$7:$E$78=AE16)*($U$7:$U$78)*($G$7:$G$78))+SUMPRODUCT(($H$7:$H$78=AE16)*($U$7:$U$78)*($F$7:$F$78))</f>
        <v/>
      </c>
      <c r="AX16" s="126">
        <f>AV16-AW16</f>
        <v/>
      </c>
      <c r="AY16" s="126">
        <f>AX16-MIN(AX14:AX17)</f>
        <v/>
      </c>
      <c r="AZ16" s="126">
        <f>AT16/AT18*1000+AU16/AU18*100+AY16/AY18*10+AV16/AV18</f>
        <v/>
      </c>
      <c r="BA16" s="126">
        <f>AZ16/AZ18</f>
        <v/>
      </c>
      <c r="BB16" s="126">
        <f t="array" ref="BB16">SUMPRODUCT(($S$7:$S$78=AE16&amp;"_win")*($X$7:$X$78))+SUMPRODUCT(($T$7:$T$78=AE16&amp;"_win")*($X$7:$X$78))</f>
        <v/>
      </c>
      <c r="BC16" s="126">
        <f t="array" ref="BC16">SUMPRODUCT(($S$7:$S$78=AE16&amp;"_draw")*($X$7:$X$78))+SUMPRODUCT(($T$7:$T$78=AE16&amp;"_draw")*($X$7:$X$78))</f>
        <v/>
      </c>
      <c r="BD16" s="126">
        <f t="array" ref="BD16">SUMPRODUCT(($E$7:$E$78=AE16)*($X$7:$X$78)*($F$7:$F$78))+SUMPRODUCT(($H$7:$H$78=AE16)*($X$7:$X$78)*($G$7:$G$78))</f>
        <v/>
      </c>
      <c r="BE16" s="126">
        <f t="array" ref="BE16">SUMPRODUCT(($E$7:$E$78=AE16)*($X$7:$X$78)*($G$7:$G$78))+SUMPRODUCT(($H$7:$H$78=AE16)*($X$7:$X$78)*($F$7:$F$78))</f>
        <v/>
      </c>
      <c r="BF16" s="126">
        <f>BD16-BE16</f>
        <v/>
      </c>
      <c r="BG16" s="126">
        <f>BF16-MIN(BF14:BF17)</f>
        <v/>
      </c>
      <c r="BH16" s="126">
        <f>BB16/BB18*1000+BC16/BC18*100+BG16/BG18*10+BD16/BD18</f>
        <v/>
      </c>
      <c r="BI16" s="126">
        <f>BH16/BH18</f>
        <v/>
      </c>
      <c r="BK16" s="21" t="n"/>
      <c r="BL16" s="21" t="n"/>
      <c r="BM16" s="21" t="n"/>
      <c r="BN16" s="21" t="n"/>
      <c r="BO16" s="21" t="n"/>
      <c r="BP16" s="112" t="n"/>
      <c r="BQ16" s="112" t="n"/>
      <c r="BR16" s="21" t="n"/>
      <c r="BS16" s="21" t="n"/>
      <c r="BT16" s="21" t="n"/>
      <c r="BU16" s="21" t="n"/>
      <c r="BV16" s="21" t="n"/>
      <c r="BW16" s="114" t="n"/>
      <c r="BX16" s="112" t="n"/>
      <c r="BY16" s="179" t="n">
        <v>97</v>
      </c>
      <c r="BZ16" s="24">
        <f>IF(BW12&gt;BW13,BS12,IF(BW12&lt;BW13,BS13,""))</f>
        <v/>
      </c>
      <c r="CA16" s="61" t="n">
        <v>2</v>
      </c>
      <c r="CB16" s="63" t="n"/>
      <c r="CC16" s="25" t="n"/>
      <c r="CD16" s="112">
        <f>IF(OR(CA16="",CA17="",AND(CB16="",CB17&lt;&gt;""),AND(CB17="",CB16&lt;&gt;""),AND(CC16="",CC17&lt;&gt;""),AND(CC17="",CC16&lt;&gt;"")),"",CA16*1000+CB16*10+CC16)</f>
        <v/>
      </c>
      <c r="CE16" s="112" t="n"/>
      <c r="CF16" s="21" t="n"/>
      <c r="CG16" s="21" t="n"/>
      <c r="CH16" s="21" t="n"/>
      <c r="CI16" s="21" t="n"/>
    </row>
    <row r="17">
      <c r="A17" s="16" t="n">
        <v>11</v>
      </c>
      <c r="B17" s="17">
        <f t="array" ref="B17">INDEX(T,18+INT(MOD(R17-1,7)),lang)</f>
        <v/>
      </c>
      <c r="C17" s="18">
        <f t="array" ref="C17">INDEX(T,24+MONTH(R17),lang) &amp; " " &amp; DAY(R17) &amp; ", " &amp; YEAR(R17)</f>
        <v/>
      </c>
      <c r="D17" s="120">
        <f>TIME(HOUR(R17),MINUTE(R17),0)</f>
        <v/>
      </c>
      <c r="E17" s="78">
        <f>AE38</f>
        <v/>
      </c>
      <c r="F17" s="19" t="n">
        <v>2</v>
      </c>
      <c r="G17" s="20" t="n">
        <v>1</v>
      </c>
      <c r="H17" s="80">
        <f>AE39</f>
        <v/>
      </c>
      <c r="J17" s="33">
        <f>VLOOKUP(3,AD14:AN17,2,FALSE)</f>
        <v/>
      </c>
      <c r="K17" s="23">
        <f>L17+M17+N17</f>
        <v/>
      </c>
      <c r="L17" s="23">
        <f>VLOOKUP(3,AD14:AN17,3,FALSE)</f>
        <v/>
      </c>
      <c r="M17" s="23">
        <f>VLOOKUP(3,AD14:AN17,4,FALSE)</f>
        <v/>
      </c>
      <c r="N17" s="23">
        <f>VLOOKUP(3,AD14:AN17,5,FALSE)</f>
        <v/>
      </c>
      <c r="O17" s="23">
        <f>VLOOKUP(3,AD14:AN17,6,FALSE) &amp; " - " &amp; VLOOKUP(3,AD14:AN17,7,FALSE)</f>
        <v/>
      </c>
      <c r="P17" s="34">
        <f>L17*3+M17</f>
        <v/>
      </c>
      <c r="R17" s="123">
        <f>DATE(2026,6,14)+TIME(9,0,0)+gmt_delta</f>
        <v/>
      </c>
      <c r="S17" s="127">
        <f>IF(OR(F17="",G17=""),"",IF(F17&gt;G17,E17&amp;"_win",IF(F17&lt;G17,E17&amp;"_lose",E17&amp;"_draw")))</f>
        <v/>
      </c>
      <c r="T17" s="127">
        <f>IF(S17="","",IF(F17&lt;G17,H17&amp;"_win",IF(F17&gt;G17,H17&amp;"_lose",H17&amp;"_draw")))</f>
        <v/>
      </c>
      <c r="U17" s="123">
        <f>IF(S17="",0,IF(VLOOKUP(E17,$AE$8:$AN$77,10,FALSE)=VLOOKUP(H17,$AE$8:$AN$77,10,FALSE),1,0))</f>
        <v/>
      </c>
      <c r="V17" s="123">
        <f>U17*F17</f>
        <v/>
      </c>
      <c r="W17" s="123">
        <f>U17*G17</f>
        <v/>
      </c>
      <c r="X17" s="123">
        <f>IF(S17="",0,IF(VLOOKUP(E17,$AE$8:$AO$77,11,FALSE)=VLOOKUP(H17,$AE$8:$AO$77,11,FALSE),1,0))</f>
        <v/>
      </c>
      <c r="Y17" s="123">
        <f>X17*F17</f>
        <v/>
      </c>
      <c r="Z17" s="123">
        <f>X17*G17</f>
        <v/>
      </c>
      <c r="AA17" s="123">
        <f>IF(OR(E17=my_team,H17=my_team),1,IF(INT(MATCH(E17,$AE$8:$AE$78,0)/6)=$AA$6,1,0))</f>
        <v/>
      </c>
      <c r="AB17" s="123">
        <f>IF(OR(F17="",G17=""),"",IF(F17&gt;G17,1,IF(F17&lt;G17,-1,0)))</f>
        <v/>
      </c>
      <c r="AD17" s="123">
        <f>COUNTIF(AR14:AR17,CONCATENATE("&gt;=",AR17))</f>
        <v/>
      </c>
      <c r="AE17" s="124">
        <f>VLOOKUP("Switzerland",T,lang,FALSE)</f>
        <v/>
      </c>
      <c r="AF17" s="123">
        <f>COUNTIF($S$7:$T$78,"=" &amp; AE17 &amp; "_win")</f>
        <v/>
      </c>
      <c r="AG17" s="123">
        <f>COUNTIF($S$7:$T$78,"=" &amp; AE17 &amp; "_draw")</f>
        <v/>
      </c>
      <c r="AH17" s="123">
        <f>COUNTIF($S$7:$T$78,"=" &amp; AE17 &amp; "_lose")</f>
        <v/>
      </c>
      <c r="AI17" s="123">
        <f>SUMIF($E$7:$E$78,$AE17,$F$7:$F$78) + SUMIF($H$7:$H$78,$AE17,$G$7:$G$78)</f>
        <v/>
      </c>
      <c r="AJ17" s="123">
        <f>SUMIF($E$7:$E$78,$AE17,$G$7:$G$78) + SUMIF($H$7:$H$78,$AE17,$F$7:$F$78)</f>
        <v/>
      </c>
      <c r="AL17" s="123">
        <f>AI17-AJ17</f>
        <v/>
      </c>
      <c r="AM17" s="123">
        <f>AL17-AL18</f>
        <v/>
      </c>
      <c r="AN17" s="123">
        <f>AF17*3+AG17</f>
        <v/>
      </c>
      <c r="AO17" s="123">
        <f>AN17/AN18*10+BA17</f>
        <v/>
      </c>
      <c r="AP17" s="123">
        <f>AO17*10000000+BI17*100+AM17/AM18*10+AI17/AI18*1++IF(AQ17=0,ROW(),AQ17)/2000000</f>
        <v/>
      </c>
      <c r="AQ17" s="126">
        <f>VLOOKUP(AE17,db_fifarank,2,FALSE)</f>
        <v/>
      </c>
      <c r="AR17" s="125">
        <f>AP17/AP18</f>
        <v/>
      </c>
      <c r="AT17" s="126">
        <f t="array" ref="AT17">SUMPRODUCT(($S$7:$S$78=AE17&amp;"_win")*($U$7:$U$78))+SUMPRODUCT(($T$7:$T$78=AE17&amp;"_win")*($U$7:$U$78))</f>
        <v/>
      </c>
      <c r="AU17" s="126">
        <f t="array" ref="AU17">SUMPRODUCT(($S$7:$S$78=AE17&amp;"_draw")*($U$7:$U$78))+SUMPRODUCT(($T$7:$T$78=AE17&amp;"_draw")*($U$7:$U$78))</f>
        <v/>
      </c>
      <c r="AV17" s="126">
        <f t="array" ref="AV17">SUMPRODUCT(($E$7:$E$78=AE17)*($U$7:$U$78)*($F$7:$F$78))+SUMPRODUCT(($H$7:$H$78=AE17)*($U$7:$U$78)*($G$7:$G$78))</f>
        <v/>
      </c>
      <c r="AW17" s="126">
        <f t="array" ref="AW17">SUMPRODUCT(($E$7:$E$78=AE17)*($U$7:$U$78)*($G$7:$G$78))+SUMPRODUCT(($H$7:$H$78=AE17)*($U$7:$U$78)*($F$7:$F$78))</f>
        <v/>
      </c>
      <c r="AX17" s="126">
        <f>AV17-AW17</f>
        <v/>
      </c>
      <c r="AY17" s="126">
        <f>AX17-MIN(AX14:AX17)</f>
        <v/>
      </c>
      <c r="AZ17" s="126">
        <f>AT17/AT18*1000+AU17/AU18*100+AY17/AY18*10+AV17/AV18</f>
        <v/>
      </c>
      <c r="BA17" s="126">
        <f>AZ17/AZ18</f>
        <v/>
      </c>
      <c r="BB17" s="126">
        <f t="array" ref="BB17">SUMPRODUCT(($S$7:$S$78=AE17&amp;"_win")*($X$7:$X$78))+SUMPRODUCT(($T$7:$T$78=AE17&amp;"_win")*($X$7:$X$78))</f>
        <v/>
      </c>
      <c r="BC17" s="126">
        <f t="array" ref="BC17">SUMPRODUCT(($S$7:$S$78=AE17&amp;"_draw")*($X$7:$X$78))+SUMPRODUCT(($T$7:$T$78=AE17&amp;"_draw")*($X$7:$X$78))</f>
        <v/>
      </c>
      <c r="BD17" s="126">
        <f t="array" ref="BD17">SUMPRODUCT(($E$7:$E$78=AE17)*($X$7:$X$78)*($F$7:$F$78))+SUMPRODUCT(($H$7:$H$78=AE17)*($X$7:$X$78)*($G$7:$G$78))</f>
        <v/>
      </c>
      <c r="BE17" s="126">
        <f t="array" ref="BE17">SUMPRODUCT(($E$7:$E$78=AE17)*($X$7:$X$78)*($G$7:$G$78))+SUMPRODUCT(($H$7:$H$78=AE17)*($X$7:$X$78)*($F$7:$F$78))</f>
        <v/>
      </c>
      <c r="BF17" s="126">
        <f>BD17-BE17</f>
        <v/>
      </c>
      <c r="BG17" s="126">
        <f>BF17-MIN(BF14:BF17)</f>
        <v/>
      </c>
      <c r="BH17" s="126">
        <f>BB17/BB18*1000+BC17/BC18*100+BG17/BG18*10+BD17/BD18</f>
        <v/>
      </c>
      <c r="BI17" s="126">
        <f>BH17/BH18</f>
        <v/>
      </c>
      <c r="BK17" s="21">
        <f t="array" ref="BK17">INDEX(T,24+MONTH(BP17),lang) &amp; " " &amp; DAY(BP17) &amp; ", " &amp; YEAR(BP17) &amp; "   " &amp; (IF(HOUR(BP17)&lt;10,0,"")&amp;HOUR(BP17)) &amp; ":" &amp;  (IF(MINUTE(BP17)&lt;10,0,"")&amp;MINUTE(BP17))</f>
        <v/>
      </c>
      <c r="BL17" s="21" t="n"/>
      <c r="BM17" s="21" t="n"/>
      <c r="BN17" s="21" t="n"/>
      <c r="BO17" s="28" t="n"/>
      <c r="BP17" s="112">
        <f>DATE(2026,6,28)+TIME(8,0,0)+gmt_delta</f>
        <v/>
      </c>
      <c r="BQ17" s="112" t="n"/>
      <c r="BR17" s="21" t="n"/>
      <c r="BS17" s="21" t="n"/>
      <c r="BT17" s="21" t="n"/>
      <c r="BU17" s="21" t="n"/>
      <c r="BV17" s="21" t="n"/>
      <c r="BW17" s="114" t="n"/>
      <c r="BX17" s="115" t="n"/>
      <c r="BY17" s="180" t="n"/>
      <c r="BZ17" s="26">
        <f>IF(BW20&gt;BW21,BS20,IF(BW20&lt;BW21,BS21,""))</f>
        <v/>
      </c>
      <c r="CA17" s="62" t="n">
        <v>0</v>
      </c>
      <c r="CB17" s="64" t="n"/>
      <c r="CC17" s="27" t="n"/>
      <c r="CD17" s="113">
        <f>IF(CD16="","",CA17*1000+CB17*10+CC17)</f>
        <v/>
      </c>
      <c r="CE17" s="117" t="n"/>
      <c r="CF17" s="21" t="n"/>
      <c r="CG17" s="21" t="n"/>
      <c r="CH17" s="21" t="n"/>
      <c r="CI17" s="21" t="n"/>
    </row>
    <row r="18">
      <c r="A18" s="16" t="n">
        <v>12</v>
      </c>
      <c r="B18" s="17">
        <f t="array" ref="B18">INDEX(T,18+INT(MOD(R18-1,7)),lang)</f>
        <v/>
      </c>
      <c r="C18" s="18">
        <f t="array" ref="C18">INDEX(T,24+MONTH(R18),lang) &amp; " " &amp; DAY(R18) &amp; ", " &amp; YEAR(R18)</f>
        <v/>
      </c>
      <c r="D18" s="120">
        <f>TIME(HOUR(R18),MINUTE(R18),0)</f>
        <v/>
      </c>
      <c r="E18" s="78">
        <f>AE40</f>
        <v/>
      </c>
      <c r="F18" s="19" t="n">
        <v>2</v>
      </c>
      <c r="G18" s="20" t="n">
        <v>1</v>
      </c>
      <c r="H18" s="80">
        <f>AE41</f>
        <v/>
      </c>
      <c r="J18" s="35">
        <f>VLOOKUP(4,AD14:AN17,2,FALSE)</f>
        <v/>
      </c>
      <c r="K18" s="36">
        <f>L18+M18+N18</f>
        <v/>
      </c>
      <c r="L18" s="36">
        <f>VLOOKUP(4,AD14:AN17,3,FALSE)</f>
        <v/>
      </c>
      <c r="M18" s="36">
        <f>VLOOKUP(4,AD14:AN17,4,FALSE)</f>
        <v/>
      </c>
      <c r="N18" s="36">
        <f>VLOOKUP(4,AD14:AN17,5,FALSE)</f>
        <v/>
      </c>
      <c r="O18" s="36">
        <f>VLOOKUP(4,AD14:AN17,6,FALSE) &amp; " - " &amp; VLOOKUP(4,AD14:AN17,7,FALSE)</f>
        <v/>
      </c>
      <c r="P18" s="37">
        <f>L18*3+M18</f>
        <v/>
      </c>
      <c r="R18" s="123">
        <f>DATE(2026,6,14)+TIME(15,0,0)+gmt_delta</f>
        <v/>
      </c>
      <c r="S18" s="127">
        <f>IF(OR(F18="",G18=""),"",IF(F18&gt;G18,E18&amp;"_win",IF(F18&lt;G18,E18&amp;"_lose",E18&amp;"_draw")))</f>
        <v/>
      </c>
      <c r="T18" s="127">
        <f>IF(S18="","",IF(F18&lt;G18,H18&amp;"_win",IF(F18&gt;G18,H18&amp;"_lose",H18&amp;"_draw")))</f>
        <v/>
      </c>
      <c r="U18" s="123">
        <f>IF(S18="",0,IF(VLOOKUP(E18,$AE$8:$AN$77,10,FALSE)=VLOOKUP(H18,$AE$8:$AN$77,10,FALSE),1,0))</f>
        <v/>
      </c>
      <c r="V18" s="123">
        <f>U18*F18</f>
        <v/>
      </c>
      <c r="W18" s="123">
        <f>U18*G18</f>
        <v/>
      </c>
      <c r="X18" s="123">
        <f>IF(S18="",0,IF(VLOOKUP(E18,$AE$8:$AO$77,11,FALSE)=VLOOKUP(H18,$AE$8:$AO$77,11,FALSE),1,0))</f>
        <v/>
      </c>
      <c r="Y18" s="123">
        <f>X18*F18</f>
        <v/>
      </c>
      <c r="Z18" s="123">
        <f>X18*G18</f>
        <v/>
      </c>
      <c r="AA18" s="123">
        <f>IF(OR(E18=my_team,H18=my_team),1,IF(INT(MATCH(E18,$AE$8:$AE$78,0)/6)=$AA$6,1,0))</f>
        <v/>
      </c>
      <c r="AB18" s="123">
        <f>IF(OR(F18="",G18=""),"",IF(F18&gt;G18,1,IF(F18&lt;G18,-1,0)))</f>
        <v/>
      </c>
      <c r="AF18" s="123">
        <f>MAX(AF14:AF17)-MIN(AF14:AF17)+1</f>
        <v/>
      </c>
      <c r="AG18" s="123">
        <f>MAX(AG14:AG17)-MIN(AG14:AG17)+1</f>
        <v/>
      </c>
      <c r="AH18" s="123">
        <f>MAX(AH14:AH17)-MIN(AH14:AH17)+1</f>
        <v/>
      </c>
      <c r="AI18" s="123">
        <f>MAX(AI14:AI17)+1</f>
        <v/>
      </c>
      <c r="AL18" s="123">
        <f>MIN(AL14:AL17)</f>
        <v/>
      </c>
      <c r="AM18" s="123">
        <f>MAX(AM14:AM17)+1</f>
        <v/>
      </c>
      <c r="AN18" s="123">
        <f>MAX(AN14:AN17)+1</f>
        <v/>
      </c>
      <c r="AO18" s="123">
        <f>MAX(AO14:AO17)+1</f>
        <v/>
      </c>
      <c r="AP18" s="123">
        <f>MAX(AP14:AP17)+1</f>
        <v/>
      </c>
      <c r="AT18" s="126">
        <f>MAX(AT14:AT17)-MIN(AT14:AT17)+1</f>
        <v/>
      </c>
      <c r="AU18" s="126">
        <f>MAX(AU14:AU17)-MIN(AU14:AU17)+1</f>
        <v/>
      </c>
      <c r="AV18" s="126">
        <f>MAX(AV14:AV17)-MIN(AV14:AV17)+1</f>
        <v/>
      </c>
      <c r="AW18" s="126">
        <f>MAX(AW14:AW17)-MIN(AW14:AW17)+1</f>
        <v/>
      </c>
      <c r="AY18" s="126">
        <f>MAX(AY14:AY17)-MIN(AY14:AY17)+1</f>
        <v/>
      </c>
      <c r="AZ18" s="126">
        <f>MAX(AZ14:AZ17)+1</f>
        <v/>
      </c>
      <c r="BB18" s="126">
        <f>MAX(BB14:BB17)-MIN(BB14:BB17)+1</f>
        <v/>
      </c>
      <c r="BC18" s="126">
        <f>MAX(BC14:BC17)-MIN(BC14:BC17)+1</f>
        <v/>
      </c>
      <c r="BD18" s="126">
        <f>MAX(BD14:BD17)-MIN(BD14:BD17)+1</f>
        <v/>
      </c>
      <c r="BE18" s="126">
        <f>MAX(BE14:BE17)-MIN(BE14:BE17)+1</f>
        <v/>
      </c>
      <c r="BG18" s="126">
        <f>MAX(BG14:BG17)-MIN(BG14:BG17)+1</f>
        <v/>
      </c>
      <c r="BH18" s="126">
        <f>MAX(BH14:BH17)+1</f>
        <v/>
      </c>
      <c r="BK18" s="179" t="n">
        <v>73</v>
      </c>
      <c r="BL18" s="24">
        <f>AS9</f>
        <v/>
      </c>
      <c r="BM18" s="61" t="n">
        <v>1</v>
      </c>
      <c r="BN18" s="63" t="n"/>
      <c r="BO18" s="25" t="n">
        <v>4</v>
      </c>
      <c r="BP18" s="112">
        <f>IF(OR(BM18="",BM19="",AND(BN18="",BN19&lt;&gt;""),AND(BN19="",BN18&lt;&gt;""),AND(BO18="",BO19&lt;&gt;""),AND(BO19="",BO18&lt;&gt;"")),"",BM18*1000+BN18*10+BO18)</f>
        <v/>
      </c>
      <c r="BQ18" s="112" t="n"/>
      <c r="BR18" s="21" t="n"/>
      <c r="BS18" s="21" t="n"/>
      <c r="BT18" s="21" t="n"/>
      <c r="BU18" s="21" t="n"/>
      <c r="BV18" s="21" t="n"/>
      <c r="BW18" s="114" t="n"/>
      <c r="BX18" s="112" t="n"/>
      <c r="BY18" s="21" t="n"/>
      <c r="BZ18" s="21" t="n"/>
      <c r="CA18" s="21" t="n"/>
      <c r="CB18" s="21" t="n"/>
      <c r="CC18" s="21" t="n"/>
      <c r="CD18" s="114" t="n"/>
      <c r="CE18" s="112" t="n"/>
      <c r="CF18" s="21" t="n"/>
      <c r="CG18" s="21" t="n"/>
      <c r="CH18" s="21" t="n"/>
      <c r="CI18" s="21" t="n"/>
    </row>
    <row r="19">
      <c r="A19" s="16" t="n">
        <v>13</v>
      </c>
      <c r="B19" s="17">
        <f t="array" ref="B19">INDEX(T,18+INT(MOD(R19-1,7)),lang)</f>
        <v/>
      </c>
      <c r="C19" s="18">
        <f t="array" ref="C19">INDEX(T,24+MONTH(R19),lang) &amp; " " &amp; DAY(R19) &amp; ", " &amp; YEAR(R19)</f>
        <v/>
      </c>
      <c r="D19" s="120">
        <f>TIME(HOUR(R19),MINUTE(R19),0)</f>
        <v/>
      </c>
      <c r="E19" s="78">
        <f>AE52</f>
        <v/>
      </c>
      <c r="F19" s="19" t="n">
        <v>1</v>
      </c>
      <c r="G19" s="20" t="n">
        <v>3</v>
      </c>
      <c r="H19" s="80">
        <f>AE53</f>
        <v/>
      </c>
      <c r="R19" s="123">
        <f>DATE(2026,6,15)+TIME(11,0,0)+gmt_delta</f>
        <v/>
      </c>
      <c r="S19" s="127">
        <f>IF(OR(F19="",G19=""),"",IF(F19&gt;G19,E19&amp;"_win",IF(F19&lt;G19,E19&amp;"_lose",E19&amp;"_draw")))</f>
        <v/>
      </c>
      <c r="T19" s="127">
        <f>IF(S19="","",IF(F19&lt;G19,H19&amp;"_win",IF(F19&gt;G19,H19&amp;"_lose",H19&amp;"_draw")))</f>
        <v/>
      </c>
      <c r="U19" s="123">
        <f>IF(S19="",0,IF(VLOOKUP(E19,$AE$8:$AN$77,10,FALSE)=VLOOKUP(H19,$AE$8:$AN$77,10,FALSE),1,0))</f>
        <v/>
      </c>
      <c r="V19" s="123">
        <f>U19*F19</f>
        <v/>
      </c>
      <c r="W19" s="123">
        <f>U19*G19</f>
        <v/>
      </c>
      <c r="X19" s="123">
        <f>IF(S19="",0,IF(VLOOKUP(E19,$AE$8:$AO$77,11,FALSE)=VLOOKUP(H19,$AE$8:$AO$77,11,FALSE),1,0))</f>
        <v/>
      </c>
      <c r="Y19" s="123">
        <f>X19*F19</f>
        <v/>
      </c>
      <c r="Z19" s="123">
        <f>X19*G19</f>
        <v/>
      </c>
      <c r="AA19" s="123">
        <f>IF(OR(E19=my_team,H19=my_team),1,IF(INT(MATCH(E19,$AE$8:$AE$78,0)/6)=$AA$6,1,0))</f>
        <v/>
      </c>
      <c r="AB19" s="123">
        <f>IF(OR(F19="",G19=""),"",IF(F19&gt;G19,1,IF(F19&lt;G19,-1,0)))</f>
        <v/>
      </c>
      <c r="BK19" s="180" t="n"/>
      <c r="BL19" s="26">
        <f>AS15</f>
        <v/>
      </c>
      <c r="BM19" s="62" t="n">
        <v>1</v>
      </c>
      <c r="BN19" s="64" t="n"/>
      <c r="BO19" s="27" t="n">
        <v>3</v>
      </c>
      <c r="BP19" s="113">
        <f>IF(BP18="","",BM19*1000+BN19*10+BO19)</f>
        <v/>
      </c>
      <c r="BQ19" s="112" t="n"/>
      <c r="BR19" s="21">
        <f t="array" ref="BR19">INDEX(T,24+MONTH(BW19),lang) &amp; " " &amp; DAY(BW19) &amp; ", " &amp; YEAR(BW19) &amp; "   " &amp; (IF(HOUR(BW19)&lt;10,0,"")&amp;HOUR(BW19)) &amp; ":" &amp;  (IF(MINUTE(BW19)&lt;10,0,"")&amp;MINUTE(BW19))</f>
        <v/>
      </c>
      <c r="BS19" s="21" t="n"/>
      <c r="BT19" s="21" t="n"/>
      <c r="BU19" s="21" t="n"/>
      <c r="BV19" s="28" t="n"/>
      <c r="BW19" s="114">
        <f>DATE(2026,7,4)+TIME(6,0,0)+gmt_delta</f>
        <v/>
      </c>
      <c r="BX19" s="112" t="n"/>
      <c r="BY19" s="21" t="n"/>
      <c r="BZ19" s="21" t="n"/>
      <c r="CA19" s="21" t="n"/>
      <c r="CB19" s="21" t="n"/>
      <c r="CC19" s="21" t="n"/>
      <c r="CD19" s="114" t="n"/>
      <c r="CE19" s="112" t="n"/>
      <c r="CF19" s="21" t="n"/>
      <c r="CG19" s="21" t="n"/>
      <c r="CH19" s="21" t="n"/>
      <c r="CI19" s="21" t="n"/>
      <c r="CJ19" s="21" t="n"/>
      <c r="CL19" s="112" t="n"/>
      <c r="CM19" s="21" t="n"/>
      <c r="CN19" s="21" t="n"/>
      <c r="CO19" s="21" t="n"/>
      <c r="CP19" s="21" t="n"/>
      <c r="CQ19" s="21" t="n"/>
    </row>
    <row r="20">
      <c r="A20" s="16" t="n">
        <v>14</v>
      </c>
      <c r="B20" s="17">
        <f t="array" ref="B20">INDEX(T,18+INT(MOD(R20-1,7)),lang)</f>
        <v/>
      </c>
      <c r="C20" s="18">
        <f t="array" ref="C20">INDEX(T,24+MONTH(R20),lang) &amp; " " &amp; DAY(R20) &amp; ", " &amp; YEAR(R20)</f>
        <v/>
      </c>
      <c r="D20" s="120">
        <f>TIME(HOUR(R20),MINUTE(R20),0)</f>
        <v/>
      </c>
      <c r="E20" s="78">
        <f>AE50</f>
        <v/>
      </c>
      <c r="F20" s="19" t="n">
        <v>3</v>
      </c>
      <c r="G20" s="20" t="n">
        <v>0</v>
      </c>
      <c r="H20" s="80">
        <f>AE51</f>
        <v/>
      </c>
      <c r="J20" s="38">
        <f t="array" ref="J20">INDEX(T,9,lang) &amp; " " &amp; "C"</f>
        <v/>
      </c>
      <c r="K20" s="94">
        <f t="array" ref="K20">INDEX(T,10,lang)</f>
        <v/>
      </c>
      <c r="L20" s="94">
        <f t="array" ref="L20">INDEX(T,11,lang)</f>
        <v/>
      </c>
      <c r="M20" s="94">
        <f t="array" ref="M20">INDEX(T,12,lang)</f>
        <v/>
      </c>
      <c r="N20" s="94">
        <f t="array" ref="N20">INDEX(T,13,lang)</f>
        <v/>
      </c>
      <c r="O20" s="94">
        <f t="array" ref="O20">INDEX(T,14,lang)</f>
        <v/>
      </c>
      <c r="P20" s="95">
        <f t="array" ref="P20">INDEX(T,15,lang)</f>
        <v/>
      </c>
      <c r="R20" s="123">
        <f>DATE(2026,6,15)+TIME(5,0,0)+gmt_delta</f>
        <v/>
      </c>
      <c r="S20" s="127">
        <f>IF(OR(F20="",G20=""),"",IF(F20&gt;G20,E20&amp;"_win",IF(F20&lt;G20,E20&amp;"_lose",E20&amp;"_draw")))</f>
        <v/>
      </c>
      <c r="T20" s="127">
        <f>IF(S20="","",IF(F20&lt;G20,H20&amp;"_win",IF(F20&gt;G20,H20&amp;"_lose",H20&amp;"_draw")))</f>
        <v/>
      </c>
      <c r="U20" s="123">
        <f>IF(S20="",0,IF(VLOOKUP(E20,$AE$8:$AN$77,10,FALSE)=VLOOKUP(H20,$AE$8:$AN$77,10,FALSE),1,0))</f>
        <v/>
      </c>
      <c r="V20" s="123">
        <f>U20*F20</f>
        <v/>
      </c>
      <c r="W20" s="123">
        <f>U20*G20</f>
        <v/>
      </c>
      <c r="X20" s="123">
        <f>IF(S20="",0,IF(VLOOKUP(E20,$AE$8:$AO$77,11,FALSE)=VLOOKUP(H20,$AE$8:$AO$77,11,FALSE),1,0))</f>
        <v/>
      </c>
      <c r="Y20" s="123">
        <f>X20*F20</f>
        <v/>
      </c>
      <c r="Z20" s="123">
        <f>X20*G20</f>
        <v/>
      </c>
      <c r="AA20" s="123">
        <f>IF(OR(E20=my_team,H20=my_team),1,IF(INT(MATCH(E20,$AE$8:$AE$78,0)/6)=$AA$6,1,0))</f>
        <v/>
      </c>
      <c r="AB20" s="123">
        <f>IF(OR(F20="",G20=""),"",IF(F20&gt;G20,1,IF(F20&lt;G20,-1,0)))</f>
        <v/>
      </c>
      <c r="AD20" s="123">
        <f>COUNTIF(AR20:AR23,CONCATENATE("&gt;=",AR20))</f>
        <v/>
      </c>
      <c r="AE20" s="124">
        <f>VLOOKUP("Brazil",T,lang,FALSE)</f>
        <v/>
      </c>
      <c r="AF20" s="123">
        <f>COUNTIF($S$7:$T$78,"=" &amp; AE20 &amp; "_win")</f>
        <v/>
      </c>
      <c r="AG20" s="123">
        <f>COUNTIF($S$7:$T$78,"=" &amp; AE20 &amp; "_draw")</f>
        <v/>
      </c>
      <c r="AH20" s="123">
        <f>COUNTIF($S$7:$T$78,"=" &amp; AE20 &amp; "_lose")</f>
        <v/>
      </c>
      <c r="AI20" s="123">
        <f>SUMIF($E$7:$E$78,$AE20,$F$7:$F$78) + SUMIF($H$7:$H$78,$AE20,$G$7:$G$78)</f>
        <v/>
      </c>
      <c r="AJ20" s="123">
        <f>SUMIF($E$7:$E$78,$AE20,$G$7:$G$78) + SUMIF($H$7:$H$78,$AE20,$F$7:$F$78)</f>
        <v/>
      </c>
      <c r="AL20" s="123">
        <f>AI20-AJ20</f>
        <v/>
      </c>
      <c r="AM20" s="123">
        <f>AL20-AL24</f>
        <v/>
      </c>
      <c r="AN20" s="123">
        <f>AF20*3+AG20</f>
        <v/>
      </c>
      <c r="AO20" s="123">
        <f>AN20/AN24*10+BA20</f>
        <v/>
      </c>
      <c r="AP20" s="123">
        <f>AO20*10000000+BI20*100+AM20/AM24*10+AI20/AI24*1++IF(AQ20=0,ROW(),AQ20)/2000000</f>
        <v/>
      </c>
      <c r="AQ20" s="126">
        <f>VLOOKUP(AE20,db_fifarank,2,FALSE)</f>
        <v/>
      </c>
      <c r="AR20" s="125">
        <f>AP20/AP24</f>
        <v/>
      </c>
      <c r="AS20" s="125">
        <f>IF(SUM(AF20:AH23)=12,J21,"1C")</f>
        <v/>
      </c>
      <c r="AT20" s="126">
        <f t="array" ref="AT20">SUMPRODUCT(($S$7:$S$78=AE20&amp;"_win")*($U$7:$U$78))+SUMPRODUCT(($T$7:$T$78=AE20&amp;"_win")*($U$7:$U$78))</f>
        <v/>
      </c>
      <c r="AU20" s="126">
        <f t="array" ref="AU20">SUMPRODUCT(($S$7:$S$78=AE20&amp;"_draw")*($U$7:$U$78))+SUMPRODUCT(($T$7:$T$78=AE20&amp;"_draw")*($U$7:$U$78))</f>
        <v/>
      </c>
      <c r="AV20" s="126">
        <f t="array" ref="AV20">SUMPRODUCT(($E$7:$E$78=AE20)*($U$7:$U$78)*($F$7:$F$78))+SUMPRODUCT(($H$7:$H$78=AE20)*($U$7:$U$78)*($G$7:$G$78))</f>
        <v/>
      </c>
      <c r="AW20" s="126">
        <f t="array" ref="AW20">SUMPRODUCT(($E$7:$E$78=AE20)*($U$7:$U$78)*($G$7:$G$78))+SUMPRODUCT(($H$7:$H$78=AE20)*($U$7:$U$78)*($F$7:$F$78))</f>
        <v/>
      </c>
      <c r="AX20" s="126">
        <f>AV20-AW20</f>
        <v/>
      </c>
      <c r="AY20" s="126">
        <f>AX20-MIN(AX20:AX23)</f>
        <v/>
      </c>
      <c r="AZ20" s="126">
        <f>AT20/AT24*1000+AU20/AU24*100+AY20/AY24*10+AV20/AV24</f>
        <v/>
      </c>
      <c r="BA20" s="126">
        <f>AZ20/AZ24</f>
        <v/>
      </c>
      <c r="BB20" s="126">
        <f t="array" ref="BB20">SUMPRODUCT(($S$7:$S$78=AE20&amp;"_win")*($X$7:$X$78))+SUMPRODUCT(($T$7:$T$78=AE20&amp;"_win")*($X$7:$X$78))</f>
        <v/>
      </c>
      <c r="BC20" s="126">
        <f t="array" ref="BC20">SUMPRODUCT(($S$7:$S$78=AE20&amp;"_draw")*($X$7:$X$78))+SUMPRODUCT(($T$7:$T$78=AE20&amp;"_draw")*($X$7:$X$78))</f>
        <v/>
      </c>
      <c r="BD20" s="126">
        <f t="array" ref="BD20">SUMPRODUCT(($E$7:$E$78=AE20)*($X$7:$X$78)*($F$7:$F$78))+SUMPRODUCT(($H$7:$H$78=AE20)*($X$7:$X$78)*($G$7:$G$78))</f>
        <v/>
      </c>
      <c r="BE20" s="126">
        <f t="array" ref="BE20">SUMPRODUCT(($E$7:$E$78=AE20)*($X$7:$X$78)*($G$7:$G$78))+SUMPRODUCT(($H$7:$H$78=AE20)*($X$7:$X$78)*($F$7:$F$78))</f>
        <v/>
      </c>
      <c r="BF20" s="126">
        <f>BD20-BE20</f>
        <v/>
      </c>
      <c r="BG20" s="126">
        <f>BF20-MIN(BF20:BF23)</f>
        <v/>
      </c>
      <c r="BH20" s="126">
        <f>BB20/BB24*1000+BC20/BC24*100+BG20/BG24*10+BD20/BD24</f>
        <v/>
      </c>
      <c r="BI20" s="126">
        <f>BH20/BH24</f>
        <v/>
      </c>
      <c r="BK20" s="21" t="n"/>
      <c r="BL20" s="21" t="n"/>
      <c r="BM20" s="21" t="n"/>
      <c r="BN20" s="21" t="n"/>
      <c r="BO20" s="21" t="n"/>
      <c r="BP20" s="114" t="n"/>
      <c r="BQ20" s="112" t="n"/>
      <c r="BR20" s="179" t="n">
        <v>90</v>
      </c>
      <c r="BS20" s="24">
        <f>IF(BP18&gt;BP19,BL18,IF(BP18&lt;BP19,BL19,""))</f>
        <v/>
      </c>
      <c r="BT20" s="61" t="n">
        <v>1</v>
      </c>
      <c r="BU20" s="63" t="n">
        <v>0</v>
      </c>
      <c r="BV20" s="25" t="n"/>
      <c r="BW20" s="116">
        <f>IF(OR(BT20="",BT21="",AND(BU20="",BU21&lt;&gt;""),AND(BU21="",BU20&lt;&gt;""),AND(BV20="",BV21&lt;&gt;""),AND(BV21="",BV20&lt;&gt;"")),"",BT20*1000+BU20*10+BV20)</f>
        <v/>
      </c>
      <c r="BX20" s="112" t="n"/>
      <c r="BY20" s="21" t="n"/>
      <c r="BZ20" s="21" t="n"/>
      <c r="CA20" s="21" t="n"/>
      <c r="CB20" s="21" t="n"/>
      <c r="CC20" s="21" t="n"/>
      <c r="CD20" s="114" t="n"/>
      <c r="CE20" s="112" t="n"/>
      <c r="CF20" s="21" t="n"/>
      <c r="CG20" s="21" t="n"/>
      <c r="CH20" s="21" t="n"/>
      <c r="CI20" s="21" t="n"/>
      <c r="CJ20" s="21" t="n"/>
      <c r="CL20" s="112" t="n"/>
      <c r="CM20" s="21" t="n"/>
      <c r="CN20" s="21" t="n"/>
      <c r="CO20" s="21" t="n"/>
      <c r="CP20" s="21" t="n"/>
      <c r="CQ20" s="21" t="n"/>
    </row>
    <row r="21">
      <c r="A21" s="16" t="n">
        <v>15</v>
      </c>
      <c r="B21" s="17">
        <f t="array" ref="B21">INDEX(T,18+INT(MOD(R21-1,7)),lang)</f>
        <v/>
      </c>
      <c r="C21" s="18">
        <f t="array" ref="C21">INDEX(T,24+MONTH(R21),lang) &amp; " " &amp; DAY(R21) &amp; ", " &amp; YEAR(R21)</f>
        <v/>
      </c>
      <c r="D21" s="120">
        <f>TIME(HOUR(R21),MINUTE(R21),0)</f>
        <v/>
      </c>
      <c r="E21" s="78">
        <f>AE46</f>
        <v/>
      </c>
      <c r="F21" s="19" t="n">
        <v>3</v>
      </c>
      <c r="G21" s="20" t="n">
        <v>1</v>
      </c>
      <c r="H21" s="80">
        <f>AE47</f>
        <v/>
      </c>
      <c r="J21" s="30">
        <f>VLOOKUP(1,AD20:AN23,2,FALSE)</f>
        <v/>
      </c>
      <c r="K21" s="31">
        <f>L21+M21+N21</f>
        <v/>
      </c>
      <c r="L21" s="31">
        <f>VLOOKUP(1,AD20:AN23,3,FALSE)</f>
        <v/>
      </c>
      <c r="M21" s="31">
        <f>VLOOKUP(1,AD20:AN23,4,FALSE)</f>
        <v/>
      </c>
      <c r="N21" s="31">
        <f>VLOOKUP(1,AD20:AN23,5,FALSE)</f>
        <v/>
      </c>
      <c r="O21" s="31">
        <f>VLOOKUP(1,AD20:AN23,6,FALSE) &amp; " - " &amp; VLOOKUP(1,AD20:AN23,7,FALSE)</f>
        <v/>
      </c>
      <c r="P21" s="32">
        <f>L21*3+M21</f>
        <v/>
      </c>
      <c r="R21" s="123">
        <f>DATE(2026,6,15)+TIME(14,0,0)+gmt_delta</f>
        <v/>
      </c>
      <c r="S21" s="127">
        <f>IF(OR(F21="",G21=""),"",IF(F21&gt;G21,E21&amp;"_win",IF(F21&lt;G21,E21&amp;"_lose",E21&amp;"_draw")))</f>
        <v/>
      </c>
      <c r="T21" s="127">
        <f>IF(S21="","",IF(F21&lt;G21,H21&amp;"_win",IF(F21&gt;G21,H21&amp;"_lose",H21&amp;"_draw")))</f>
        <v/>
      </c>
      <c r="U21" s="123">
        <f>IF(S21="",0,IF(VLOOKUP(E21,$AE$8:$AN$77,10,FALSE)=VLOOKUP(H21,$AE$8:$AN$77,10,FALSE),1,0))</f>
        <v/>
      </c>
      <c r="V21" s="123">
        <f>U21*F21</f>
        <v/>
      </c>
      <c r="W21" s="123">
        <f>U21*G21</f>
        <v/>
      </c>
      <c r="X21" s="123">
        <f>IF(S21="",0,IF(VLOOKUP(E21,$AE$8:$AO$77,11,FALSE)=VLOOKUP(H21,$AE$8:$AO$77,11,FALSE),1,0))</f>
        <v/>
      </c>
      <c r="Y21" s="123">
        <f>X21*F21</f>
        <v/>
      </c>
      <c r="Z21" s="123">
        <f>X21*G21</f>
        <v/>
      </c>
      <c r="AA21" s="123">
        <f>IF(OR(E21=my_team,H21=my_team),1,IF(INT(MATCH(E21,$AE$8:$AE$78,0)/6)=$AA$6,1,0))</f>
        <v/>
      </c>
      <c r="AB21" s="123">
        <f>IF(OR(F21="",G21=""),"",IF(F21&gt;G21,1,IF(F21&lt;G21,-1,0)))</f>
        <v/>
      </c>
      <c r="AD21" s="123">
        <f>COUNTIF(AR20:AR23,CONCATENATE("&gt;=",AR21))</f>
        <v/>
      </c>
      <c r="AE21" s="124">
        <f>VLOOKUP("Morocco",T,lang,FALSE)</f>
        <v/>
      </c>
      <c r="AF21" s="123">
        <f>COUNTIF($S$7:$T$78,"=" &amp; AE21 &amp; "_win")</f>
        <v/>
      </c>
      <c r="AG21" s="123">
        <f>COUNTIF($S$7:$T$78,"=" &amp; AE21 &amp; "_draw")</f>
        <v/>
      </c>
      <c r="AH21" s="123">
        <f>COUNTIF($S$7:$T$78,"=" &amp; AE21 &amp; "_lose")</f>
        <v/>
      </c>
      <c r="AI21" s="123">
        <f>SUMIF($E$7:$E$78,$AE21,$F$7:$F$78) + SUMIF($H$7:$H$78,$AE21,$G$7:$G$78)</f>
        <v/>
      </c>
      <c r="AJ21" s="123">
        <f>SUMIF($E$7:$E$78,$AE21,$G$7:$G$78) + SUMIF($H$7:$H$78,$AE21,$F$7:$F$78)</f>
        <v/>
      </c>
      <c r="AL21" s="123">
        <f>AI21-AJ21</f>
        <v/>
      </c>
      <c r="AM21" s="123">
        <f>AL21-AL24</f>
        <v/>
      </c>
      <c r="AN21" s="123">
        <f>AF21*3+AG21</f>
        <v/>
      </c>
      <c r="AO21" s="123">
        <f>AN21/AN24*10+BA21</f>
        <v/>
      </c>
      <c r="AP21" s="123">
        <f>AO21*10000000+BI21*100+AM21/AM24*10+AI21/AI24*1++IF(AQ21=0,ROW(),AQ21)/2000000</f>
        <v/>
      </c>
      <c r="AQ21" s="126">
        <f>VLOOKUP(AE21,db_fifarank,2,FALSE)</f>
        <v/>
      </c>
      <c r="AR21" s="125">
        <f>AP21/AP24</f>
        <v/>
      </c>
      <c r="AS21" s="125">
        <f>IF(SUM(AF20:AH23)=12,J22,"2C")</f>
        <v/>
      </c>
      <c r="AT21" s="126">
        <f t="array" ref="AT21">SUMPRODUCT(($S$7:$S$78=AE21&amp;"_win")*($U$7:$U$78))+SUMPRODUCT(($T$7:$T$78=AE21&amp;"_win")*($U$7:$U$78))</f>
        <v/>
      </c>
      <c r="AU21" s="126">
        <f t="array" ref="AU21">SUMPRODUCT(($S$7:$S$78=AE21&amp;"_draw")*($U$7:$U$78))+SUMPRODUCT(($T$7:$T$78=AE21&amp;"_draw")*($U$7:$U$78))</f>
        <v/>
      </c>
      <c r="AV21" s="126">
        <f t="array" ref="AV21">SUMPRODUCT(($E$7:$E$78=AE21)*($U$7:$U$78)*($F$7:$F$78))+SUMPRODUCT(($H$7:$H$78=AE21)*($U$7:$U$78)*($G$7:$G$78))</f>
        <v/>
      </c>
      <c r="AW21" s="126">
        <f t="array" ref="AW21">SUMPRODUCT(($E$7:$E$78=AE21)*($U$7:$U$78)*($G$7:$G$78))+SUMPRODUCT(($H$7:$H$78=AE21)*($U$7:$U$78)*($F$7:$F$78))</f>
        <v/>
      </c>
      <c r="AX21" s="126">
        <f>AV21-AW21</f>
        <v/>
      </c>
      <c r="AY21" s="126">
        <f>AX21-MIN(AX20:AX23)</f>
        <v/>
      </c>
      <c r="AZ21" s="126">
        <f>AT21/AT24*1000+AU21/AU24*100+AY21/AY24*10+AV21/AV24</f>
        <v/>
      </c>
      <c r="BA21" s="126">
        <f>AZ21/AZ24</f>
        <v/>
      </c>
      <c r="BB21" s="126">
        <f t="array" ref="BB21">SUMPRODUCT(($S$7:$S$78=AE21&amp;"_win")*($X$7:$X$78))+SUMPRODUCT(($T$7:$T$78=AE21&amp;"_win")*($X$7:$X$78))</f>
        <v/>
      </c>
      <c r="BC21" s="126">
        <f t="array" ref="BC21">SUMPRODUCT(($S$7:$S$78=AE21&amp;"_draw")*($X$7:$X$78))+SUMPRODUCT(($T$7:$T$78=AE21&amp;"_draw")*($X$7:$X$78))</f>
        <v/>
      </c>
      <c r="BD21" s="126">
        <f t="array" ref="BD21">SUMPRODUCT(($E$7:$E$78=AE21)*($X$7:$X$78)*($F$7:$F$78))+SUMPRODUCT(($H$7:$H$78=AE21)*($X$7:$X$78)*($G$7:$G$78))</f>
        <v/>
      </c>
      <c r="BE21" s="126">
        <f t="array" ref="BE21">SUMPRODUCT(($E$7:$E$78=AE21)*($X$7:$X$78)*($G$7:$G$78))+SUMPRODUCT(($H$7:$H$78=AE21)*($X$7:$X$78)*($F$7:$F$78))</f>
        <v/>
      </c>
      <c r="BF21" s="126">
        <f>BD21-BE21</f>
        <v/>
      </c>
      <c r="BG21" s="126">
        <f>BF21-MIN(BF20:BF23)</f>
        <v/>
      </c>
      <c r="BH21" s="126">
        <f>BB21/BB24*1000+BC21/BC24*100+BG21/BG24*10+BD21/BD24</f>
        <v/>
      </c>
      <c r="BI21" s="126">
        <f>BH21/BH24</f>
        <v/>
      </c>
      <c r="BK21" s="21">
        <f t="array" ref="BK21">INDEX(T,24+MONTH(BP21),lang) &amp; " " &amp; DAY(BP21) &amp; ", " &amp; YEAR(BP21) &amp; "   " &amp; (IF(HOUR(BP21)&lt;10,0,"")&amp;HOUR(BP21)) &amp; ":" &amp;  (IF(MINUTE(BP21)&lt;10,0,"")&amp;MINUTE(BP21))</f>
        <v/>
      </c>
      <c r="BL21" s="21" t="n"/>
      <c r="BM21" s="21" t="n"/>
      <c r="BN21" s="21" t="n"/>
      <c r="BO21" s="28" t="n"/>
      <c r="BP21" s="114">
        <f>DATE(2026,6,29)+TIME(14,0,0)+gmt_delta</f>
        <v/>
      </c>
      <c r="BQ21" s="115" t="n"/>
      <c r="BR21" s="180" t="n"/>
      <c r="BS21" s="26">
        <f>IF(BP22&gt;BP23,BL22,IF(BP22&lt;BP23,BL23,""))</f>
        <v/>
      </c>
      <c r="BT21" s="62" t="n">
        <v>1</v>
      </c>
      <c r="BU21" s="64" t="n">
        <v>1</v>
      </c>
      <c r="BV21" s="27" t="n"/>
      <c r="BW21" s="112">
        <f>IF(BW20="","",BT21*1000+BU21*10+BV21)</f>
        <v/>
      </c>
      <c r="BX21" s="112" t="n"/>
      <c r="BY21" s="21" t="n"/>
      <c r="BZ21" s="21" t="n"/>
      <c r="CA21" s="21" t="n"/>
      <c r="CB21" s="21" t="n"/>
      <c r="CC21" s="21" t="n"/>
      <c r="CD21" s="114" t="n"/>
      <c r="CE21" s="112" t="n"/>
      <c r="CF21" s="21" t="n"/>
      <c r="CG21" s="21" t="n"/>
      <c r="CH21" s="21" t="n"/>
      <c r="CI21" s="21" t="n"/>
      <c r="CJ21" s="21" t="n"/>
      <c r="CL21" s="112" t="n"/>
      <c r="CM21" s="21" t="n"/>
      <c r="CN21" s="21" t="n"/>
      <c r="CO21" s="21" t="n"/>
      <c r="CP21" s="21" t="n"/>
      <c r="CQ21" s="21" t="n"/>
    </row>
    <row r="22">
      <c r="A22" s="16" t="n">
        <v>16</v>
      </c>
      <c r="B22" s="17">
        <f t="array" ref="B22">INDEX(T,18+INT(MOD(R22-1,7)),lang)</f>
        <v/>
      </c>
      <c r="C22" s="18">
        <f t="array" ref="C22">INDEX(T,24+MONTH(R22),lang) &amp; " " &amp; DAY(R22) &amp; ", " &amp; YEAR(R22)</f>
        <v/>
      </c>
      <c r="D22" s="120">
        <f>TIME(HOUR(R22),MINUTE(R22),0)</f>
        <v/>
      </c>
      <c r="E22" s="78">
        <f>AE44</f>
        <v/>
      </c>
      <c r="F22" s="19" t="n">
        <v>2</v>
      </c>
      <c r="G22" s="20" t="n">
        <v>0</v>
      </c>
      <c r="H22" s="80">
        <f>AE45</f>
        <v/>
      </c>
      <c r="J22" s="33">
        <f>VLOOKUP(2,AD20:AN23,2,FALSE)</f>
        <v/>
      </c>
      <c r="K22" s="23">
        <f>L22+M22+N22</f>
        <v/>
      </c>
      <c r="L22" s="23">
        <f>VLOOKUP(2,AD20:AN23,3,FALSE)</f>
        <v/>
      </c>
      <c r="M22" s="23">
        <f>VLOOKUP(2,AD20:AN23,4,FALSE)</f>
        <v/>
      </c>
      <c r="N22" s="23">
        <f>VLOOKUP(2,AD20:AN23,5,FALSE)</f>
        <v/>
      </c>
      <c r="O22" s="23">
        <f>VLOOKUP(2,AD20:AN23,6,FALSE) &amp; " - " &amp; VLOOKUP(2,AD20:AN23,7,FALSE)</f>
        <v/>
      </c>
      <c r="P22" s="34">
        <f>L22*3+M22</f>
        <v/>
      </c>
      <c r="R22" s="123">
        <f>DATE(2026,6,15)+TIME(8,0,0)+gmt_delta</f>
        <v/>
      </c>
      <c r="S22" s="127">
        <f>IF(OR(F22="",G22=""),"",IF(F22&gt;G22,E22&amp;"_win",IF(F22&lt;G22,E22&amp;"_lose",E22&amp;"_draw")))</f>
        <v/>
      </c>
      <c r="T22" s="127">
        <f>IF(S22="","",IF(F22&lt;G22,H22&amp;"_win",IF(F22&gt;G22,H22&amp;"_lose",H22&amp;"_draw")))</f>
        <v/>
      </c>
      <c r="U22" s="123">
        <f>IF(S22="",0,IF(VLOOKUP(E22,$AE$8:$AN$77,10,FALSE)=VLOOKUP(H22,$AE$8:$AN$77,10,FALSE),1,0))</f>
        <v/>
      </c>
      <c r="V22" s="123">
        <f>U22*F22</f>
        <v/>
      </c>
      <c r="W22" s="123">
        <f>U22*G22</f>
        <v/>
      </c>
      <c r="X22" s="123">
        <f>IF(S22="",0,IF(VLOOKUP(E22,$AE$8:$AO$77,11,FALSE)=VLOOKUP(H22,$AE$8:$AO$77,11,FALSE),1,0))</f>
        <v/>
      </c>
      <c r="Y22" s="123">
        <f>X22*F22</f>
        <v/>
      </c>
      <c r="Z22" s="123">
        <f>X22*G22</f>
        <v/>
      </c>
      <c r="AA22" s="123">
        <f>IF(OR(E22=my_team,H22=my_team),1,IF(INT(MATCH(E22,$AE$8:$AE$78,0)/6)=$AA$6,1,0))</f>
        <v/>
      </c>
      <c r="AB22" s="123">
        <f>IF(OR(F22="",G22=""),"",IF(F22&gt;G22,1,IF(F22&lt;G22,-1,0)))</f>
        <v/>
      </c>
      <c r="AD22" s="123">
        <f>COUNTIF(AR20:AR23,CONCATENATE("&gt;=",AR22))</f>
        <v/>
      </c>
      <c r="AE22" s="124">
        <f>VLOOKUP("Haiti",T,lang,FALSE)</f>
        <v/>
      </c>
      <c r="AF22" s="123">
        <f>COUNTIF($S$7:$T$78,"=" &amp; AE22 &amp; "_win")</f>
        <v/>
      </c>
      <c r="AG22" s="123">
        <f>COUNTIF($S$7:$T$78,"=" &amp; AE22 &amp; "_draw")</f>
        <v/>
      </c>
      <c r="AH22" s="123">
        <f>COUNTIF($S$7:$T$78,"=" &amp; AE22 &amp; "_lose")</f>
        <v/>
      </c>
      <c r="AI22" s="123">
        <f>SUMIF($E$7:$E$78,$AE22,$F$7:$F$78) + SUMIF($H$7:$H$78,$AE22,$G$7:$G$78)</f>
        <v/>
      </c>
      <c r="AJ22" s="123">
        <f>SUMIF($E$7:$E$78,$AE22,$G$7:$G$78) + SUMIF($H$7:$H$78,$AE22,$F$7:$F$78)</f>
        <v/>
      </c>
      <c r="AL22" s="123">
        <f>AI22-AJ22</f>
        <v/>
      </c>
      <c r="AM22" s="123">
        <f>AL22-AL24</f>
        <v/>
      </c>
      <c r="AN22" s="123">
        <f>AF22*3+AG22</f>
        <v/>
      </c>
      <c r="AO22" s="123">
        <f>AN22/AN24*10+BA22</f>
        <v/>
      </c>
      <c r="AP22" s="123">
        <f>AO22*10000000+BI22*100+AM22/AM24*10+AI22/AI24*1++IF(AQ22=0,ROW(),AQ22)/2000000</f>
        <v/>
      </c>
      <c r="AQ22" s="126">
        <f>VLOOKUP(AE22,db_fifarank,2,FALSE)</f>
        <v/>
      </c>
      <c r="AR22" s="125">
        <f>AP22/AP24</f>
        <v/>
      </c>
      <c r="AT22" s="126">
        <f t="array" ref="AT22">SUMPRODUCT(($S$7:$S$78=AE22&amp;"_win")*($U$7:$U$78))+SUMPRODUCT(($T$7:$T$78=AE22&amp;"_win")*($U$7:$U$78))</f>
        <v/>
      </c>
      <c r="AU22" s="126">
        <f t="array" ref="AU22">SUMPRODUCT(($S$7:$S$78=AE22&amp;"_draw")*($U$7:$U$78))+SUMPRODUCT(($T$7:$T$78=AE22&amp;"_draw")*($U$7:$U$78))</f>
        <v/>
      </c>
      <c r="AV22" s="126">
        <f t="array" ref="AV22">SUMPRODUCT(($E$7:$E$78=AE22)*($U$7:$U$78)*($F$7:$F$78))+SUMPRODUCT(($H$7:$H$78=AE22)*($U$7:$U$78)*($G$7:$G$78))</f>
        <v/>
      </c>
      <c r="AW22" s="126">
        <f t="array" ref="AW22">SUMPRODUCT(($E$7:$E$78=AE22)*($U$7:$U$78)*($G$7:$G$78))+SUMPRODUCT(($H$7:$H$78=AE22)*($U$7:$U$78)*($F$7:$F$78))</f>
        <v/>
      </c>
      <c r="AX22" s="126">
        <f>AV22-AW22</f>
        <v/>
      </c>
      <c r="AY22" s="126">
        <f>AX22-MIN(AX20:AX23)</f>
        <v/>
      </c>
      <c r="AZ22" s="126">
        <f>AT22/AT24*1000+AU22/AU24*100+AY22/AY24*10+AV22/AV24</f>
        <v/>
      </c>
      <c r="BA22" s="126">
        <f>AZ22/AZ24</f>
        <v/>
      </c>
      <c r="BB22" s="126">
        <f t="array" ref="BB22">SUMPRODUCT(($S$7:$S$78=AE22&amp;"_win")*($X$7:$X$78))+SUMPRODUCT(($T$7:$T$78=AE22&amp;"_win")*($X$7:$X$78))</f>
        <v/>
      </c>
      <c r="BC22" s="126">
        <f t="array" ref="BC22">SUMPRODUCT(($S$7:$S$78=AE22&amp;"_draw")*($X$7:$X$78))+SUMPRODUCT(($T$7:$T$78=AE22&amp;"_draw")*($X$7:$X$78))</f>
        <v/>
      </c>
      <c r="BD22" s="126">
        <f t="array" ref="BD22">SUMPRODUCT(($E$7:$E$78=AE22)*($X$7:$X$78)*($F$7:$F$78))+SUMPRODUCT(($H$7:$H$78=AE22)*($X$7:$X$78)*($G$7:$G$78))</f>
        <v/>
      </c>
      <c r="BE22" s="126">
        <f t="array" ref="BE22">SUMPRODUCT(($E$7:$E$78=AE22)*($X$7:$X$78)*($G$7:$G$78))+SUMPRODUCT(($H$7:$H$78=AE22)*($X$7:$X$78)*($F$7:$F$78))</f>
        <v/>
      </c>
      <c r="BF22" s="126">
        <f>BD22-BE22</f>
        <v/>
      </c>
      <c r="BG22" s="126">
        <f>BF22-MIN(BF20:BF23)</f>
        <v/>
      </c>
      <c r="BH22" s="126">
        <f>BB22/BB24*1000+BC22/BC24*100+BG22/BG24*10+BD22/BD24</f>
        <v/>
      </c>
      <c r="BI22" s="126">
        <f>BH22/BH24</f>
        <v/>
      </c>
      <c r="BK22" s="179" t="n">
        <v>75</v>
      </c>
      <c r="BL22" s="24">
        <f>AS38</f>
        <v/>
      </c>
      <c r="BM22" s="61" t="n">
        <v>1</v>
      </c>
      <c r="BN22" s="63" t="n"/>
      <c r="BO22" s="25" t="n"/>
      <c r="BP22" s="116">
        <f>IF(OR(BM22="",BM23="",AND(BN22="",BN23&lt;&gt;""),AND(BN23="",BN22&lt;&gt;""),AND(BO22="",BO23&lt;&gt;""),AND(BO23="",BO22&lt;&gt;"")),"",BM22*1000+BN22*10+BO22)</f>
        <v/>
      </c>
      <c r="BQ22" s="112" t="n"/>
      <c r="BR22" s="21" t="n"/>
      <c r="BS22" s="21" t="n"/>
      <c r="BT22" s="21" t="n"/>
      <c r="BU22" s="21" t="n"/>
      <c r="BV22" s="21" t="n"/>
      <c r="BW22" s="112" t="n"/>
      <c r="BX22" s="112" t="n"/>
      <c r="BY22" s="21" t="n"/>
      <c r="BZ22" s="21" t="n"/>
      <c r="CA22" s="21" t="n"/>
      <c r="CB22" s="21" t="n"/>
      <c r="CC22" s="21" t="n"/>
      <c r="CD22" s="114" t="n"/>
      <c r="CE22" s="112" t="n"/>
      <c r="CF22" s="21">
        <f t="array" ref="CF22">INDEX(T,24+MONTH(CK22),lang) &amp; " " &amp; DAY(CK22) &amp; ", " &amp; YEAR(CK22) &amp; "   " &amp; (IF(HOUR(CK22)&lt;10,0,"")&amp;HOUR(CK22)) &amp; ":" &amp;  (IF(MINUTE(CK22)&lt;10,0,"")&amp;MINUTE(CK22))</f>
        <v/>
      </c>
      <c r="CG22" s="21" t="n"/>
      <c r="CH22" s="21" t="n"/>
      <c r="CI22" s="21" t="n"/>
      <c r="CJ22" s="28" t="n"/>
      <c r="CK22" s="111">
        <f>DATE(2026,7,14)+TIME(8,0,0)+gmt_delta</f>
        <v/>
      </c>
    </row>
    <row r="23">
      <c r="A23" s="16" t="n">
        <v>17</v>
      </c>
      <c r="B23" s="17">
        <f t="array" ref="B23">INDEX(T,18+INT(MOD(R23-1,7)),lang)</f>
        <v/>
      </c>
      <c r="C23" s="18">
        <f t="array" ref="C23">INDEX(T,24+MONTH(R23),lang) &amp; " " &amp; DAY(R23) &amp; ", " &amp; YEAR(R23)</f>
        <v/>
      </c>
      <c r="D23" s="120">
        <f>TIME(HOUR(R23),MINUTE(R23),0)</f>
        <v/>
      </c>
      <c r="E23" s="78">
        <f>AE56</f>
        <v/>
      </c>
      <c r="F23" s="19" t="n">
        <v>2</v>
      </c>
      <c r="G23" s="20" t="n">
        <v>1</v>
      </c>
      <c r="H23" s="80">
        <f>AE57</f>
        <v/>
      </c>
      <c r="J23" s="33">
        <f>VLOOKUP(3,AD20:AN23,2,FALSE)</f>
        <v/>
      </c>
      <c r="K23" s="23">
        <f>L23+M23+N23</f>
        <v/>
      </c>
      <c r="L23" s="23">
        <f>VLOOKUP(3,AD20:AN23,3,FALSE)</f>
        <v/>
      </c>
      <c r="M23" s="23">
        <f>VLOOKUP(3,AD20:AN23,4,FALSE)</f>
        <v/>
      </c>
      <c r="N23" s="23">
        <f>VLOOKUP(3,AD20:AN23,5,FALSE)</f>
        <v/>
      </c>
      <c r="O23" s="23">
        <f>VLOOKUP(3,AD20:AN23,6,FALSE) &amp; " - " &amp; VLOOKUP(3,AD20:AN23,7,FALSE)</f>
        <v/>
      </c>
      <c r="P23" s="34">
        <f>L23*3+M23</f>
        <v/>
      </c>
      <c r="R23" s="123">
        <f>DATE(2026,6,16)+TIME(8,0,0)+gmt_delta</f>
        <v/>
      </c>
      <c r="S23" s="127">
        <f>IF(OR(F23="",G23=""),"",IF(F23&gt;G23,E23&amp;"_win",IF(F23&lt;G23,E23&amp;"_lose",E23&amp;"_draw")))</f>
        <v/>
      </c>
      <c r="T23" s="127">
        <f>IF(S23="","",IF(F23&lt;G23,H23&amp;"_win",IF(F23&gt;G23,H23&amp;"_lose",H23&amp;"_draw")))</f>
        <v/>
      </c>
      <c r="U23" s="123">
        <f>IF(S23="",0,IF(VLOOKUP(E23,$AE$8:$AN$77,10,FALSE)=VLOOKUP(H23,$AE$8:$AN$77,10,FALSE),1,0))</f>
        <v/>
      </c>
      <c r="V23" s="123">
        <f>U23*F23</f>
        <v/>
      </c>
      <c r="W23" s="123">
        <f>U23*G23</f>
        <v/>
      </c>
      <c r="X23" s="123">
        <f>IF(S23="",0,IF(VLOOKUP(E23,$AE$8:$AO$77,11,FALSE)=VLOOKUP(H23,$AE$8:$AO$77,11,FALSE),1,0))</f>
        <v/>
      </c>
      <c r="Y23" s="123">
        <f>X23*F23</f>
        <v/>
      </c>
      <c r="Z23" s="123">
        <f>X23*G23</f>
        <v/>
      </c>
      <c r="AA23" s="123">
        <f>IF(OR(E23=my_team,H23=my_team),1,IF(INT(MATCH(E23,$AE$8:$AE$78,0)/6)=$AA$6,1,0))</f>
        <v/>
      </c>
      <c r="AB23" s="123">
        <f>IF(OR(F23="",G23=""),"",IF(F23&gt;G23,1,IF(F23&lt;G23,-1,0)))</f>
        <v/>
      </c>
      <c r="AD23" s="123">
        <f>COUNTIF(AR20:AR23,CONCATENATE("&gt;=",AR23))</f>
        <v/>
      </c>
      <c r="AE23" s="124">
        <f>VLOOKUP("Scotland",T,lang,FALSE)</f>
        <v/>
      </c>
      <c r="AF23" s="123">
        <f>COUNTIF($S$7:$T$78,"=" &amp; AE23 &amp; "_win")</f>
        <v/>
      </c>
      <c r="AG23" s="123">
        <f>COUNTIF($S$7:$T$78,"=" &amp; AE23 &amp; "_draw")</f>
        <v/>
      </c>
      <c r="AH23" s="123">
        <f>COUNTIF($S$7:$T$78,"=" &amp; AE23 &amp; "_lose")</f>
        <v/>
      </c>
      <c r="AI23" s="123">
        <f>SUMIF($E$7:$E$78,$AE23,$F$7:$F$78) + SUMIF($H$7:$H$78,$AE23,$G$7:$G$78)</f>
        <v/>
      </c>
      <c r="AJ23" s="123">
        <f>SUMIF($E$7:$E$78,$AE23,$G$7:$G$78) + SUMIF($H$7:$H$78,$AE23,$F$7:$F$78)</f>
        <v/>
      </c>
      <c r="AL23" s="123">
        <f>AI23-AJ23</f>
        <v/>
      </c>
      <c r="AM23" s="123">
        <f>AL23-AL24</f>
        <v/>
      </c>
      <c r="AN23" s="123">
        <f>AF23*3+AG23</f>
        <v/>
      </c>
      <c r="AO23" s="123">
        <f>AN23/AN24*10+BA23</f>
        <v/>
      </c>
      <c r="AP23" s="123">
        <f>AO23*10000000+BI23*100+AM23/AM24*10+AI23/AI24*1++IF(AQ23=0,ROW(),AQ23)/2000000</f>
        <v/>
      </c>
      <c r="AQ23" s="126">
        <f>VLOOKUP(AE23,db_fifarank,2,FALSE)</f>
        <v/>
      </c>
      <c r="AR23" s="125">
        <f>AP23/AP24</f>
        <v/>
      </c>
      <c r="AT23" s="126">
        <f t="array" ref="AT23">SUMPRODUCT(($S$7:$S$78=AE23&amp;"_win")*($U$7:$U$78))+SUMPRODUCT(($T$7:$T$78=AE23&amp;"_win")*($U$7:$U$78))</f>
        <v/>
      </c>
      <c r="AU23" s="126">
        <f t="array" ref="AU23">SUMPRODUCT(($S$7:$S$78=AE23&amp;"_draw")*($U$7:$U$78))+SUMPRODUCT(($T$7:$T$78=AE23&amp;"_draw")*($U$7:$U$78))</f>
        <v/>
      </c>
      <c r="AV23" s="126">
        <f t="array" ref="AV23">SUMPRODUCT(($E$7:$E$78=AE23)*($U$7:$U$78)*($F$7:$F$78))+SUMPRODUCT(($H$7:$H$78=AE23)*($U$7:$U$78)*($G$7:$G$78))</f>
        <v/>
      </c>
      <c r="AW23" s="126">
        <f t="array" ref="AW23">SUMPRODUCT(($E$7:$E$78=AE23)*($U$7:$U$78)*($G$7:$G$78))+SUMPRODUCT(($H$7:$H$78=AE23)*($U$7:$U$78)*($F$7:$F$78))</f>
        <v/>
      </c>
      <c r="AX23" s="126">
        <f>AV23-AW23</f>
        <v/>
      </c>
      <c r="AY23" s="126">
        <f>AX23-MIN(AX20:AX23)</f>
        <v/>
      </c>
      <c r="AZ23" s="126">
        <f>AT23/AT24*1000+AU23/AU24*100+AY23/AY24*10+AV23/AV24</f>
        <v/>
      </c>
      <c r="BA23" s="126">
        <f>AZ23/AZ24</f>
        <v/>
      </c>
      <c r="BB23" s="126">
        <f t="array" ref="BB23">SUMPRODUCT(($S$7:$S$78=AE23&amp;"_win")*($X$7:$X$78))+SUMPRODUCT(($T$7:$T$78=AE23&amp;"_win")*($X$7:$X$78))</f>
        <v/>
      </c>
      <c r="BC23" s="126">
        <f t="array" ref="BC23">SUMPRODUCT(($S$7:$S$78=AE23&amp;"_draw")*($X$7:$X$78))+SUMPRODUCT(($T$7:$T$78=AE23&amp;"_draw")*($X$7:$X$78))</f>
        <v/>
      </c>
      <c r="BD23" s="126">
        <f t="array" ref="BD23">SUMPRODUCT(($E$7:$E$78=AE23)*($X$7:$X$78)*($F$7:$F$78))+SUMPRODUCT(($H$7:$H$78=AE23)*($X$7:$X$78)*($G$7:$G$78))</f>
        <v/>
      </c>
      <c r="BE23" s="126">
        <f t="array" ref="BE23">SUMPRODUCT(($E$7:$E$78=AE23)*($X$7:$X$78)*($G$7:$G$78))+SUMPRODUCT(($H$7:$H$78=AE23)*($X$7:$X$78)*($F$7:$F$78))</f>
        <v/>
      </c>
      <c r="BF23" s="126">
        <f>BD23-BE23</f>
        <v/>
      </c>
      <c r="BG23" s="126">
        <f>BF23-MIN(BF20:BF23)</f>
        <v/>
      </c>
      <c r="BH23" s="126">
        <f>BB23/BB24*1000+BC23/BC24*100+BG23/BG24*10+BD23/BD24</f>
        <v/>
      </c>
      <c r="BI23" s="126">
        <f>BH23/BH24</f>
        <v/>
      </c>
      <c r="BK23" s="180" t="n"/>
      <c r="BL23" s="26">
        <f>AS21</f>
        <v/>
      </c>
      <c r="BM23" s="62" t="n">
        <v>2</v>
      </c>
      <c r="BN23" s="64" t="n"/>
      <c r="BO23" s="27" t="n"/>
      <c r="BP23" s="112">
        <f>IF(BP22="","",BM23*1000+BN23*10+BO23)</f>
        <v/>
      </c>
      <c r="BQ23" s="112" t="n"/>
      <c r="BR23" s="21" t="n"/>
      <c r="BS23" s="21" t="n"/>
      <c r="BT23" s="21" t="n"/>
      <c r="BU23" s="21" t="n"/>
      <c r="BV23" s="21" t="n"/>
      <c r="BW23" s="112" t="n"/>
      <c r="BX23" s="112" t="n"/>
      <c r="BY23" s="21" t="n"/>
      <c r="BZ23" s="21" t="n"/>
      <c r="CA23" s="21" t="n"/>
      <c r="CB23" s="21" t="n"/>
      <c r="CC23" s="21" t="n"/>
      <c r="CD23" s="114" t="n"/>
      <c r="CE23" s="112" t="n"/>
      <c r="CF23" s="179" t="n">
        <v>101</v>
      </c>
      <c r="CG23" s="24">
        <f>IF(CD16&gt;CD17,BZ16,IF(CD16&lt;CD17,BZ17,""))</f>
        <v/>
      </c>
      <c r="CH23" s="61" t="n">
        <v>2</v>
      </c>
      <c r="CI23" s="63" t="n"/>
      <c r="CJ23" s="25" t="n">
        <v>5</v>
      </c>
      <c r="CK23" s="112">
        <f>IF(OR(CH23="",CH24="",AND(CI23="",CI24&lt;&gt;""),AND(CI24="",CI23&lt;&gt;""),AND(CJ23="",CJ24&lt;&gt;""),AND(CJ24="",CJ23&lt;&gt;"")),"",CH23*1000+CI23*10+CJ23)</f>
        <v/>
      </c>
    </row>
    <row r="24">
      <c r="A24" s="16" t="n">
        <v>18</v>
      </c>
      <c r="B24" s="17">
        <f t="array" ref="B24">INDEX(T,18+INT(MOD(R24-1,7)),lang)</f>
        <v/>
      </c>
      <c r="C24" s="18">
        <f t="array" ref="C24">INDEX(T,24+MONTH(R24),lang) &amp; " " &amp; DAY(R24) &amp; ", " &amp; YEAR(R24)</f>
        <v/>
      </c>
      <c r="D24" s="120">
        <f>TIME(HOUR(R24),MINUTE(R24),0)</f>
        <v/>
      </c>
      <c r="E24" s="78">
        <f>AE58</f>
        <v/>
      </c>
      <c r="F24" s="19" t="n">
        <v>0</v>
      </c>
      <c r="G24" s="20" t="n">
        <v>3</v>
      </c>
      <c r="H24" s="80">
        <f>AE59</f>
        <v/>
      </c>
      <c r="J24" s="35">
        <f>VLOOKUP(4,AD20:AN23,2,FALSE)</f>
        <v/>
      </c>
      <c r="K24" s="36">
        <f>L24+M24+N24</f>
        <v/>
      </c>
      <c r="L24" s="36">
        <f>VLOOKUP(4,AD20:AN23,3,FALSE)</f>
        <v/>
      </c>
      <c r="M24" s="36">
        <f>VLOOKUP(4,AD20:AN23,4,FALSE)</f>
        <v/>
      </c>
      <c r="N24" s="36">
        <f>VLOOKUP(4,AD20:AN23,5,FALSE)</f>
        <v/>
      </c>
      <c r="O24" s="36">
        <f>VLOOKUP(4,AD20:AN23,6,FALSE) &amp; " - " &amp; VLOOKUP(4,AD20:AN23,7,FALSE)</f>
        <v/>
      </c>
      <c r="P24" s="37">
        <f>L24*3+M24</f>
        <v/>
      </c>
      <c r="R24" s="123">
        <f>DATE(2026,6,16)+TIME(11,0,0)+gmt_delta</f>
        <v/>
      </c>
      <c r="S24" s="127">
        <f>IF(OR(F24="",G24=""),"",IF(F24&gt;G24,E24&amp;"_win",IF(F24&lt;G24,E24&amp;"_lose",E24&amp;"_draw")))</f>
        <v/>
      </c>
      <c r="T24" s="127">
        <f>IF(S24="","",IF(F24&lt;G24,H24&amp;"_win",IF(F24&gt;G24,H24&amp;"_lose",H24&amp;"_draw")))</f>
        <v/>
      </c>
      <c r="U24" s="123">
        <f>IF(S24="",0,IF(VLOOKUP(E24,$AE$8:$AN$77,10,FALSE)=VLOOKUP(H24,$AE$8:$AN$77,10,FALSE),1,0))</f>
        <v/>
      </c>
      <c r="V24" s="123">
        <f>U24*F24</f>
        <v/>
      </c>
      <c r="W24" s="123">
        <f>U24*G24</f>
        <v/>
      </c>
      <c r="X24" s="123">
        <f>IF(S24="",0,IF(VLOOKUP(E24,$AE$8:$AO$77,11,FALSE)=VLOOKUP(H24,$AE$8:$AO$77,11,FALSE),1,0))</f>
        <v/>
      </c>
      <c r="Y24" s="123">
        <f>X24*F24</f>
        <v/>
      </c>
      <c r="Z24" s="123">
        <f>X24*G24</f>
        <v/>
      </c>
      <c r="AA24" s="123">
        <f>IF(OR(E24=my_team,H24=my_team),1,IF(INT(MATCH(E24,$AE$8:$AE$78,0)/6)=$AA$6,1,0))</f>
        <v/>
      </c>
      <c r="AB24" s="123">
        <f>IF(OR(F24="",G24=""),"",IF(F24&gt;G24,1,IF(F24&lt;G24,-1,0)))</f>
        <v/>
      </c>
      <c r="AF24" s="123">
        <f>MAX(AF20:AF23)-MIN(AF20:AF23)+1</f>
        <v/>
      </c>
      <c r="AG24" s="123">
        <f>MAX(AG20:AG23)-MIN(AG20:AG23)+1</f>
        <v/>
      </c>
      <c r="AH24" s="123">
        <f>MAX(AH20:AH23)-MIN(AH20:AH23)+1</f>
        <v/>
      </c>
      <c r="AI24" s="123">
        <f>MAX(AI20:AI23)+1</f>
        <v/>
      </c>
      <c r="AL24" s="123">
        <f>MIN(AL20:AL23)</f>
        <v/>
      </c>
      <c r="AM24" s="123">
        <f>MAX(AM20:AM23)+1</f>
        <v/>
      </c>
      <c r="AN24" s="123">
        <f>MAX(AN20:AN23)+1</f>
        <v/>
      </c>
      <c r="AO24" s="123">
        <f>MAX(AO20:AO23)+1</f>
        <v/>
      </c>
      <c r="AP24" s="123">
        <f>MAX(AP20:AP23)+1</f>
        <v/>
      </c>
      <c r="AT24" s="126">
        <f>MAX(AT20:AT23)-MIN(AT20:AT23)+1</f>
        <v/>
      </c>
      <c r="AU24" s="126">
        <f>MAX(AU20:AU23)-MIN(AU20:AU23)+1</f>
        <v/>
      </c>
      <c r="AV24" s="126">
        <f>MAX(AV20:AV23)-MIN(AV20:AV23)+1</f>
        <v/>
      </c>
      <c r="AW24" s="126">
        <f>MAX(AW20:AW23)-MIN(AW20:AW23)+1</f>
        <v/>
      </c>
      <c r="AY24" s="126">
        <f>MAX(AY20:AY23)-MIN(AY20:AY23)+1</f>
        <v/>
      </c>
      <c r="AZ24" s="126">
        <f>MAX(AZ20:AZ23)+1</f>
        <v/>
      </c>
      <c r="BB24" s="126">
        <f>MAX(BB20:BB23)-MIN(BB20:BB23)+1</f>
        <v/>
      </c>
      <c r="BC24" s="126">
        <f>MAX(BC20:BC23)-MIN(BC20:BC23)+1</f>
        <v/>
      </c>
      <c r="BD24" s="126">
        <f>MAX(BD20:BD23)-MIN(BD20:BD23)+1</f>
        <v/>
      </c>
      <c r="BE24" s="126">
        <f>MAX(BE20:BE23)-MIN(BE20:BE23)+1</f>
        <v/>
      </c>
      <c r="BG24" s="126">
        <f>MAX(BG20:BG23)-MIN(BG20:BG23)+1</f>
        <v/>
      </c>
      <c r="BH24" s="126">
        <f>MAX(BH20:BH23)+1</f>
        <v/>
      </c>
      <c r="BL24" s="21" t="n"/>
      <c r="BM24" s="21" t="n"/>
      <c r="BN24" s="21" t="n"/>
      <c r="BO24" s="21" t="n"/>
      <c r="BP24" s="112" t="n"/>
      <c r="BQ24" s="112" t="n"/>
      <c r="BR24" s="21" t="n"/>
      <c r="BS24" s="21" t="n"/>
      <c r="BT24" s="21" t="n"/>
      <c r="BU24" s="21" t="n"/>
      <c r="BV24" s="21" t="n"/>
      <c r="BW24" s="112" t="n"/>
      <c r="BX24" s="112" t="n"/>
      <c r="BY24" s="21" t="n"/>
      <c r="BZ24" s="21" t="n"/>
      <c r="CA24" s="21" t="n"/>
      <c r="CB24" s="21" t="n"/>
      <c r="CC24" s="21" t="n"/>
      <c r="CD24" s="114" t="n"/>
      <c r="CE24" s="115" t="n"/>
      <c r="CF24" s="180" t="n"/>
      <c r="CG24" s="26">
        <f>IF(CD32&gt;CD33,BZ32,IF(CD32&lt;CD33,BZ33,""))</f>
        <v/>
      </c>
      <c r="CH24" s="62" t="n">
        <v>2</v>
      </c>
      <c r="CI24" s="64" t="n"/>
      <c r="CJ24" s="27" t="n">
        <v>4</v>
      </c>
      <c r="CK24" s="113">
        <f>IF(CK23="","",CH24*1000+CI24*10+CJ24)</f>
        <v/>
      </c>
    </row>
    <row r="25">
      <c r="A25" s="16" t="n">
        <v>19</v>
      </c>
      <c r="B25" s="17">
        <f t="array" ref="B25">INDEX(T,18+INT(MOD(R25-1,7)),lang)</f>
        <v/>
      </c>
      <c r="C25" s="18">
        <f t="array" ref="C25">INDEX(T,24+MONTH(R25),lang) &amp; " " &amp; DAY(R25) &amp; ", " &amp; YEAR(R25)</f>
        <v/>
      </c>
      <c r="D25" s="120">
        <f>TIME(HOUR(R25),MINUTE(R25),0)</f>
        <v/>
      </c>
      <c r="E25" s="78">
        <f>AE62</f>
        <v/>
      </c>
      <c r="F25" s="19" t="n">
        <v>3</v>
      </c>
      <c r="G25" s="20" t="n">
        <v>0</v>
      </c>
      <c r="H25" s="80">
        <f>AE63</f>
        <v/>
      </c>
      <c r="R25" s="123">
        <f>DATE(2026,6,16)+TIME(14,0,0)+gmt_delta</f>
        <v/>
      </c>
      <c r="S25" s="127">
        <f>IF(OR(F25="",G25=""),"",IF(F25&gt;G25,E25&amp;"_win",IF(F25&lt;G25,E25&amp;"_lose",E25&amp;"_draw")))</f>
        <v/>
      </c>
      <c r="T25" s="127">
        <f>IF(S25="","",IF(F25&lt;G25,H25&amp;"_win",IF(F25&gt;G25,H25&amp;"_lose",H25&amp;"_draw")))</f>
        <v/>
      </c>
      <c r="U25" s="123">
        <f>IF(S25="",0,IF(VLOOKUP(E25,$AE$8:$AN$77,10,FALSE)=VLOOKUP(H25,$AE$8:$AN$77,10,FALSE),1,0))</f>
        <v/>
      </c>
      <c r="V25" s="123">
        <f>U25*F25</f>
        <v/>
      </c>
      <c r="W25" s="123">
        <f>U25*G25</f>
        <v/>
      </c>
      <c r="X25" s="123">
        <f>IF(S25="",0,IF(VLOOKUP(E25,$AE$8:$AO$77,11,FALSE)=VLOOKUP(H25,$AE$8:$AO$77,11,FALSE),1,0))</f>
        <v/>
      </c>
      <c r="Y25" s="123">
        <f>X25*F25</f>
        <v/>
      </c>
      <c r="Z25" s="123">
        <f>X25*G25</f>
        <v/>
      </c>
      <c r="AA25" s="123">
        <f>IF(OR(E25=my_team,H25=my_team),1,IF(INT(MATCH(E25,$AE$8:$AE$78,0)/6)=$AA$6,1,0))</f>
        <v/>
      </c>
      <c r="AB25" s="123">
        <f>IF(OR(F25="",G25=""),"",IF(F25&gt;G25,1,IF(F25&lt;G25,-1,0)))</f>
        <v/>
      </c>
      <c r="BK25" s="21">
        <f t="array" ref="BK25">INDEX(T,24+MONTH(BP25),lang) &amp; " " &amp; DAY(BP25) &amp; ", " &amp; YEAR(BP25) &amp; "   " &amp; (IF(HOUR(BP25)&lt;10,0,"")&amp;HOUR(BP25)) &amp; ":" &amp;  (IF(MINUTE(BP25)&lt;10,0,"")&amp;MINUTE(BP25))</f>
        <v/>
      </c>
      <c r="BL25" s="21" t="n"/>
      <c r="BM25" s="21" t="n"/>
      <c r="BN25" s="21" t="n"/>
      <c r="BO25" s="29" t="n"/>
      <c r="BP25" s="112">
        <f>DATE(2026,7,2)+TIME(12,0,0)+gmt_delta</f>
        <v/>
      </c>
      <c r="BQ25" s="112" t="n"/>
      <c r="BR25" s="21" t="n"/>
      <c r="BS25" s="21" t="n"/>
      <c r="BT25" s="21" t="n"/>
      <c r="BU25" s="21" t="n"/>
      <c r="BV25" s="21" t="n"/>
      <c r="BW25" s="112" t="n"/>
      <c r="BX25" s="112" t="n"/>
      <c r="BY25" s="21" t="n"/>
      <c r="BZ25" s="21" t="n"/>
      <c r="CA25" s="21" t="n"/>
      <c r="CB25" s="21" t="n"/>
      <c r="CC25" s="21" t="n"/>
      <c r="CD25" s="114" t="n"/>
      <c r="CE25" s="112" t="n"/>
      <c r="CF25" s="21" t="n"/>
      <c r="CG25" s="21" t="n"/>
      <c r="CH25" s="21" t="n"/>
      <c r="CI25" s="21" t="n"/>
      <c r="CJ25" s="21" t="n"/>
      <c r="CK25" s="114" t="n"/>
      <c r="CL25" s="112" t="n"/>
      <c r="CM25" s="21" t="n"/>
      <c r="CN25" s="21" t="n"/>
      <c r="CO25" s="21" t="n"/>
      <c r="CP25" s="21" t="n"/>
      <c r="CQ25" s="21" t="n"/>
    </row>
    <row r="26">
      <c r="A26" s="16" t="n">
        <v>20</v>
      </c>
      <c r="B26" s="17">
        <f t="array" ref="B26">INDEX(T,18+INT(MOD(R26-1,7)),lang)</f>
        <v/>
      </c>
      <c r="C26" s="18">
        <f t="array" ref="C26">INDEX(T,24+MONTH(R26),lang) &amp; " " &amp; DAY(R26) &amp; ", " &amp; YEAR(R26)</f>
        <v/>
      </c>
      <c r="D26" s="120">
        <f>TIME(HOUR(R26),MINUTE(R26),0)</f>
        <v/>
      </c>
      <c r="E26" s="78">
        <f>AE64</f>
        <v/>
      </c>
      <c r="F26" s="19" t="n">
        <v>2</v>
      </c>
      <c r="G26" s="20" t="n">
        <v>0</v>
      </c>
      <c r="H26" s="80">
        <f>AE65</f>
        <v/>
      </c>
      <c r="J26" s="38">
        <f t="array" ref="J26">INDEX(T,9,lang) &amp; " " &amp; "D"</f>
        <v/>
      </c>
      <c r="K26" s="94">
        <f t="array" ref="K26">INDEX(T,10,lang)</f>
        <v/>
      </c>
      <c r="L26" s="94">
        <f t="array" ref="L26">INDEX(T,11,lang)</f>
        <v/>
      </c>
      <c r="M26" s="94">
        <f t="array" ref="M26">INDEX(T,12,lang)</f>
        <v/>
      </c>
      <c r="N26" s="94">
        <f t="array" ref="N26">INDEX(T,13,lang)</f>
        <v/>
      </c>
      <c r="O26" s="94">
        <f t="array" ref="O26">INDEX(T,14,lang)</f>
        <v/>
      </c>
      <c r="P26" s="95">
        <f t="array" ref="P26">INDEX(T,15,lang)</f>
        <v/>
      </c>
      <c r="R26" s="123">
        <f>DATE(2026,6,16)+TIME(17,0,0)+gmt_delta</f>
        <v/>
      </c>
      <c r="S26" s="127">
        <f>IF(OR(F26="",G26=""),"",IF(F26&gt;G26,E26&amp;"_win",IF(F26&lt;G26,E26&amp;"_lose",E26&amp;"_draw")))</f>
        <v/>
      </c>
      <c r="T26" s="127">
        <f>IF(S26="","",IF(F26&lt;G26,H26&amp;"_win",IF(F26&gt;G26,H26&amp;"_lose",H26&amp;"_draw")))</f>
        <v/>
      </c>
      <c r="U26" s="123">
        <f>IF(S26="",0,IF(VLOOKUP(E26,$AE$8:$AN$77,10,FALSE)=VLOOKUP(H26,$AE$8:$AN$77,10,FALSE),1,0))</f>
        <v/>
      </c>
      <c r="V26" s="123">
        <f>U26*F26</f>
        <v/>
      </c>
      <c r="W26" s="123">
        <f>U26*G26</f>
        <v/>
      </c>
      <c r="X26" s="123">
        <f>IF(S26="",0,IF(VLOOKUP(E26,$AE$8:$AO$77,11,FALSE)=VLOOKUP(H26,$AE$8:$AO$77,11,FALSE),1,0))</f>
        <v/>
      </c>
      <c r="Y26" s="123">
        <f>X26*F26</f>
        <v/>
      </c>
      <c r="Z26" s="123">
        <f>X26*G26</f>
        <v/>
      </c>
      <c r="AA26" s="123">
        <f>IF(OR(E26=my_team,H26=my_team),1,IF(INT(MATCH(E26,$AE$8:$AE$78,0)/6)=$AA$6,1,0))</f>
        <v/>
      </c>
      <c r="AB26" s="123">
        <f>IF(OR(F26="",G26=""),"",IF(F26&gt;G26,1,IF(F26&lt;G26,-1,0)))</f>
        <v/>
      </c>
      <c r="AD26" s="123">
        <f>COUNTIF(AR26:AR29,CONCATENATE("&gt;=",AR26))</f>
        <v/>
      </c>
      <c r="AE26" s="124">
        <f>VLOOKUP("United States",T,lang,FALSE)</f>
        <v/>
      </c>
      <c r="AF26" s="123">
        <f>COUNTIF($S$7:$T$78,"=" &amp; AE26 &amp; "_win")</f>
        <v/>
      </c>
      <c r="AG26" s="123">
        <f>COUNTIF($S$7:$T$78,"=" &amp; AE26 &amp; "_draw")</f>
        <v/>
      </c>
      <c r="AH26" s="123">
        <f>COUNTIF($S$7:$T$78,"=" &amp; AE26 &amp; "_lose")</f>
        <v/>
      </c>
      <c r="AI26" s="123">
        <f>SUMIF($E$7:$E$78,$AE26,$F$7:$F$78) + SUMIF($H$7:$H$78,$AE26,$G$7:$G$78)</f>
        <v/>
      </c>
      <c r="AJ26" s="123">
        <f>SUMIF($E$7:$E$78,$AE26,$G$7:$G$78) + SUMIF($H$7:$H$78,$AE26,$F$7:$F$78)</f>
        <v/>
      </c>
      <c r="AL26" s="123">
        <f>AI26-AJ26</f>
        <v/>
      </c>
      <c r="AM26" s="123">
        <f>AL26-AL30</f>
        <v/>
      </c>
      <c r="AN26" s="123">
        <f>AF26*3+AG26</f>
        <v/>
      </c>
      <c r="AO26" s="123">
        <f>AN26/AN30*10+BA26</f>
        <v/>
      </c>
      <c r="AP26" s="123">
        <f>AO26*10000000+BI26*100+AM26/AM30*10+AI26/AI30*1++IF(AQ26=0,ROW(),AQ26)/2000000</f>
        <v/>
      </c>
      <c r="AQ26" s="126">
        <f>VLOOKUP(AE26,db_fifarank,2,FALSE)</f>
        <v/>
      </c>
      <c r="AR26" s="125">
        <f>AP26/AP30</f>
        <v/>
      </c>
      <c r="AS26" s="125">
        <f>IF(SUM(AF26:AH29)=12,J27,"1D")</f>
        <v/>
      </c>
      <c r="AT26" s="126">
        <f t="array" ref="AT26">SUMPRODUCT(($S$7:$S$78=AE26&amp;"_win")*($U$7:$U$78))+SUMPRODUCT(($T$7:$T$78=AE26&amp;"_win")*($U$7:$U$78))</f>
        <v/>
      </c>
      <c r="AU26" s="126">
        <f t="array" ref="AU26">SUMPRODUCT(($S$7:$S$78=AE26&amp;"_draw")*($U$7:$U$78))+SUMPRODUCT(($T$7:$T$78=AE26&amp;"_draw")*($U$7:$U$78))</f>
        <v/>
      </c>
      <c r="AV26" s="126">
        <f t="array" ref="AV26">SUMPRODUCT(($E$7:$E$78=AE26)*($U$7:$U$78)*($F$7:$F$78))+SUMPRODUCT(($H$7:$H$78=AE26)*($U$7:$U$78)*($G$7:$G$78))</f>
        <v/>
      </c>
      <c r="AW26" s="126">
        <f t="array" ref="AW26">SUMPRODUCT(($E$7:$E$78=AE26)*($U$7:$U$78)*($G$7:$G$78))+SUMPRODUCT(($H$7:$H$78=AE26)*($U$7:$U$78)*($F$7:$F$78))</f>
        <v/>
      </c>
      <c r="AX26" s="126">
        <f>AV26-AW26</f>
        <v/>
      </c>
      <c r="AY26" s="126">
        <f>AX26-MIN(AX26:AX29)</f>
        <v/>
      </c>
      <c r="AZ26" s="126">
        <f>AT26/AT30*1000+AU26/AU30*100+AY26/AY30*10+AV26/AV30</f>
        <v/>
      </c>
      <c r="BA26" s="126">
        <f>AZ26/AZ30</f>
        <v/>
      </c>
      <c r="BB26" s="126">
        <f t="array" ref="BB26">SUMPRODUCT(($S$7:$S$78=AE26&amp;"_win")*($X$7:$X$78))+SUMPRODUCT(($T$7:$T$78=AE26&amp;"_win")*($X$7:$X$78))</f>
        <v/>
      </c>
      <c r="BC26" s="126">
        <f t="array" ref="BC26">SUMPRODUCT(($S$7:$S$78=AE26&amp;"_draw")*($X$7:$X$78))+SUMPRODUCT(($T$7:$T$78=AE26&amp;"_draw")*($X$7:$X$78))</f>
        <v/>
      </c>
      <c r="BD26" s="126">
        <f t="array" ref="BD26">SUMPRODUCT(($E$7:$E$78=AE26)*($X$7:$X$78)*($F$7:$F$78))+SUMPRODUCT(($H$7:$H$78=AE26)*($X$7:$X$78)*($G$7:$G$78))</f>
        <v/>
      </c>
      <c r="BE26" s="126">
        <f t="array" ref="BE26">SUMPRODUCT(($E$7:$E$78=AE26)*($X$7:$X$78)*($G$7:$G$78))+SUMPRODUCT(($H$7:$H$78=AE26)*($X$7:$X$78)*($F$7:$F$78))</f>
        <v/>
      </c>
      <c r="BF26" s="126">
        <f>BD26-BE26</f>
        <v/>
      </c>
      <c r="BG26" s="126">
        <f>BF26-MIN(BF26:BF29)</f>
        <v/>
      </c>
      <c r="BH26" s="126">
        <f>BB26/BB30*1000+BC26/BC30*100+BG26/BG30*10+BD26/BD30</f>
        <v/>
      </c>
      <c r="BI26" s="126">
        <f>BH26/BH30</f>
        <v/>
      </c>
      <c r="BK26" s="179" t="n">
        <v>83</v>
      </c>
      <c r="BL26" s="24">
        <f>AS69</f>
        <v/>
      </c>
      <c r="BM26" s="61" t="n">
        <v>1</v>
      </c>
      <c r="BN26" s="63" t="n">
        <v>1</v>
      </c>
      <c r="BO26" s="25" t="n"/>
      <c r="BP26" s="112">
        <f>IF(OR(BM26="",BM27="",AND(BN26="",BN27&lt;&gt;""),AND(BN27="",BN26&lt;&gt;""),AND(BO26="",BO27&lt;&gt;""),AND(BO27="",BO26&lt;&gt;"")),"",BM26*1000+BN26*10+BO26)</f>
        <v/>
      </c>
      <c r="BQ26" s="112" t="n"/>
      <c r="BR26" s="21" t="n"/>
      <c r="BS26" s="21" t="n"/>
      <c r="BT26" s="21" t="n"/>
      <c r="BU26" s="21" t="n"/>
      <c r="BV26" s="21" t="n"/>
      <c r="BW26" s="112" t="n"/>
      <c r="BX26" s="112" t="n"/>
      <c r="BY26" s="21" t="n"/>
      <c r="BZ26" s="21" t="n"/>
      <c r="CA26" s="21" t="n"/>
      <c r="CB26" s="21" t="n"/>
      <c r="CC26" s="21" t="n"/>
      <c r="CD26" s="114" t="n"/>
      <c r="CE26" s="112" t="n"/>
      <c r="CF26" s="21" t="n"/>
      <c r="CG26" s="21" t="n"/>
      <c r="CH26" s="21" t="n"/>
      <c r="CI26" s="21" t="n"/>
      <c r="CJ26" s="21" t="n"/>
      <c r="CK26" s="114" t="n"/>
      <c r="CL26" s="112" t="n"/>
      <c r="CM26" s="21" t="n"/>
      <c r="CN26" s="21" t="n"/>
      <c r="CO26" s="21" t="n"/>
      <c r="CP26" s="21" t="n"/>
      <c r="CQ26" s="21" t="n"/>
    </row>
    <row r="27">
      <c r="A27" s="16" t="n">
        <v>21</v>
      </c>
      <c r="B27" s="17">
        <f t="array" ref="B27">INDEX(T,18+INT(MOD(R27-1,7)),lang)</f>
        <v/>
      </c>
      <c r="C27" s="18">
        <f t="array" ref="C27">INDEX(T,24+MONTH(R27),lang) &amp; " " &amp; DAY(R27) &amp; ", " &amp; YEAR(R27)</f>
        <v/>
      </c>
      <c r="D27" s="120">
        <f>TIME(HOUR(R27),MINUTE(R27),0)</f>
        <v/>
      </c>
      <c r="E27" s="78">
        <f>AE76</f>
        <v/>
      </c>
      <c r="F27" s="19" t="n">
        <v>0</v>
      </c>
      <c r="G27" s="20" t="n">
        <v>2</v>
      </c>
      <c r="H27" s="80">
        <f>AE77</f>
        <v/>
      </c>
      <c r="J27" s="30">
        <f>VLOOKUP(1,AD26:AN29,2,FALSE)</f>
        <v/>
      </c>
      <c r="K27" s="31">
        <f>L27+M27+N27</f>
        <v/>
      </c>
      <c r="L27" s="31">
        <f>VLOOKUP(1,AD26:AN29,3,FALSE)</f>
        <v/>
      </c>
      <c r="M27" s="31">
        <f>VLOOKUP(1,AD26:AN29,4,FALSE)</f>
        <v/>
      </c>
      <c r="N27" s="31">
        <f>VLOOKUP(1,AD26:AN29,5,FALSE)</f>
        <v/>
      </c>
      <c r="O27" s="31">
        <f>VLOOKUP(1,AD26:AN29,6,FALSE) &amp; " - " &amp; VLOOKUP(1,AD26:AN29,7,FALSE)</f>
        <v/>
      </c>
      <c r="P27" s="32">
        <f>L27*3+M27</f>
        <v/>
      </c>
      <c r="R27" s="123">
        <f>DATE(2026,6,17)+TIME(12,0,0)+gmt_delta</f>
        <v/>
      </c>
      <c r="S27" s="127">
        <f>IF(OR(F27="",G27=""),"",IF(F27&gt;G27,E27&amp;"_win",IF(F27&lt;G27,E27&amp;"_lose",E27&amp;"_draw")))</f>
        <v/>
      </c>
      <c r="T27" s="127">
        <f>IF(S27="","",IF(F27&lt;G27,H27&amp;"_win",IF(F27&gt;G27,H27&amp;"_lose",H27&amp;"_draw")))</f>
        <v/>
      </c>
      <c r="U27" s="123">
        <f>IF(S27="",0,IF(VLOOKUP(E27,$AE$8:$AN$77,10,FALSE)=VLOOKUP(H27,$AE$8:$AN$77,10,FALSE),1,0))</f>
        <v/>
      </c>
      <c r="V27" s="123">
        <f>U27*F27</f>
        <v/>
      </c>
      <c r="W27" s="123">
        <f>U27*G27</f>
        <v/>
      </c>
      <c r="X27" s="123">
        <f>IF(S27="",0,IF(VLOOKUP(E27,$AE$8:$AO$77,11,FALSE)=VLOOKUP(H27,$AE$8:$AO$77,11,FALSE),1,0))</f>
        <v/>
      </c>
      <c r="Y27" s="123">
        <f>X27*F27</f>
        <v/>
      </c>
      <c r="Z27" s="123">
        <f>X27*G27</f>
        <v/>
      </c>
      <c r="AA27" s="123">
        <f>IF(OR(E27=my_team,H27=my_team),1,IF(INT(MATCH(E27,$AE$8:$AE$78,0)/6)=$AA$6,1,0))</f>
        <v/>
      </c>
      <c r="AB27" s="123">
        <f>IF(OR(F27="",G27=""),"",IF(F27&gt;G27,1,IF(F27&lt;G27,-1,0)))</f>
        <v/>
      </c>
      <c r="AD27" s="123">
        <f>COUNTIF(AR26:AR29,CONCATENATE("&gt;=",AR27))</f>
        <v/>
      </c>
      <c r="AE27" s="124">
        <f>VLOOKUP("Paraguay",T,lang,FALSE)</f>
        <v/>
      </c>
      <c r="AF27" s="123">
        <f>COUNTIF($S$7:$T$78,"=" &amp; AE27 &amp; "_win")</f>
        <v/>
      </c>
      <c r="AG27" s="123">
        <f>COUNTIF($S$7:$T$78,"=" &amp; AE27 &amp; "_draw")</f>
        <v/>
      </c>
      <c r="AH27" s="123">
        <f>COUNTIF($S$7:$T$78,"=" &amp; AE27 &amp; "_lose")</f>
        <v/>
      </c>
      <c r="AI27" s="123">
        <f>SUMIF($E$7:$E$78,$AE27,$F$7:$F$78) + SUMIF($H$7:$H$78,$AE27,$G$7:$G$78)</f>
        <v/>
      </c>
      <c r="AJ27" s="123">
        <f>SUMIF($E$7:$E$78,$AE27,$G$7:$G$78) + SUMIF($H$7:$H$78,$AE27,$F$7:$F$78)</f>
        <v/>
      </c>
      <c r="AL27" s="123">
        <f>AI27-AJ27</f>
        <v/>
      </c>
      <c r="AM27" s="123">
        <f>AL27-AL30</f>
        <v/>
      </c>
      <c r="AN27" s="123">
        <f>AF27*3+AG27</f>
        <v/>
      </c>
      <c r="AO27" s="123">
        <f>AN27/AN30*10+BA27</f>
        <v/>
      </c>
      <c r="AP27" s="123">
        <f>AO27*10000000+BI27*100+AM27/AM30*10+AI27/AI30*1++IF(AQ27=0,ROW(),AQ27)/2000000</f>
        <v/>
      </c>
      <c r="AQ27" s="126">
        <f>VLOOKUP(AE27,db_fifarank,2,FALSE)</f>
        <v/>
      </c>
      <c r="AR27" s="125">
        <f>AP27/AP30</f>
        <v/>
      </c>
      <c r="AS27" s="125">
        <f>IF(SUM(AF26:AH29)=12,J28,"2D")</f>
        <v/>
      </c>
      <c r="AT27" s="126">
        <f t="array" ref="AT27">SUMPRODUCT(($S$7:$S$78=AE27&amp;"_win")*($U$7:$U$78))+SUMPRODUCT(($T$7:$T$78=AE27&amp;"_win")*($U$7:$U$78))</f>
        <v/>
      </c>
      <c r="AU27" s="126">
        <f t="array" ref="AU27">SUMPRODUCT(($S$7:$S$78=AE27&amp;"_draw")*($U$7:$U$78))+SUMPRODUCT(($T$7:$T$78=AE27&amp;"_draw")*($U$7:$U$78))</f>
        <v/>
      </c>
      <c r="AV27" s="126">
        <f t="array" ref="AV27">SUMPRODUCT(($E$7:$E$78=AE27)*($U$7:$U$78)*($F$7:$F$78))+SUMPRODUCT(($H$7:$H$78=AE27)*($U$7:$U$78)*($G$7:$G$78))</f>
        <v/>
      </c>
      <c r="AW27" s="126">
        <f t="array" ref="AW27">SUMPRODUCT(($E$7:$E$78=AE27)*($U$7:$U$78)*($G$7:$G$78))+SUMPRODUCT(($H$7:$H$78=AE27)*($U$7:$U$78)*($F$7:$F$78))</f>
        <v/>
      </c>
      <c r="AX27" s="126">
        <f>AV27-AW27</f>
        <v/>
      </c>
      <c r="AY27" s="126">
        <f>AX27-MIN(AX26:AX29)</f>
        <v/>
      </c>
      <c r="AZ27" s="126">
        <f>AT27/AT30*1000+AU27/AU30*100+AY27/AY30*10+AV27/AV30</f>
        <v/>
      </c>
      <c r="BA27" s="126">
        <f>AZ27/AZ30</f>
        <v/>
      </c>
      <c r="BB27" s="126">
        <f t="array" ref="BB27">SUMPRODUCT(($S$7:$S$78=AE27&amp;"_win")*($X$7:$X$78))+SUMPRODUCT(($T$7:$T$78=AE27&amp;"_win")*($X$7:$X$78))</f>
        <v/>
      </c>
      <c r="BC27" s="126">
        <f t="array" ref="BC27">SUMPRODUCT(($S$7:$S$78=AE27&amp;"_draw")*($X$7:$X$78))+SUMPRODUCT(($T$7:$T$78=AE27&amp;"_draw")*($X$7:$X$78))</f>
        <v/>
      </c>
      <c r="BD27" s="126">
        <f t="array" ref="BD27">SUMPRODUCT(($E$7:$E$78=AE27)*($X$7:$X$78)*($F$7:$F$78))+SUMPRODUCT(($H$7:$H$78=AE27)*($X$7:$X$78)*($G$7:$G$78))</f>
        <v/>
      </c>
      <c r="BE27" s="126">
        <f t="array" ref="BE27">SUMPRODUCT(($E$7:$E$78=AE27)*($X$7:$X$78)*($G$7:$G$78))+SUMPRODUCT(($H$7:$H$78=AE27)*($X$7:$X$78)*($F$7:$F$78))</f>
        <v/>
      </c>
      <c r="BF27" s="126">
        <f>BD27-BE27</f>
        <v/>
      </c>
      <c r="BG27" s="126">
        <f>BF27-MIN(BF26:BF29)</f>
        <v/>
      </c>
      <c r="BH27" s="126">
        <f>BB27/BB30*1000+BC27/BC30*100+BG27/BG30*10+BD27/BD30</f>
        <v/>
      </c>
      <c r="BI27" s="126">
        <f>BH27/BH30</f>
        <v/>
      </c>
      <c r="BK27" s="180" t="n"/>
      <c r="BL27" s="26">
        <f>AS75</f>
        <v/>
      </c>
      <c r="BM27" s="62" t="n">
        <v>1</v>
      </c>
      <c r="BN27" s="64" t="n">
        <v>0</v>
      </c>
      <c r="BO27" s="27" t="n"/>
      <c r="BP27" s="113">
        <f>IF(BP26="","",BM27*1000+BN27*10+BO27)</f>
        <v/>
      </c>
      <c r="BQ27" s="112" t="n"/>
      <c r="BR27" s="21">
        <f t="array" ref="BR27">INDEX(T,24+MONTH(BW27),lang) &amp; " " &amp; DAY(BW27) &amp; ", " &amp; YEAR(BW27) &amp; "   " &amp; (IF(HOUR(BW27)&lt;10,0,"")&amp;HOUR(BW27)) &amp; ":" &amp;  (IF(MINUTE(BW27)&lt;10,0,"")&amp;MINUTE(BW27))</f>
        <v/>
      </c>
      <c r="BS27" s="21" t="n"/>
      <c r="BT27" s="21" t="n"/>
      <c r="BU27" s="21" t="n"/>
      <c r="BV27" s="28" t="n"/>
      <c r="BW27" s="112">
        <f>DATE(2026,7,6)+TIME(8,0,0)+gmt_delta</f>
        <v/>
      </c>
      <c r="BX27" s="112" t="n"/>
      <c r="BY27" s="21" t="n"/>
      <c r="BZ27" s="21" t="n"/>
      <c r="CA27" s="21" t="n"/>
      <c r="CB27" s="21" t="n"/>
      <c r="CC27" s="21" t="n"/>
      <c r="CD27" s="114" t="n"/>
      <c r="CE27" s="112" t="n"/>
      <c r="CF27" s="21" t="n"/>
      <c r="CG27" s="21" t="n"/>
      <c r="CH27" s="21" t="n"/>
      <c r="CI27" s="21" t="n"/>
      <c r="CJ27" s="21" t="n"/>
      <c r="CK27" s="114" t="n"/>
      <c r="CL27" s="112" t="n"/>
      <c r="CM27" s="21" t="n"/>
      <c r="CN27" s="21" t="n"/>
      <c r="CO27" s="21" t="n"/>
      <c r="CP27" s="21" t="n"/>
      <c r="CQ27" s="21" t="n"/>
    </row>
    <row r="28">
      <c r="A28" s="16" t="n">
        <v>22</v>
      </c>
      <c r="B28" s="17">
        <f t="array" ref="B28">INDEX(T,18+INT(MOD(R28-1,7)),lang)</f>
        <v/>
      </c>
      <c r="C28" s="18">
        <f t="array" ref="C28">INDEX(T,24+MONTH(R28),lang) &amp; " " &amp; DAY(R28) &amp; ", " &amp; YEAR(R28)</f>
        <v/>
      </c>
      <c r="D28" s="120">
        <f>TIME(HOUR(R28),MINUTE(R28),0)</f>
        <v/>
      </c>
      <c r="E28" s="78">
        <f>AE74</f>
        <v/>
      </c>
      <c r="F28" s="19" t="n">
        <v>2</v>
      </c>
      <c r="G28" s="20" t="n">
        <v>0</v>
      </c>
      <c r="H28" s="80">
        <f>AE75</f>
        <v/>
      </c>
      <c r="J28" s="33">
        <f>VLOOKUP(2,AD26:AN29,2,FALSE)</f>
        <v/>
      </c>
      <c r="K28" s="23">
        <f>L28+M28+N28</f>
        <v/>
      </c>
      <c r="L28" s="23">
        <f>VLOOKUP(2,AD26:AN29,3,FALSE)</f>
        <v/>
      </c>
      <c r="M28" s="23">
        <f>VLOOKUP(2,AD26:AN29,4,FALSE)</f>
        <v/>
      </c>
      <c r="N28" s="23">
        <f>VLOOKUP(2,AD26:AN29,5,FALSE)</f>
        <v/>
      </c>
      <c r="O28" s="23">
        <f>VLOOKUP(2,AD26:AN29,6,FALSE) &amp; " - " &amp; VLOOKUP(2,AD26:AN29,7,FALSE)</f>
        <v/>
      </c>
      <c r="P28" s="34">
        <f>L28*3+M28</f>
        <v/>
      </c>
      <c r="R28" s="123">
        <f>DATE(2026,6,17)+TIME(9,0,0)+gmt_delta</f>
        <v/>
      </c>
      <c r="S28" s="127">
        <f>IF(OR(F28="",G28=""),"",IF(F28&gt;G28,E28&amp;"_win",IF(F28&lt;G28,E28&amp;"_lose",E28&amp;"_draw")))</f>
        <v/>
      </c>
      <c r="T28" s="127">
        <f>IF(S28="","",IF(F28&lt;G28,H28&amp;"_win",IF(F28&gt;G28,H28&amp;"_lose",H28&amp;"_draw")))</f>
        <v/>
      </c>
      <c r="U28" s="123">
        <f>IF(S28="",0,IF(VLOOKUP(E28,$AE$8:$AN$77,10,FALSE)=VLOOKUP(H28,$AE$8:$AN$77,10,FALSE),1,0))</f>
        <v/>
      </c>
      <c r="V28" s="123">
        <f>U28*F28</f>
        <v/>
      </c>
      <c r="W28" s="123">
        <f>U28*G28</f>
        <v/>
      </c>
      <c r="X28" s="123">
        <f>IF(S28="",0,IF(VLOOKUP(E28,$AE$8:$AO$77,11,FALSE)=VLOOKUP(H28,$AE$8:$AO$77,11,FALSE),1,0))</f>
        <v/>
      </c>
      <c r="Y28" s="123">
        <f>X28*F28</f>
        <v/>
      </c>
      <c r="Z28" s="123">
        <f>X28*G28</f>
        <v/>
      </c>
      <c r="AA28" s="123">
        <f>IF(OR(E28=my_team,H28=my_team),1,IF(INT(MATCH(E28,$AE$8:$AE$78,0)/6)=$AA$6,1,0))</f>
        <v/>
      </c>
      <c r="AB28" s="123">
        <f>IF(OR(F28="",G28=""),"",IF(F28&gt;G28,1,IF(F28&lt;G28,-1,0)))</f>
        <v/>
      </c>
      <c r="AD28" s="123">
        <f>COUNTIF(AR26:AR29,CONCATENATE("&gt;=",AR28))</f>
        <v/>
      </c>
      <c r="AE28" s="124">
        <f>VLOOKUP("Australia",T,lang,FALSE)</f>
        <v/>
      </c>
      <c r="AF28" s="123">
        <f>COUNTIF($S$7:$T$78,"=" &amp; AE28 &amp; "_win")</f>
        <v/>
      </c>
      <c r="AG28" s="123">
        <f>COUNTIF($S$7:$T$78,"=" &amp; AE28 &amp; "_draw")</f>
        <v/>
      </c>
      <c r="AH28" s="123">
        <f>COUNTIF($S$7:$T$78,"=" &amp; AE28 &amp; "_lose")</f>
        <v/>
      </c>
      <c r="AI28" s="123">
        <f>SUMIF($E$7:$E$78,$AE28,$F$7:$F$78) + SUMIF($H$7:$H$78,$AE28,$G$7:$G$78)</f>
        <v/>
      </c>
      <c r="AJ28" s="123">
        <f>SUMIF($E$7:$E$78,$AE28,$G$7:$G$78) + SUMIF($H$7:$H$78,$AE28,$F$7:$F$78)</f>
        <v/>
      </c>
      <c r="AL28" s="123">
        <f>AI28-AJ28</f>
        <v/>
      </c>
      <c r="AM28" s="123">
        <f>AL28-AL30</f>
        <v/>
      </c>
      <c r="AN28" s="123">
        <f>AF28*3+AG28</f>
        <v/>
      </c>
      <c r="AO28" s="123">
        <f>AN28/AN30*10+BA28</f>
        <v/>
      </c>
      <c r="AP28" s="123">
        <f>AO28*10000000+BI28*100+AM28/AM30*10+AI28/AI30*1++IF(AQ28=0,ROW(),AQ28)/2000000</f>
        <v/>
      </c>
      <c r="AQ28" s="126">
        <f>VLOOKUP(AE28,db_fifarank,2,FALSE)</f>
        <v/>
      </c>
      <c r="AR28" s="125">
        <f>AP28/AP30</f>
        <v/>
      </c>
      <c r="AT28" s="126">
        <f t="array" ref="AT28">SUMPRODUCT(($S$7:$S$78=AE28&amp;"_win")*($U$7:$U$78))+SUMPRODUCT(($T$7:$T$78=AE28&amp;"_win")*($U$7:$U$78))</f>
        <v/>
      </c>
      <c r="AU28" s="126">
        <f t="array" ref="AU28">SUMPRODUCT(($S$7:$S$78=AE28&amp;"_draw")*($U$7:$U$78))+SUMPRODUCT(($T$7:$T$78=AE28&amp;"_draw")*($U$7:$U$78))</f>
        <v/>
      </c>
      <c r="AV28" s="126">
        <f t="array" ref="AV28">SUMPRODUCT(($E$7:$E$78=AE28)*($U$7:$U$78)*($F$7:$F$78))+SUMPRODUCT(($H$7:$H$78=AE28)*($U$7:$U$78)*($G$7:$G$78))</f>
        <v/>
      </c>
      <c r="AW28" s="126">
        <f t="array" ref="AW28">SUMPRODUCT(($E$7:$E$78=AE28)*($U$7:$U$78)*($G$7:$G$78))+SUMPRODUCT(($H$7:$H$78=AE28)*($U$7:$U$78)*($F$7:$F$78))</f>
        <v/>
      </c>
      <c r="AX28" s="126">
        <f>AV28-AW28</f>
        <v/>
      </c>
      <c r="AY28" s="126">
        <f>AX28-MIN(AX26:AX29)</f>
        <v/>
      </c>
      <c r="AZ28" s="126">
        <f>AT28/AT30*1000+AU28/AU30*100+AY28/AY30*10+AV28/AV30</f>
        <v/>
      </c>
      <c r="BA28" s="126">
        <f>AZ28/AZ30</f>
        <v/>
      </c>
      <c r="BB28" s="126">
        <f t="array" ref="BB28">SUMPRODUCT(($S$7:$S$78=AE28&amp;"_win")*($X$7:$X$78))+SUMPRODUCT(($T$7:$T$78=AE28&amp;"_win")*($X$7:$X$78))</f>
        <v/>
      </c>
      <c r="BC28" s="126">
        <f t="array" ref="BC28">SUMPRODUCT(($S$7:$S$78=AE28&amp;"_draw")*($X$7:$X$78))+SUMPRODUCT(($T$7:$T$78=AE28&amp;"_draw")*($X$7:$X$78))</f>
        <v/>
      </c>
      <c r="BD28" s="126">
        <f t="array" ref="BD28">SUMPRODUCT(($E$7:$E$78=AE28)*($X$7:$X$78)*($F$7:$F$78))+SUMPRODUCT(($H$7:$H$78=AE28)*($X$7:$X$78)*($G$7:$G$78))</f>
        <v/>
      </c>
      <c r="BE28" s="126">
        <f t="array" ref="BE28">SUMPRODUCT(($E$7:$E$78=AE28)*($X$7:$X$78)*($G$7:$G$78))+SUMPRODUCT(($H$7:$H$78=AE28)*($X$7:$X$78)*($F$7:$F$78))</f>
        <v/>
      </c>
      <c r="BF28" s="126">
        <f>BD28-BE28</f>
        <v/>
      </c>
      <c r="BG28" s="126">
        <f>BF28-MIN(BF26:BF29)</f>
        <v/>
      </c>
      <c r="BH28" s="126">
        <f>BB28/BB30*1000+BC28/BC30*100+BG28/BG30*10+BD28/BD30</f>
        <v/>
      </c>
      <c r="BI28" s="126">
        <f>BH28/BH30</f>
        <v/>
      </c>
      <c r="BK28" s="21" t="n"/>
      <c r="BL28" s="21" t="n"/>
      <c r="BM28" s="21" t="n"/>
      <c r="BN28" s="21" t="n"/>
      <c r="BO28" s="21" t="n"/>
      <c r="BP28" s="114" t="n"/>
      <c r="BQ28" s="112" t="n"/>
      <c r="BR28" s="179" t="n">
        <v>93</v>
      </c>
      <c r="BS28" s="24">
        <f>IF(BP26&gt;BP27,BL26,IF(BP26&lt;BP27,BL27,""))</f>
        <v/>
      </c>
      <c r="BT28" s="61" t="n">
        <v>1</v>
      </c>
      <c r="BU28" s="63" t="n"/>
      <c r="BV28" s="25" t="n"/>
      <c r="BW28" s="112">
        <f>IF(OR(BT28="",BT29="",AND(BU28="",BU29&lt;&gt;""),AND(BU29="",BU28&lt;&gt;""),AND(BV28="",BV29&lt;&gt;""),AND(BV29="",BV28&lt;&gt;"")),"",BT28*1000+BU28*10+BV28)</f>
        <v/>
      </c>
      <c r="BX28" s="112" t="n"/>
      <c r="BY28" s="21" t="n"/>
      <c r="BZ28" s="21" t="n"/>
      <c r="CA28" s="21" t="n"/>
      <c r="CB28" s="21" t="n"/>
      <c r="CC28" s="21" t="n"/>
      <c r="CD28" s="114" t="n"/>
      <c r="CE28" s="112" t="n"/>
      <c r="CF28" s="21" t="n"/>
      <c r="CG28" s="21" t="n"/>
      <c r="CH28" s="21" t="n"/>
      <c r="CI28" s="21" t="n"/>
      <c r="CJ28" s="21" t="n"/>
      <c r="CK28" s="114" t="n"/>
      <c r="CL28" s="112" t="n"/>
    </row>
    <row r="29">
      <c r="A29" s="16" t="n">
        <v>23</v>
      </c>
      <c r="B29" s="17">
        <f t="array" ref="B29">INDEX(T,18+INT(MOD(R29-1,7)),lang)</f>
        <v/>
      </c>
      <c r="C29" s="18">
        <f t="array" ref="C29">INDEX(T,24+MONTH(R29),lang) &amp; " " &amp; DAY(R29) &amp; ", " &amp; YEAR(R29)</f>
        <v/>
      </c>
      <c r="D29" s="120">
        <f>TIME(HOUR(R29),MINUTE(R29),0)</f>
        <v/>
      </c>
      <c r="E29" s="78">
        <f>AE68</f>
        <v/>
      </c>
      <c r="F29" s="19" t="n">
        <v>3</v>
      </c>
      <c r="G29" s="20" t="n">
        <v>0</v>
      </c>
      <c r="H29" s="80">
        <f>AE69</f>
        <v/>
      </c>
      <c r="J29" s="33">
        <f>VLOOKUP(3,AD26:AN29,2,FALSE)</f>
        <v/>
      </c>
      <c r="K29" s="23">
        <f>L29+M29+N29</f>
        <v/>
      </c>
      <c r="L29" s="23">
        <f>VLOOKUP(3,AD26:AN29,3,FALSE)</f>
        <v/>
      </c>
      <c r="M29" s="23">
        <f>VLOOKUP(3,AD26:AN29,4,FALSE)</f>
        <v/>
      </c>
      <c r="N29" s="23">
        <f>VLOOKUP(3,AD26:AN29,5,FALSE)</f>
        <v/>
      </c>
      <c r="O29" s="23">
        <f>VLOOKUP(3,AD26:AN29,6,FALSE) &amp; " - " &amp; VLOOKUP(3,AD26:AN29,7,FALSE)</f>
        <v/>
      </c>
      <c r="P29" s="34">
        <f>L29*3+M29</f>
        <v/>
      </c>
      <c r="R29" s="123">
        <f>DATE(2026,6,17)+TIME(6,0,0)+gmt_delta</f>
        <v/>
      </c>
      <c r="S29" s="127">
        <f>IF(OR(F29="",G29=""),"",IF(F29&gt;G29,E29&amp;"_win",IF(F29&lt;G29,E29&amp;"_lose",E29&amp;"_draw")))</f>
        <v/>
      </c>
      <c r="T29" s="127">
        <f>IF(S29="","",IF(F29&lt;G29,H29&amp;"_win",IF(F29&gt;G29,H29&amp;"_lose",H29&amp;"_draw")))</f>
        <v/>
      </c>
      <c r="U29" s="123">
        <f>IF(S29="",0,IF(VLOOKUP(E29,$AE$8:$AN$77,10,FALSE)=VLOOKUP(H29,$AE$8:$AN$77,10,FALSE),1,0))</f>
        <v/>
      </c>
      <c r="V29" s="123">
        <f>U29*F29</f>
        <v/>
      </c>
      <c r="W29" s="123">
        <f>U29*G29</f>
        <v/>
      </c>
      <c r="X29" s="123">
        <f>IF(S29="",0,IF(VLOOKUP(E29,$AE$8:$AO$77,11,FALSE)=VLOOKUP(H29,$AE$8:$AO$77,11,FALSE),1,0))</f>
        <v/>
      </c>
      <c r="Y29" s="123">
        <f>X29*F29</f>
        <v/>
      </c>
      <c r="Z29" s="123">
        <f>X29*G29</f>
        <v/>
      </c>
      <c r="AA29" s="123">
        <f>IF(OR(E29=my_team,H29=my_team),1,IF(INT(MATCH(E29,$AE$8:$AE$78,0)/6)=$AA$6,1,0))</f>
        <v/>
      </c>
      <c r="AB29" s="123">
        <f>IF(OR(F29="",G29=""),"",IF(F29&gt;G29,1,IF(F29&lt;G29,-1,0)))</f>
        <v/>
      </c>
      <c r="AD29" s="123">
        <f>COUNTIF(AR26:AR29,CONCATENATE("&gt;=",AR29))</f>
        <v/>
      </c>
      <c r="AE29" s="124">
        <f>VLOOKUP("Turkey",T,lang,FALSE)</f>
        <v/>
      </c>
      <c r="AF29" s="123">
        <f>COUNTIF($S$7:$T$78,"=" &amp; AE29 &amp; "_win")</f>
        <v/>
      </c>
      <c r="AG29" s="123">
        <f>COUNTIF($S$7:$T$78,"=" &amp; AE29 &amp; "_draw")</f>
        <v/>
      </c>
      <c r="AH29" s="123">
        <f>COUNTIF($S$7:$T$78,"=" &amp; AE29 &amp; "_lose")</f>
        <v/>
      </c>
      <c r="AI29" s="123">
        <f>SUMIF($E$7:$E$78,$AE29,$F$7:$F$78) + SUMIF($H$7:$H$78,$AE29,$G$7:$G$78)</f>
        <v/>
      </c>
      <c r="AJ29" s="123">
        <f>SUMIF($E$7:$E$78,$AE29,$G$7:$G$78) + SUMIF($H$7:$H$78,$AE29,$F$7:$F$78)</f>
        <v/>
      </c>
      <c r="AL29" s="123">
        <f>AI29-AJ29</f>
        <v/>
      </c>
      <c r="AM29" s="123">
        <f>AL29-AL30</f>
        <v/>
      </c>
      <c r="AN29" s="123">
        <f>AF29*3+AG29</f>
        <v/>
      </c>
      <c r="AO29" s="123">
        <f>AN29/AN30*10+BA29</f>
        <v/>
      </c>
      <c r="AP29" s="123">
        <f>AO29*10000000+BI29*100+AM29/AM30*10+AI29/AI30*1++IF(AQ29=0,ROW(),AQ29)/2000000</f>
        <v/>
      </c>
      <c r="AQ29" s="126">
        <f>VLOOKUP(AE29,db_fifarank,2,FALSE)</f>
        <v/>
      </c>
      <c r="AR29" s="125">
        <f>AP29/AP30</f>
        <v/>
      </c>
      <c r="AT29" s="126">
        <f t="array" ref="AT29">SUMPRODUCT(($S$7:$S$78=AE29&amp;"_win")*($U$7:$U$78))+SUMPRODUCT(($T$7:$T$78=AE29&amp;"_win")*($U$7:$U$78))</f>
        <v/>
      </c>
      <c r="AU29" s="126">
        <f t="array" ref="AU29">SUMPRODUCT(($S$7:$S$78=AE29&amp;"_draw")*($U$7:$U$78))+SUMPRODUCT(($T$7:$T$78=AE29&amp;"_draw")*($U$7:$U$78))</f>
        <v/>
      </c>
      <c r="AV29" s="126">
        <f t="array" ref="AV29">SUMPRODUCT(($E$7:$E$78=AE29)*($U$7:$U$78)*($F$7:$F$78))+SUMPRODUCT(($H$7:$H$78=AE29)*($U$7:$U$78)*($G$7:$G$78))</f>
        <v/>
      </c>
      <c r="AW29" s="126">
        <f t="array" ref="AW29">SUMPRODUCT(($E$7:$E$78=AE29)*($U$7:$U$78)*($G$7:$G$78))+SUMPRODUCT(($H$7:$H$78=AE29)*($U$7:$U$78)*($F$7:$F$78))</f>
        <v/>
      </c>
      <c r="AX29" s="126">
        <f>AV29-AW29</f>
        <v/>
      </c>
      <c r="AY29" s="126">
        <f>AX29-MIN(AX26:AX29)</f>
        <v/>
      </c>
      <c r="AZ29" s="126">
        <f>AT29/AT30*1000+AU29/AU30*100+AY29/AY30*10+AV29/AV30</f>
        <v/>
      </c>
      <c r="BA29" s="126">
        <f>AZ29/AZ30</f>
        <v/>
      </c>
      <c r="BB29" s="126">
        <f t="array" ref="BB29">SUMPRODUCT(($S$7:$S$78=AE29&amp;"_win")*($X$7:$X$78))+SUMPRODUCT(($T$7:$T$78=AE29&amp;"_win")*($X$7:$X$78))</f>
        <v/>
      </c>
      <c r="BC29" s="126">
        <f t="array" ref="BC29">SUMPRODUCT(($S$7:$S$78=AE29&amp;"_draw")*($X$7:$X$78))+SUMPRODUCT(($T$7:$T$78=AE29&amp;"_draw")*($X$7:$X$78))</f>
        <v/>
      </c>
      <c r="BD29" s="126">
        <f t="array" ref="BD29">SUMPRODUCT(($E$7:$E$78=AE29)*($X$7:$X$78)*($F$7:$F$78))+SUMPRODUCT(($H$7:$H$78=AE29)*($X$7:$X$78)*($G$7:$G$78))</f>
        <v/>
      </c>
      <c r="BE29" s="126">
        <f t="array" ref="BE29">SUMPRODUCT(($E$7:$E$78=AE29)*($X$7:$X$78)*($G$7:$G$78))+SUMPRODUCT(($H$7:$H$78=AE29)*($X$7:$X$78)*($F$7:$F$78))</f>
        <v/>
      </c>
      <c r="BF29" s="126">
        <f>BD29-BE29</f>
        <v/>
      </c>
      <c r="BG29" s="126">
        <f>BF29-MIN(BF26:BF29)</f>
        <v/>
      </c>
      <c r="BH29" s="126">
        <f>BB29/BB30*1000+BC29/BC30*100+BG29/BG30*10+BD29/BD30</f>
        <v/>
      </c>
      <c r="BI29" s="126">
        <f>BH29/BH30</f>
        <v/>
      </c>
      <c r="BK29" s="21">
        <f t="array" ref="BK29">INDEX(T,24+MONTH(BP29),lang) &amp; " " &amp; DAY(BP29) &amp; ", " &amp; YEAR(BP29) &amp; "   " &amp; (IF(HOUR(BP29)&lt;10,0,"")&amp;HOUR(BP29)) &amp; ":" &amp;  (IF(MINUTE(BP29)&lt;10,0,"")&amp;MINUTE(BP29))</f>
        <v/>
      </c>
      <c r="BL29" s="21" t="n"/>
      <c r="BM29" s="21" t="n"/>
      <c r="BN29" s="21" t="n"/>
      <c r="BO29" s="28" t="n"/>
      <c r="BP29" s="114">
        <f>DATE(2026,7,2)+TIME(8,0,0)+gmt_delta</f>
        <v/>
      </c>
      <c r="BQ29" s="115" t="n"/>
      <c r="BR29" s="180" t="n"/>
      <c r="BS29" s="26">
        <f>IF(BP30&gt;BP31,BL30,IF(BP30&lt;BP31,BL31,""))</f>
        <v/>
      </c>
      <c r="BT29" s="62" t="n">
        <v>3</v>
      </c>
      <c r="BU29" s="64" t="n"/>
      <c r="BV29" s="27" t="n"/>
      <c r="BW29" s="113">
        <f>IF(BW28="","",BT29*1000+BU29*10+BV29)</f>
        <v/>
      </c>
      <c r="BX29" s="112" t="n"/>
      <c r="BY29" s="21" t="n"/>
      <c r="BZ29" s="21" t="n"/>
      <c r="CA29" s="21" t="n"/>
      <c r="CB29" s="21" t="n"/>
      <c r="CC29" s="21" t="n"/>
      <c r="CD29" s="114" t="n"/>
      <c r="CE29" s="112" t="n"/>
      <c r="CF29" s="21" t="n"/>
      <c r="CG29" s="21" t="n"/>
      <c r="CH29" s="21" t="n"/>
      <c r="CI29" s="21" t="n"/>
      <c r="CJ29" s="21" t="n"/>
      <c r="CK29" s="114" t="n"/>
      <c r="CL29" s="112" t="n"/>
    </row>
    <row r="30">
      <c r="A30" s="16" t="n">
        <v>24</v>
      </c>
      <c r="B30" s="17">
        <f t="array" ref="B30">INDEX(T,18+INT(MOD(R30-1,7)),lang)</f>
        <v/>
      </c>
      <c r="C30" s="18">
        <f t="array" ref="C30">INDEX(T,24+MONTH(R30),lang) &amp; " " &amp; DAY(R30) &amp; ", " &amp; YEAR(R30)</f>
        <v/>
      </c>
      <c r="D30" s="120">
        <f>TIME(HOUR(R30),MINUTE(R30),0)</f>
        <v/>
      </c>
      <c r="E30" s="78">
        <f>AE70</f>
        <v/>
      </c>
      <c r="F30" s="19" t="n">
        <v>1</v>
      </c>
      <c r="G30" s="20" t="n">
        <v>3</v>
      </c>
      <c r="H30" s="80">
        <f>AE71</f>
        <v/>
      </c>
      <c r="J30" s="35">
        <f>VLOOKUP(4,AD26:AN29,2,FALSE)</f>
        <v/>
      </c>
      <c r="K30" s="36">
        <f>L30+M30+N30</f>
        <v/>
      </c>
      <c r="L30" s="36">
        <f>VLOOKUP(4,AD26:AN29,3,FALSE)</f>
        <v/>
      </c>
      <c r="M30" s="36">
        <f>VLOOKUP(4,AD26:AN29,4,FALSE)</f>
        <v/>
      </c>
      <c r="N30" s="36">
        <f>VLOOKUP(4,AD26:AN29,5,FALSE)</f>
        <v/>
      </c>
      <c r="O30" s="36">
        <f>VLOOKUP(4,AD26:AN29,6,FALSE) &amp; " - " &amp; VLOOKUP(4,AD26:AN29,7,FALSE)</f>
        <v/>
      </c>
      <c r="P30" s="37">
        <f>L30*3+M30</f>
        <v/>
      </c>
      <c r="R30" s="123">
        <f>DATE(2026,6,17)+TIME(15,0,0)+gmt_delta</f>
        <v/>
      </c>
      <c r="S30" s="127">
        <f>IF(OR(F30="",G30=""),"",IF(F30&gt;G30,E30&amp;"_win",IF(F30&lt;G30,E30&amp;"_lose",E30&amp;"_draw")))</f>
        <v/>
      </c>
      <c r="T30" s="127">
        <f>IF(S30="","",IF(F30&lt;G30,H30&amp;"_win",IF(F30&gt;G30,H30&amp;"_lose",H30&amp;"_draw")))</f>
        <v/>
      </c>
      <c r="U30" s="123">
        <f>IF(S30="",0,IF(VLOOKUP(E30,$AE$8:$AN$77,10,FALSE)=VLOOKUP(H30,$AE$8:$AN$77,10,FALSE),1,0))</f>
        <v/>
      </c>
      <c r="V30" s="123">
        <f>U30*F30</f>
        <v/>
      </c>
      <c r="W30" s="123">
        <f>U30*G30</f>
        <v/>
      </c>
      <c r="X30" s="123">
        <f>IF(S30="",0,IF(VLOOKUP(E30,$AE$8:$AO$77,11,FALSE)=VLOOKUP(H30,$AE$8:$AO$77,11,FALSE),1,0))</f>
        <v/>
      </c>
      <c r="Y30" s="123">
        <f>X30*F30</f>
        <v/>
      </c>
      <c r="Z30" s="123">
        <f>X30*G30</f>
        <v/>
      </c>
      <c r="AA30" s="123">
        <f>IF(OR(E30=my_team,H30=my_team),1,IF(INT(MATCH(E30,$AE$8:$AE$78,0)/6)=$AA$6,1,0))</f>
        <v/>
      </c>
      <c r="AB30" s="123">
        <f>IF(OR(F30="",G30=""),"",IF(F30&gt;G30,1,IF(F30&lt;G30,-1,0)))</f>
        <v/>
      </c>
      <c r="AF30" s="123">
        <f>MAX(AF26:AF29)-MIN(AF26:AF29)+1</f>
        <v/>
      </c>
      <c r="AG30" s="123">
        <f>MAX(AG26:AG29)-MIN(AG26:AG29)+1</f>
        <v/>
      </c>
      <c r="AH30" s="123">
        <f>MAX(AH26:AH29)-MIN(AH26:AH29)+1</f>
        <v/>
      </c>
      <c r="AI30" s="123">
        <f>MAX(AI26:AI29)+1</f>
        <v/>
      </c>
      <c r="AL30" s="123">
        <f>MIN(AL26:AL29)</f>
        <v/>
      </c>
      <c r="AM30" s="123">
        <f>MAX(AM26:AM29)+1</f>
        <v/>
      </c>
      <c r="AN30" s="123">
        <f>MAX(AN26:AN29)+1</f>
        <v/>
      </c>
      <c r="AO30" s="123">
        <f>MAX(AO26:AO29)+1</f>
        <v/>
      </c>
      <c r="AP30" s="123">
        <f>MAX(AP26:AP29)+1</f>
        <v/>
      </c>
      <c r="AT30" s="126">
        <f>MAX(AT26:AT29)-MIN(AT26:AT29)+1</f>
        <v/>
      </c>
      <c r="AU30" s="126">
        <f>MAX(AU26:AU29)-MIN(AU26:AU29)+1</f>
        <v/>
      </c>
      <c r="AV30" s="126">
        <f>MAX(AV26:AV29)-MIN(AV26:AV29)+1</f>
        <v/>
      </c>
      <c r="AW30" s="126">
        <f>MAX(AW26:AW29)-MIN(AW26:AW29)+1</f>
        <v/>
      </c>
      <c r="AY30" s="126">
        <f>MAX(AY26:AY29)-MIN(AY26:AY29)+1</f>
        <v/>
      </c>
      <c r="AZ30" s="126">
        <f>MAX(AZ26:AZ29)+1</f>
        <v/>
      </c>
      <c r="BB30" s="126">
        <f>MAX(BB26:BB29)-MIN(BB26:BB29)+1</f>
        <v/>
      </c>
      <c r="BC30" s="126">
        <f>MAX(BC26:BC29)-MIN(BC26:BC29)+1</f>
        <v/>
      </c>
      <c r="BD30" s="126">
        <f>MAX(BD26:BD29)-MIN(BD26:BD29)+1</f>
        <v/>
      </c>
      <c r="BE30" s="126">
        <f>MAX(BE26:BE29)-MIN(BE26:BE29)+1</f>
        <v/>
      </c>
      <c r="BG30" s="126">
        <f>MAX(BG26:BG29)-MIN(BG26:BG29)+1</f>
        <v/>
      </c>
      <c r="BH30" s="126">
        <f>MAX(BH26:BH29)+1</f>
        <v/>
      </c>
      <c r="BK30" s="179" t="n">
        <v>84</v>
      </c>
      <c r="BL30" s="24">
        <f>AS50</f>
        <v/>
      </c>
      <c r="BM30" s="61" t="n">
        <v>3</v>
      </c>
      <c r="BN30" s="63" t="n"/>
      <c r="BO30" s="25" t="n"/>
      <c r="BP30" s="116">
        <f>IF(OR(BM30="",BM31="",AND(BN30="",BN31&lt;&gt;""),AND(BN31="",BN30&lt;&gt;""),AND(BO30="",BO31&lt;&gt;""),AND(BO31="",BO30&lt;&gt;"")),"",BM30*1000+BN30*10+BO30)</f>
        <v/>
      </c>
      <c r="BQ30" s="112" t="n"/>
      <c r="BR30" s="21" t="n"/>
      <c r="BS30" s="21" t="n"/>
      <c r="BT30" s="21" t="n"/>
      <c r="BU30" s="21" t="n"/>
      <c r="BV30" s="21" t="n"/>
      <c r="BW30" s="114" t="n"/>
      <c r="BX30" s="112" t="n"/>
      <c r="BY30" s="21" t="n"/>
      <c r="BZ30" s="21" t="n"/>
      <c r="CA30" s="21" t="n"/>
      <c r="CB30" s="21" t="n"/>
      <c r="CC30" s="21" t="n"/>
      <c r="CD30" s="114" t="n"/>
      <c r="CE30" s="112" t="n"/>
      <c r="CF30" s="21" t="n"/>
      <c r="CG30" s="21" t="n"/>
      <c r="CH30" s="21" t="n"/>
      <c r="CI30" s="21" t="n"/>
      <c r="CJ30" s="21" t="n"/>
      <c r="CK30" s="114" t="n"/>
      <c r="CL30" s="112" t="n"/>
    </row>
    <row r="31" ht="15" customHeight="1">
      <c r="A31" s="16" t="n">
        <v>25</v>
      </c>
      <c r="B31" s="17">
        <f t="array" ref="B31">INDEX(T,18+INT(MOD(R31-1,7)),lang)</f>
        <v/>
      </c>
      <c r="C31" s="18">
        <f t="array" ref="C31">INDEX(T,24+MONTH(R31),lang) &amp; " " &amp; DAY(R31) &amp; ", " &amp; YEAR(R31)</f>
        <v/>
      </c>
      <c r="D31" s="120">
        <f>TIME(HOUR(R31),MINUTE(R31),0)</f>
        <v/>
      </c>
      <c r="E31" s="78">
        <f>AE11</f>
        <v/>
      </c>
      <c r="F31" s="19" t="n">
        <v>2</v>
      </c>
      <c r="G31" s="20" t="n">
        <v>1</v>
      </c>
      <c r="H31" s="80">
        <f>AE9</f>
        <v/>
      </c>
      <c r="R31" s="123">
        <f>DATE(2026,6,18)+TIME(5,0,0)+gmt_delta</f>
        <v/>
      </c>
      <c r="S31" s="127">
        <f>IF(OR(F31="",G31=""),"",IF(F31&gt;G31,E31&amp;"_win",IF(F31&lt;G31,E31&amp;"_lose",E31&amp;"_draw")))</f>
        <v/>
      </c>
      <c r="T31" s="127">
        <f>IF(S31="","",IF(F31&lt;G31,H31&amp;"_win",IF(F31&gt;G31,H31&amp;"_lose",H31&amp;"_draw")))</f>
        <v/>
      </c>
      <c r="U31" s="123">
        <f>IF(S31="",0,IF(VLOOKUP(E31,$AE$8:$AN$77,10,FALSE)=VLOOKUP(H31,$AE$8:$AN$77,10,FALSE),1,0))</f>
        <v/>
      </c>
      <c r="V31" s="123">
        <f>U31*F31</f>
        <v/>
      </c>
      <c r="W31" s="123">
        <f>U31*G31</f>
        <v/>
      </c>
      <c r="X31" s="123">
        <f>IF(S31="",0,IF(VLOOKUP(E31,$AE$8:$AO$77,11,FALSE)=VLOOKUP(H31,$AE$8:$AO$77,11,FALSE),1,0))</f>
        <v/>
      </c>
      <c r="Y31" s="123">
        <f>X31*F31</f>
        <v/>
      </c>
      <c r="Z31" s="123">
        <f>X31*G31</f>
        <v/>
      </c>
      <c r="AA31" s="123">
        <f>IF(OR(E31=my_team,H31=my_team),1,IF(INT(MATCH(E31,$AE$8:$AE$78,0)/6)=$AA$6,1,0))</f>
        <v/>
      </c>
      <c r="AB31" s="123">
        <f>IF(OR(F31="",G31=""),"",IF(F31&gt;G31,1,IF(F31&lt;G31,-1,0)))</f>
        <v/>
      </c>
      <c r="BK31" s="180" t="n"/>
      <c r="BL31" s="26">
        <f>AS63</f>
        <v/>
      </c>
      <c r="BM31" s="62" t="n">
        <v>1</v>
      </c>
      <c r="BN31" s="64" t="n"/>
      <c r="BO31" s="27" t="n"/>
      <c r="BP31" s="112">
        <f>IF(BP30="","",BM31*1000+BN31*10+BO31)</f>
        <v/>
      </c>
      <c r="BQ31" s="112" t="n"/>
      <c r="BR31" s="21" t="n"/>
      <c r="BS31" s="21" t="n"/>
      <c r="BT31" s="21" t="n"/>
      <c r="BU31" s="21" t="n"/>
      <c r="BV31" s="21" t="n"/>
      <c r="BW31" s="114" t="n"/>
      <c r="BX31" s="112" t="n"/>
      <c r="BY31" s="21">
        <f t="array" ref="BY31">INDEX(T,24+MONTH(CD31),lang) &amp; " " &amp; DAY(CD31) &amp; ", " &amp; YEAR(CD31) &amp; "   " &amp; (IF(HOUR(CD31)&lt;10,0,"")&amp;HOUR(CD31)) &amp; ":" &amp;  (IF(MINUTE(CD31)&lt;10,0,"")&amp;MINUTE(CD31))</f>
        <v/>
      </c>
      <c r="BZ31" s="21" t="n"/>
      <c r="CA31" s="21" t="n"/>
      <c r="CB31" s="21" t="n"/>
      <c r="CC31" s="28" t="n"/>
      <c r="CD31" s="114">
        <f>DATE(2026,7,10)+TIME(8,0,0)+gmt_delta</f>
        <v/>
      </c>
      <c r="CE31" s="112" t="n"/>
      <c r="CK31" s="114" t="n"/>
      <c r="CL31" s="112" t="n"/>
    </row>
    <row r="32" ht="15" customHeight="1">
      <c r="A32" s="16" t="n">
        <v>26</v>
      </c>
      <c r="B32" s="17">
        <f t="array" ref="B32">INDEX(T,18+INT(MOD(R32-1,7)),lang)</f>
        <v/>
      </c>
      <c r="C32" s="18">
        <f t="array" ref="C32">INDEX(T,24+MONTH(R32),lang) &amp; " " &amp; DAY(R32) &amp; ", " &amp; YEAR(R32)</f>
        <v/>
      </c>
      <c r="D32" s="120">
        <f>TIME(HOUR(R32),MINUTE(R32),0)</f>
        <v/>
      </c>
      <c r="E32" s="78">
        <f>AE17</f>
        <v/>
      </c>
      <c r="F32" s="19" t="n">
        <v>3</v>
      </c>
      <c r="G32" s="20" t="n">
        <v>1</v>
      </c>
      <c r="H32" s="80">
        <f>AE15</f>
        <v/>
      </c>
      <c r="J32" s="38">
        <f t="array" ref="J32">INDEX(T,9,lang) &amp; " " &amp; "E"</f>
        <v/>
      </c>
      <c r="K32" s="94">
        <f t="array" ref="K32">INDEX(T,10,lang)</f>
        <v/>
      </c>
      <c r="L32" s="94">
        <f t="array" ref="L32">INDEX(T,11,lang)</f>
        <v/>
      </c>
      <c r="M32" s="94">
        <f t="array" ref="M32">INDEX(T,12,lang)</f>
        <v/>
      </c>
      <c r="N32" s="94">
        <f t="array" ref="N32">INDEX(T,13,lang)</f>
        <v/>
      </c>
      <c r="O32" s="94">
        <f t="array" ref="O32">INDEX(T,14,lang)</f>
        <v/>
      </c>
      <c r="P32" s="95">
        <f t="array" ref="P32">INDEX(T,15,lang)</f>
        <v/>
      </c>
      <c r="R32" s="123">
        <f>DATE(2026,6,18)+TIME(8,0,0)+gmt_delta</f>
        <v/>
      </c>
      <c r="S32" s="127">
        <f>IF(OR(F32="",G32=""),"",IF(F32&gt;G32,E32&amp;"_win",IF(F32&lt;G32,E32&amp;"_lose",E32&amp;"_draw")))</f>
        <v/>
      </c>
      <c r="T32" s="127">
        <f>IF(S32="","",IF(F32&lt;G32,H32&amp;"_win",IF(F32&gt;G32,H32&amp;"_lose",H32&amp;"_draw")))</f>
        <v/>
      </c>
      <c r="U32" s="123">
        <f>IF(S32="",0,IF(VLOOKUP(E32,$AE$8:$AN$77,10,FALSE)=VLOOKUP(H32,$AE$8:$AN$77,10,FALSE),1,0))</f>
        <v/>
      </c>
      <c r="V32" s="123">
        <f>U32*F32</f>
        <v/>
      </c>
      <c r="W32" s="123">
        <f>U32*G32</f>
        <v/>
      </c>
      <c r="X32" s="123">
        <f>IF(S32="",0,IF(VLOOKUP(E32,$AE$8:$AO$77,11,FALSE)=VLOOKUP(H32,$AE$8:$AO$77,11,FALSE),1,0))</f>
        <v/>
      </c>
      <c r="Y32" s="123">
        <f>X32*F32</f>
        <v/>
      </c>
      <c r="Z32" s="123">
        <f>X32*G32</f>
        <v/>
      </c>
      <c r="AA32" s="123">
        <f>IF(OR(E32=my_team,H32=my_team),1,IF(INT(MATCH(E32,$AE$8:$AE$78,0)/6)=$AA$6,1,0))</f>
        <v/>
      </c>
      <c r="AB32" s="123">
        <f>IF(OR(F32="",G32=""),"",IF(F32&gt;G32,1,IF(F32&lt;G32,-1,0)))</f>
        <v/>
      </c>
      <c r="AD32" s="123">
        <f>COUNTIF(AR32:AR35,CONCATENATE("&gt;=",AR32))</f>
        <v/>
      </c>
      <c r="AE32" s="124">
        <f>VLOOKUP("Germany",T,lang,FALSE)</f>
        <v/>
      </c>
      <c r="AF32" s="123">
        <f>COUNTIF($S$7:$T$78,"=" &amp; AE32 &amp; "_win")</f>
        <v/>
      </c>
      <c r="AG32" s="123">
        <f>COUNTIF($S$7:$T$78,"=" &amp; AE32 &amp; "_draw")</f>
        <v/>
      </c>
      <c r="AH32" s="123">
        <f>COUNTIF($S$7:$T$78,"=" &amp; AE32 &amp; "_lose")</f>
        <v/>
      </c>
      <c r="AI32" s="123">
        <f>SUMIF($E$7:$E$78,$AE32,$F$7:$F$78) + SUMIF($H$7:$H$78,$AE32,$G$7:$G$78)</f>
        <v/>
      </c>
      <c r="AJ32" s="123">
        <f>SUMIF($E$7:$E$78,$AE32,$G$7:$G$78) + SUMIF($H$7:$H$78,$AE32,$F$7:$F$78)</f>
        <v/>
      </c>
      <c r="AL32" s="123">
        <f>AI32-AJ32</f>
        <v/>
      </c>
      <c r="AM32" s="123">
        <f>AL32-AL36</f>
        <v/>
      </c>
      <c r="AN32" s="123">
        <f>AF32*3+AG32</f>
        <v/>
      </c>
      <c r="AO32" s="123">
        <f>AN32/AN36*10+BA32</f>
        <v/>
      </c>
      <c r="AP32" s="123">
        <f>AO32*10000000+BI32*100+AM32/AM36*10+AI32/AI36*1++IF(AQ32=0,ROW(),AQ32)/2000000</f>
        <v/>
      </c>
      <c r="AQ32" s="126">
        <f>VLOOKUP(AE32,db_fifarank,2,FALSE)</f>
        <v/>
      </c>
      <c r="AR32" s="125">
        <f>AP32/AP36</f>
        <v/>
      </c>
      <c r="AS32" s="125">
        <f>IF(SUM(AF32:AH35)=12,J33,"1E")</f>
        <v/>
      </c>
      <c r="AT32" s="126">
        <f t="array" ref="AT32">SUMPRODUCT(($S$7:$S$78=AE32&amp;"_win")*($U$7:$U$78))+SUMPRODUCT(($T$7:$T$78=AE32&amp;"_win")*($U$7:$U$78))</f>
        <v/>
      </c>
      <c r="AU32" s="126">
        <f t="array" ref="AU32">SUMPRODUCT(($S$7:$S$78=AE32&amp;"_draw")*($U$7:$U$78))+SUMPRODUCT(($T$7:$T$78=AE32&amp;"_draw")*($U$7:$U$78))</f>
        <v/>
      </c>
      <c r="AV32" s="126">
        <f t="array" ref="AV32">SUMPRODUCT(($E$7:$E$78=AE32)*($U$7:$U$78)*($F$7:$F$78))+SUMPRODUCT(($H$7:$H$78=AE32)*($U$7:$U$78)*($G$7:$G$78))</f>
        <v/>
      </c>
      <c r="AW32" s="126">
        <f t="array" ref="AW32">SUMPRODUCT(($E$7:$E$78=AE32)*($U$7:$U$78)*($G$7:$G$78))+SUMPRODUCT(($H$7:$H$78=AE32)*($U$7:$U$78)*($F$7:$F$78))</f>
        <v/>
      </c>
      <c r="AX32" s="126">
        <f>AV32-AW32</f>
        <v/>
      </c>
      <c r="AY32" s="126">
        <f>AX32-MIN(AX32:AX35)</f>
        <v/>
      </c>
      <c r="AZ32" s="126">
        <f>AT32/AT36*1000+AU32/AU36*100+AY32/AY36*10+AV32/AV36</f>
        <v/>
      </c>
      <c r="BA32" s="126">
        <f>AZ32/AZ36</f>
        <v/>
      </c>
      <c r="BB32" s="126">
        <f t="array" ref="BB32">SUMPRODUCT(($S$7:$S$78=AE32&amp;"_win")*($X$7:$X$78))+SUMPRODUCT(($T$7:$T$78=AE32&amp;"_win")*($X$7:$X$78))</f>
        <v/>
      </c>
      <c r="BC32" s="126">
        <f t="array" ref="BC32">SUMPRODUCT(($S$7:$S$78=AE32&amp;"_draw")*($X$7:$X$78))+SUMPRODUCT(($T$7:$T$78=AE32&amp;"_draw")*($X$7:$X$78))</f>
        <v/>
      </c>
      <c r="BD32" s="126">
        <f t="array" ref="BD32">SUMPRODUCT(($E$7:$E$78=AE32)*($X$7:$X$78)*($F$7:$F$78))+SUMPRODUCT(($H$7:$H$78=AE32)*($X$7:$X$78)*($G$7:$G$78))</f>
        <v/>
      </c>
      <c r="BE32" s="126">
        <f t="array" ref="BE32">SUMPRODUCT(($E$7:$E$78=AE32)*($X$7:$X$78)*($G$7:$G$78))+SUMPRODUCT(($H$7:$H$78=AE32)*($X$7:$X$78)*($F$7:$F$78))</f>
        <v/>
      </c>
      <c r="BF32" s="126">
        <f>BD32-BE32</f>
        <v/>
      </c>
      <c r="BG32" s="126">
        <f>BF32-MIN(BF32:BF35)</f>
        <v/>
      </c>
      <c r="BH32" s="126">
        <f>BB32/BB36*1000+BC32/BC36*100+BG32/BG36*10+BD32/BD36</f>
        <v/>
      </c>
      <c r="BI32" s="126">
        <f>BH32/BH36</f>
        <v/>
      </c>
      <c r="BK32" s="21" t="n"/>
      <c r="BL32" s="21" t="n"/>
      <c r="BM32" s="21" t="n"/>
      <c r="BN32" s="21" t="n"/>
      <c r="BO32" s="21" t="n"/>
      <c r="BP32" s="112" t="n"/>
      <c r="BQ32" s="112" t="n"/>
      <c r="BR32" s="21" t="n"/>
      <c r="BS32" s="21" t="n"/>
      <c r="BT32" s="21" t="n"/>
      <c r="BU32" s="21" t="n"/>
      <c r="BV32" s="21" t="n"/>
      <c r="BW32" s="114" t="n"/>
      <c r="BX32" s="112" t="n"/>
      <c r="BY32" s="179" t="n">
        <v>98</v>
      </c>
      <c r="BZ32" s="24">
        <f>IF(BW28&gt;BW29,BS28,IF(BW28&lt;BW29,BS29,""))</f>
        <v/>
      </c>
      <c r="CA32" s="61" t="n">
        <v>2</v>
      </c>
      <c r="CB32" s="63" t="n"/>
      <c r="CC32" s="25" t="n"/>
      <c r="CD32" s="116">
        <f>IF(OR(CA32="",CA33="",AND(CB32="",CB33&lt;&gt;""),AND(CB33="",CB32&lt;&gt;""),AND(CC32="",CC33&lt;&gt;""),AND(CC33="",CC32&lt;&gt;"")),"",CA32*1000+CB32*10+CC32)</f>
        <v/>
      </c>
      <c r="CE32" s="112" t="n"/>
      <c r="CK32" s="114" t="n"/>
      <c r="CL32" s="112" t="n"/>
    </row>
    <row r="33">
      <c r="A33" s="16" t="n">
        <v>27</v>
      </c>
      <c r="B33" s="17">
        <f t="array" ref="B33">INDEX(T,18+INT(MOD(R33-1,7)),lang)</f>
        <v/>
      </c>
      <c r="C33" s="18">
        <f t="array" ref="C33">INDEX(T,24+MONTH(R33),lang) &amp; " " &amp; DAY(R33) &amp; ", " &amp; YEAR(R33)</f>
        <v/>
      </c>
      <c r="D33" s="120">
        <f>TIME(HOUR(R33),MINUTE(R33),0)</f>
        <v/>
      </c>
      <c r="E33" s="78">
        <f>AE14</f>
        <v/>
      </c>
      <c r="F33" s="19" t="n">
        <v>2</v>
      </c>
      <c r="G33" s="20" t="n">
        <v>0</v>
      </c>
      <c r="H33" s="80">
        <f>AE16</f>
        <v/>
      </c>
      <c r="J33" s="30">
        <f>VLOOKUP(1,AD32:AN35,2,FALSE)</f>
        <v/>
      </c>
      <c r="K33" s="31">
        <f>L33+M33+N33</f>
        <v/>
      </c>
      <c r="L33" s="31">
        <f>VLOOKUP(1,AD32:AN35,3,FALSE)</f>
        <v/>
      </c>
      <c r="M33" s="31">
        <f>VLOOKUP(1,AD32:AN35,4,FALSE)</f>
        <v/>
      </c>
      <c r="N33" s="31">
        <f>VLOOKUP(1,AD32:AN35,5,FALSE)</f>
        <v/>
      </c>
      <c r="O33" s="31">
        <f>VLOOKUP(1,AD32:AN35,6,FALSE) &amp; " - " &amp; VLOOKUP(1,AD32:AN35,7,FALSE)</f>
        <v/>
      </c>
      <c r="P33" s="32">
        <f>L33*3+M33</f>
        <v/>
      </c>
      <c r="R33" s="123">
        <f>DATE(2026,6,18)+TIME(11,0,0)+gmt_delta</f>
        <v/>
      </c>
      <c r="S33" s="127">
        <f>IF(OR(F33="",G33=""),"",IF(F33&gt;G33,E33&amp;"_win",IF(F33&lt;G33,E33&amp;"_lose",E33&amp;"_draw")))</f>
        <v/>
      </c>
      <c r="T33" s="127">
        <f>IF(S33="","",IF(F33&lt;G33,H33&amp;"_win",IF(F33&gt;G33,H33&amp;"_lose",H33&amp;"_draw")))</f>
        <v/>
      </c>
      <c r="U33" s="123">
        <f>IF(S33="",0,IF(VLOOKUP(E33,$AE$8:$AN$77,10,FALSE)=VLOOKUP(H33,$AE$8:$AN$77,10,FALSE),1,0))</f>
        <v/>
      </c>
      <c r="V33" s="123">
        <f>U33*F33</f>
        <v/>
      </c>
      <c r="W33" s="123">
        <f>U33*G33</f>
        <v/>
      </c>
      <c r="X33" s="123">
        <f>IF(S33="",0,IF(VLOOKUP(E33,$AE$8:$AO$77,11,FALSE)=VLOOKUP(H33,$AE$8:$AO$77,11,FALSE),1,0))</f>
        <v/>
      </c>
      <c r="Y33" s="123">
        <f>X33*F33</f>
        <v/>
      </c>
      <c r="Z33" s="123">
        <f>X33*G33</f>
        <v/>
      </c>
      <c r="AA33" s="123">
        <f>IF(OR(E33=my_team,H33=my_team),1,IF(INT(MATCH(E33,$AE$8:$AE$78,0)/6)=$AA$6,1,0))</f>
        <v/>
      </c>
      <c r="AB33" s="123">
        <f>IF(OR(F33="",G33=""),"",IF(F33&gt;G33,1,IF(F33&lt;G33,-1,0)))</f>
        <v/>
      </c>
      <c r="AD33" s="123">
        <f>COUNTIF(AR32:AR35,CONCATENATE("&gt;=",AR33))</f>
        <v/>
      </c>
      <c r="AE33" s="124">
        <f>VLOOKUP("Curaçao",T,lang,FALSE)</f>
        <v/>
      </c>
      <c r="AF33" s="123">
        <f>COUNTIF($S$7:$T$78,"=" &amp; AE33 &amp; "_win")</f>
        <v/>
      </c>
      <c r="AG33" s="123">
        <f>COUNTIF($S$7:$T$78,"=" &amp; AE33 &amp; "_draw")</f>
        <v/>
      </c>
      <c r="AH33" s="123">
        <f>COUNTIF($S$7:$T$78,"=" &amp; AE33 &amp; "_lose")</f>
        <v/>
      </c>
      <c r="AI33" s="123">
        <f>SUMIF($E$7:$E$78,$AE33,$F$7:$F$78) + SUMIF($H$7:$H$78,$AE33,$G$7:$G$78)</f>
        <v/>
      </c>
      <c r="AJ33" s="123">
        <f>SUMIF($E$7:$E$78,$AE33,$G$7:$G$78) + SUMIF($H$7:$H$78,$AE33,$F$7:$F$78)</f>
        <v/>
      </c>
      <c r="AL33" s="123">
        <f>AI33-AJ33</f>
        <v/>
      </c>
      <c r="AM33" s="123">
        <f>AL33-AL36</f>
        <v/>
      </c>
      <c r="AN33" s="123">
        <f>AF33*3+AG33</f>
        <v/>
      </c>
      <c r="AO33" s="123">
        <f>AN33/AN36*10+BA33</f>
        <v/>
      </c>
      <c r="AP33" s="123">
        <f>AO33*10000000+BI33*100+AM33/AM36*10+AI33/AI36*1++IF(AQ33=0,ROW(),AQ33)/2000000</f>
        <v/>
      </c>
      <c r="AQ33" s="126">
        <f>VLOOKUP(AE33,db_fifarank,2,FALSE)</f>
        <v/>
      </c>
      <c r="AR33" s="125">
        <f>AP33/AP36</f>
        <v/>
      </c>
      <c r="AS33" s="125">
        <f>IF(SUM(AF32:AH35)=12,J34,"2E")</f>
        <v/>
      </c>
      <c r="AT33" s="126">
        <f t="array" ref="AT33">SUMPRODUCT(($S$7:$S$78=AE33&amp;"_win")*($U$7:$U$78))+SUMPRODUCT(($T$7:$T$78=AE33&amp;"_win")*($U$7:$U$78))</f>
        <v/>
      </c>
      <c r="AU33" s="126">
        <f t="array" ref="AU33">SUMPRODUCT(($S$7:$S$78=AE33&amp;"_draw")*($U$7:$U$78))+SUMPRODUCT(($T$7:$T$78=AE33&amp;"_draw")*($U$7:$U$78))</f>
        <v/>
      </c>
      <c r="AV33" s="126">
        <f t="array" ref="AV33">SUMPRODUCT(($E$7:$E$78=AE33)*($U$7:$U$78)*($F$7:$F$78))+SUMPRODUCT(($H$7:$H$78=AE33)*($U$7:$U$78)*($G$7:$G$78))</f>
        <v/>
      </c>
      <c r="AW33" s="126">
        <f t="array" ref="AW33">SUMPRODUCT(($E$7:$E$78=AE33)*($U$7:$U$78)*($G$7:$G$78))+SUMPRODUCT(($H$7:$H$78=AE33)*($U$7:$U$78)*($F$7:$F$78))</f>
        <v/>
      </c>
      <c r="AX33" s="126">
        <f>AV33-AW33</f>
        <v/>
      </c>
      <c r="AY33" s="126">
        <f>AX33-MIN(AX32:AX35)</f>
        <v/>
      </c>
      <c r="AZ33" s="126">
        <f>AT33/AT36*1000+AU33/AU36*100+AY33/AY36*10+AV33/AV36</f>
        <v/>
      </c>
      <c r="BA33" s="126">
        <f>AZ33/AZ36</f>
        <v/>
      </c>
      <c r="BB33" s="126">
        <f t="array" ref="BB33">SUMPRODUCT(($S$7:$S$78=AE33&amp;"_win")*($X$7:$X$78))+SUMPRODUCT(($T$7:$T$78=AE33&amp;"_win")*($X$7:$X$78))</f>
        <v/>
      </c>
      <c r="BC33" s="126">
        <f t="array" ref="BC33">SUMPRODUCT(($S$7:$S$78=AE33&amp;"_draw")*($X$7:$X$78))+SUMPRODUCT(($T$7:$T$78=AE33&amp;"_draw")*($X$7:$X$78))</f>
        <v/>
      </c>
      <c r="BD33" s="126">
        <f t="array" ref="BD33">SUMPRODUCT(($E$7:$E$78=AE33)*($X$7:$X$78)*($F$7:$F$78))+SUMPRODUCT(($H$7:$H$78=AE33)*($X$7:$X$78)*($G$7:$G$78))</f>
        <v/>
      </c>
      <c r="BE33" s="126">
        <f t="array" ref="BE33">SUMPRODUCT(($E$7:$E$78=AE33)*($X$7:$X$78)*($G$7:$G$78))+SUMPRODUCT(($H$7:$H$78=AE33)*($X$7:$X$78)*($F$7:$F$78))</f>
        <v/>
      </c>
      <c r="BF33" s="126">
        <f>BD33-BE33</f>
        <v/>
      </c>
      <c r="BG33" s="126">
        <f>BF33-MIN(BF32:BF35)</f>
        <v/>
      </c>
      <c r="BH33" s="126">
        <f>BB33/BB36*1000+BC33/BC36*100+BG33/BG36*10+BD33/BD36</f>
        <v/>
      </c>
      <c r="BI33" s="126">
        <f>BH33/BH36</f>
        <v/>
      </c>
      <c r="BK33" s="21">
        <f t="array" ref="BK33">INDEX(T,24+MONTH(BP33),lang) &amp; " " &amp; DAY(BP33) &amp; ", " &amp; YEAR(BP33) &amp; "   " &amp; (IF(HOUR(BP33)&lt;10,0,"")&amp;HOUR(BP33)) &amp; ":" &amp;  (IF(MINUTE(BP33)&lt;10,0,"")&amp;MINUTE(BP33))</f>
        <v/>
      </c>
      <c r="BL33" s="21" t="n"/>
      <c r="BM33" s="21" t="n"/>
      <c r="BN33" s="21" t="n"/>
      <c r="BO33" s="28" t="n"/>
      <c r="BP33" s="112">
        <f>DATE(2026,7,1)+TIME(13,0,0)+gmt_delta</f>
        <v/>
      </c>
      <c r="BQ33" s="112" t="n"/>
      <c r="BR33" s="21" t="n"/>
      <c r="BS33" s="21" t="n"/>
      <c r="BT33" s="21" t="n"/>
      <c r="BU33" s="21" t="n"/>
      <c r="BV33" s="21" t="n"/>
      <c r="BW33" s="114" t="n"/>
      <c r="BX33" s="115" t="n"/>
      <c r="BY33" s="180" t="n"/>
      <c r="BZ33" s="26">
        <f>IF(BW36&gt;BW37,BS36,IF(BW36&lt;BW37,BS37,""))</f>
        <v/>
      </c>
      <c r="CA33" s="62" t="n">
        <v>0</v>
      </c>
      <c r="CB33" s="64" t="n"/>
      <c r="CC33" s="27" t="n"/>
      <c r="CD33" s="112">
        <f>IF(CD32="","",CA33*1000+CB33*10+CC33)</f>
        <v/>
      </c>
      <c r="CE33" s="112" t="n"/>
      <c r="CK33" s="114" t="n"/>
      <c r="CL33" s="112" t="n"/>
      <c r="CM33" s="173">
        <f t="array" ref="CM33">INDEX(T,8,lang)</f>
        <v/>
      </c>
      <c r="CN33" s="174" t="n"/>
      <c r="CO33" s="174" t="n"/>
      <c r="CP33" s="174" t="n"/>
      <c r="CQ33" s="175" t="n"/>
    </row>
    <row r="34">
      <c r="A34" s="16" t="n">
        <v>28</v>
      </c>
      <c r="B34" s="17">
        <f t="array" ref="B34">INDEX(T,18+INT(MOD(R34-1,7)),lang)</f>
        <v/>
      </c>
      <c r="C34" s="18">
        <f t="array" ref="C34">INDEX(T,24+MONTH(R34),lang) &amp; " " &amp; DAY(R34) &amp; ", " &amp; YEAR(R34)</f>
        <v/>
      </c>
      <c r="D34" s="120">
        <f>TIME(HOUR(R34),MINUTE(R34),0)</f>
        <v/>
      </c>
      <c r="E34" s="78">
        <f>AE8</f>
        <v/>
      </c>
      <c r="F34" s="19" t="n">
        <v>2</v>
      </c>
      <c r="G34" s="20" t="n">
        <v>0</v>
      </c>
      <c r="H34" s="80">
        <f>AE10</f>
        <v/>
      </c>
      <c r="J34" s="33">
        <f>VLOOKUP(2,AD32:AN35,2,FALSE)</f>
        <v/>
      </c>
      <c r="K34" s="23">
        <f>L34+M34+N34</f>
        <v/>
      </c>
      <c r="L34" s="23">
        <f>VLOOKUP(2,AD32:AN35,3,FALSE)</f>
        <v/>
      </c>
      <c r="M34" s="23">
        <f>VLOOKUP(2,AD32:AN35,4,FALSE)</f>
        <v/>
      </c>
      <c r="N34" s="23">
        <f>VLOOKUP(2,AD32:AN35,5,FALSE)</f>
        <v/>
      </c>
      <c r="O34" s="23">
        <f>VLOOKUP(2,AD32:AN35,6,FALSE) &amp; " - " &amp; VLOOKUP(2,AD32:AN35,7,FALSE)</f>
        <v/>
      </c>
      <c r="P34" s="34">
        <f>L34*3+M34</f>
        <v/>
      </c>
      <c r="R34" s="123">
        <f>DATE(2026,6,18)+TIME(14,0,0)+gmt_delta</f>
        <v/>
      </c>
      <c r="S34" s="127">
        <f>IF(OR(F34="",G34=""),"",IF(F34&gt;G34,E34&amp;"_win",IF(F34&lt;G34,E34&amp;"_lose",E34&amp;"_draw")))</f>
        <v/>
      </c>
      <c r="T34" s="127">
        <f>IF(S34="","",IF(F34&lt;G34,H34&amp;"_win",IF(F34&gt;G34,H34&amp;"_lose",H34&amp;"_draw")))</f>
        <v/>
      </c>
      <c r="U34" s="123">
        <f>IF(S34="",0,IF(VLOOKUP(E34,$AE$8:$AN$77,10,FALSE)=VLOOKUP(H34,$AE$8:$AN$77,10,FALSE),1,0))</f>
        <v/>
      </c>
      <c r="V34" s="123">
        <f>U34*F34</f>
        <v/>
      </c>
      <c r="W34" s="123">
        <f>U34*G34</f>
        <v/>
      </c>
      <c r="X34" s="123">
        <f>IF(S34="",0,IF(VLOOKUP(E34,$AE$8:$AO$77,11,FALSE)=VLOOKUP(H34,$AE$8:$AO$77,11,FALSE),1,0))</f>
        <v/>
      </c>
      <c r="Y34" s="123">
        <f>X34*F34</f>
        <v/>
      </c>
      <c r="Z34" s="123">
        <f>X34*G34</f>
        <v/>
      </c>
      <c r="AA34" s="123">
        <f>IF(OR(E34=my_team,H34=my_team),1,IF(INT(MATCH(E34,$AE$8:$AE$78,0)/6)=$AA$6,1,0))</f>
        <v/>
      </c>
      <c r="AB34" s="123">
        <f>IF(OR(F34="",G34=""),"",IF(F34&gt;G34,1,IF(F34&lt;G34,-1,0)))</f>
        <v/>
      </c>
      <c r="AD34" s="123">
        <f>COUNTIF(AR32:AR35,CONCATENATE("&gt;=",AR34))</f>
        <v/>
      </c>
      <c r="AE34" s="124">
        <f>VLOOKUP("Ivory Coast",T,lang,FALSE)</f>
        <v/>
      </c>
      <c r="AF34" s="123">
        <f>COUNTIF($S$7:$T$78,"=" &amp; AE34 &amp; "_win")</f>
        <v/>
      </c>
      <c r="AG34" s="123">
        <f>COUNTIF($S$7:$T$78,"=" &amp; AE34 &amp; "_draw")</f>
        <v/>
      </c>
      <c r="AH34" s="123">
        <f>COUNTIF($S$7:$T$78,"=" &amp; AE34 &amp; "_lose")</f>
        <v/>
      </c>
      <c r="AI34" s="123">
        <f>SUMIF($E$7:$E$78,$AE34,$F$7:$F$78) + SUMIF($H$7:$H$78,$AE34,$G$7:$G$78)</f>
        <v/>
      </c>
      <c r="AJ34" s="123">
        <f>SUMIF($E$7:$E$78,$AE34,$G$7:$G$78) + SUMIF($H$7:$H$78,$AE34,$F$7:$F$78)</f>
        <v/>
      </c>
      <c r="AL34" s="123">
        <f>AI34-AJ34</f>
        <v/>
      </c>
      <c r="AM34" s="123">
        <f>AL34-AL36</f>
        <v/>
      </c>
      <c r="AN34" s="123">
        <f>AF34*3+AG34</f>
        <v/>
      </c>
      <c r="AO34" s="123">
        <f>AN34/AN36*10+BA34</f>
        <v/>
      </c>
      <c r="AP34" s="123">
        <f>AO34*10000000+BI34*100+AM34/AM36*10+AI34/AI36*1++IF(AQ34=0,ROW(),AQ34)/2000000</f>
        <v/>
      </c>
      <c r="AQ34" s="126">
        <f>VLOOKUP(AE34,db_fifarank,2,FALSE)</f>
        <v/>
      </c>
      <c r="AR34" s="125">
        <f>AP34/AP36</f>
        <v/>
      </c>
      <c r="AT34" s="126">
        <f t="array" ref="AT34">SUMPRODUCT(($S$7:$S$78=AE34&amp;"_win")*($U$7:$U$78))+SUMPRODUCT(($T$7:$T$78=AE34&amp;"_win")*($U$7:$U$78))</f>
        <v/>
      </c>
      <c r="AU34" s="126">
        <f t="array" ref="AU34">SUMPRODUCT(($S$7:$S$78=AE34&amp;"_draw")*($U$7:$U$78))+SUMPRODUCT(($T$7:$T$78=AE34&amp;"_draw")*($U$7:$U$78))</f>
        <v/>
      </c>
      <c r="AV34" s="126">
        <f t="array" ref="AV34">SUMPRODUCT(($E$7:$E$78=AE34)*($U$7:$U$78)*($F$7:$F$78))+SUMPRODUCT(($H$7:$H$78=AE34)*($U$7:$U$78)*($G$7:$G$78))</f>
        <v/>
      </c>
      <c r="AW34" s="126">
        <f t="array" ref="AW34">SUMPRODUCT(($E$7:$E$78=AE34)*($U$7:$U$78)*($G$7:$G$78))+SUMPRODUCT(($H$7:$H$78=AE34)*($U$7:$U$78)*($F$7:$F$78))</f>
        <v/>
      </c>
      <c r="AX34" s="126">
        <f>AV34-AW34</f>
        <v/>
      </c>
      <c r="AY34" s="126">
        <f>AX34-MIN(AX32:AX35)</f>
        <v/>
      </c>
      <c r="AZ34" s="126">
        <f>AT34/AT36*1000+AU34/AU36*100+AY34/AY36*10+AV34/AV36</f>
        <v/>
      </c>
      <c r="BA34" s="126">
        <f>AZ34/AZ36</f>
        <v/>
      </c>
      <c r="BB34" s="126">
        <f t="array" ref="BB34">SUMPRODUCT(($S$7:$S$78=AE34&amp;"_win")*($X$7:$X$78))+SUMPRODUCT(($T$7:$T$78=AE34&amp;"_win")*($X$7:$X$78))</f>
        <v/>
      </c>
      <c r="BC34" s="126">
        <f t="array" ref="BC34">SUMPRODUCT(($S$7:$S$78=AE34&amp;"_draw")*($X$7:$X$78))+SUMPRODUCT(($T$7:$T$78=AE34&amp;"_draw")*($X$7:$X$78))</f>
        <v/>
      </c>
      <c r="BD34" s="126">
        <f t="array" ref="BD34">SUMPRODUCT(($E$7:$E$78=AE34)*($X$7:$X$78)*($F$7:$F$78))+SUMPRODUCT(($H$7:$H$78=AE34)*($X$7:$X$78)*($G$7:$G$78))</f>
        <v/>
      </c>
      <c r="BE34" s="126">
        <f t="array" ref="BE34">SUMPRODUCT(($E$7:$E$78=AE34)*($X$7:$X$78)*($G$7:$G$78))+SUMPRODUCT(($H$7:$H$78=AE34)*($X$7:$X$78)*($F$7:$F$78))</f>
        <v/>
      </c>
      <c r="BF34" s="126">
        <f>BD34-BE34</f>
        <v/>
      </c>
      <c r="BG34" s="126">
        <f>BF34-MIN(BF32:BF35)</f>
        <v/>
      </c>
      <c r="BH34" s="126">
        <f>BB34/BB36*1000+BC34/BC36*100+BG34/BG36*10+BD34/BD36</f>
        <v/>
      </c>
      <c r="BI34" s="126">
        <f>BH34/BH36</f>
        <v/>
      </c>
      <c r="BK34" s="179" t="n">
        <v>81</v>
      </c>
      <c r="BL34" s="24">
        <f>AS26</f>
        <v/>
      </c>
      <c r="BM34" s="61" t="n">
        <v>2</v>
      </c>
      <c r="BN34" s="63" t="n"/>
      <c r="BO34" s="25" t="n"/>
      <c r="BP34" s="112">
        <f>IF(OR(BM34="",BM35="",AND(BN34="",BN35&lt;&gt;""),AND(BN35="",BN34&lt;&gt;""),AND(BO34="",BO35&lt;&gt;""),AND(BO35="",BO34&lt;&gt;"")),"",BM34*1000+BN34*10+BO34)</f>
        <v/>
      </c>
      <c r="BQ34" s="112" t="n"/>
      <c r="BR34" s="21" t="n"/>
      <c r="BS34" s="21" t="n"/>
      <c r="BT34" s="21" t="n"/>
      <c r="BU34" s="21" t="n"/>
      <c r="BV34" s="21" t="n"/>
      <c r="BW34" s="114" t="n"/>
      <c r="BX34" s="112" t="n"/>
      <c r="BY34" s="21" t="n"/>
      <c r="BZ34" s="21" t="n"/>
      <c r="CA34" s="21" t="n"/>
      <c r="CB34" s="21" t="n"/>
      <c r="CC34" s="21" t="n"/>
      <c r="CD34" s="112" t="n"/>
      <c r="CE34" s="112" t="n"/>
      <c r="CK34" s="114" t="n"/>
      <c r="CL34" s="112" t="n"/>
      <c r="CM34" s="176" t="n"/>
      <c r="CN34" s="177" t="n"/>
      <c r="CO34" s="177" t="n"/>
      <c r="CP34" s="177" t="n"/>
      <c r="CQ34" s="178" t="n"/>
    </row>
    <row r="35">
      <c r="A35" s="16" t="n">
        <v>29</v>
      </c>
      <c r="B35" s="17">
        <f t="array" ref="B35">INDEX(T,18+INT(MOD(R35-1,7)),lang)</f>
        <v/>
      </c>
      <c r="C35" s="18">
        <f t="array" ref="C35">INDEX(T,24+MONTH(R35),lang) &amp; " " &amp; DAY(R35) &amp; ", " &amp; YEAR(R35)</f>
        <v/>
      </c>
      <c r="D35" s="120">
        <f>TIME(HOUR(R35),MINUTE(R35),0)</f>
        <v/>
      </c>
      <c r="E35" s="78">
        <f>AE20</f>
        <v/>
      </c>
      <c r="F35" s="19" t="n">
        <v>3</v>
      </c>
      <c r="G35" s="20" t="n">
        <v>0</v>
      </c>
      <c r="H35" s="80">
        <f>AE22</f>
        <v/>
      </c>
      <c r="J35" s="33">
        <f>VLOOKUP(3,AD32:AN35,2,FALSE)</f>
        <v/>
      </c>
      <c r="K35" s="23">
        <f>L35+M35+N35</f>
        <v/>
      </c>
      <c r="L35" s="23">
        <f>VLOOKUP(3,AD32:AN35,3,FALSE)</f>
        <v/>
      </c>
      <c r="M35" s="23">
        <f>VLOOKUP(3,AD32:AN35,4,FALSE)</f>
        <v/>
      </c>
      <c r="N35" s="23">
        <f>VLOOKUP(3,AD32:AN35,5,FALSE)</f>
        <v/>
      </c>
      <c r="O35" s="23">
        <f>VLOOKUP(3,AD32:AN35,6,FALSE) &amp; " - " &amp; VLOOKUP(3,AD32:AN35,7,FALSE)</f>
        <v/>
      </c>
      <c r="P35" s="34">
        <f>L35*3+M35</f>
        <v/>
      </c>
      <c r="R35" s="123">
        <f>DATE(2026,6,19)+TIME(13,30,0)+gmt_delta</f>
        <v/>
      </c>
      <c r="S35" s="127">
        <f>IF(OR(F35="",G35=""),"",IF(F35&gt;G35,E35&amp;"_win",IF(F35&lt;G35,E35&amp;"_lose",E35&amp;"_draw")))</f>
        <v/>
      </c>
      <c r="T35" s="127">
        <f>IF(S35="","",IF(F35&lt;G35,H35&amp;"_win",IF(F35&gt;G35,H35&amp;"_lose",H35&amp;"_draw")))</f>
        <v/>
      </c>
      <c r="U35" s="123">
        <f>IF(S35="",0,IF(VLOOKUP(E35,$AE$8:$AN$77,10,FALSE)=VLOOKUP(H35,$AE$8:$AN$77,10,FALSE),1,0))</f>
        <v/>
      </c>
      <c r="V35" s="123">
        <f>U35*F35</f>
        <v/>
      </c>
      <c r="W35" s="123">
        <f>U35*G35</f>
        <v/>
      </c>
      <c r="X35" s="123">
        <f>IF(S35="",0,IF(VLOOKUP(E35,$AE$8:$AO$77,11,FALSE)=VLOOKUP(H35,$AE$8:$AO$77,11,FALSE),1,0))</f>
        <v/>
      </c>
      <c r="Y35" s="123">
        <f>X35*F35</f>
        <v/>
      </c>
      <c r="Z35" s="123">
        <f>X35*G35</f>
        <v/>
      </c>
      <c r="AA35" s="123">
        <f>IF(OR(E35=my_team,H35=my_team),1,IF(INT(MATCH(E35,$AE$8:$AE$78,0)/6)=$AA$6,1,0))</f>
        <v/>
      </c>
      <c r="AB35" s="123">
        <f>IF(OR(F35="",G35=""),"",IF(F35&gt;G35,1,IF(F35&lt;G35,-1,0)))</f>
        <v/>
      </c>
      <c r="AD35" s="123">
        <f>COUNTIF(AR32:AR35,CONCATENATE("&gt;=",AR35))</f>
        <v/>
      </c>
      <c r="AE35" s="124">
        <f>VLOOKUP("Ecuador",T,lang,FALSE)</f>
        <v/>
      </c>
      <c r="AF35" s="123">
        <f>COUNTIF($S$7:$T$78,"=" &amp; AE35 &amp; "_win")</f>
        <v/>
      </c>
      <c r="AG35" s="123">
        <f>COUNTIF($S$7:$T$78,"=" &amp; AE35 &amp; "_draw")</f>
        <v/>
      </c>
      <c r="AH35" s="123">
        <f>COUNTIF($S$7:$T$78,"=" &amp; AE35 &amp; "_lose")</f>
        <v/>
      </c>
      <c r="AI35" s="123">
        <f>SUMIF($E$7:$E$78,$AE35,$F$7:$F$78) + SUMIF($H$7:$H$78,$AE35,$G$7:$G$78)</f>
        <v/>
      </c>
      <c r="AJ35" s="123">
        <f>SUMIF($E$7:$E$78,$AE35,$G$7:$G$78) + SUMIF($H$7:$H$78,$AE35,$F$7:$F$78)</f>
        <v/>
      </c>
      <c r="AL35" s="123">
        <f>AI35-AJ35</f>
        <v/>
      </c>
      <c r="AM35" s="123">
        <f>AL35-AL36</f>
        <v/>
      </c>
      <c r="AN35" s="123">
        <f>AF35*3+AG35</f>
        <v/>
      </c>
      <c r="AO35" s="123">
        <f>AN35/AN36*10+BA35</f>
        <v/>
      </c>
      <c r="AP35" s="123">
        <f>AO35*10000000+BI35*100+AM35/AM36*10+AI35/AI36*1++IF(AQ35=0,ROW(),AQ35)/2000000</f>
        <v/>
      </c>
      <c r="AQ35" s="126">
        <f>VLOOKUP(AE35,db_fifarank,2,FALSE)</f>
        <v/>
      </c>
      <c r="AR35" s="125">
        <f>AP35/AP36</f>
        <v/>
      </c>
      <c r="AT35" s="126">
        <f t="array" ref="AT35">SUMPRODUCT(($S$7:$S$78=AE35&amp;"_win")*($U$7:$U$78))+SUMPRODUCT(($T$7:$T$78=AE35&amp;"_win")*($U$7:$U$78))</f>
        <v/>
      </c>
      <c r="AU35" s="126">
        <f t="array" ref="AU35">SUMPRODUCT(($S$7:$S$78=AE35&amp;"_draw")*($U$7:$U$78))+SUMPRODUCT(($T$7:$T$78=AE35&amp;"_draw")*($U$7:$U$78))</f>
        <v/>
      </c>
      <c r="AV35" s="126">
        <f t="array" ref="AV35">SUMPRODUCT(($E$7:$E$78=AE35)*($U$7:$U$78)*($F$7:$F$78))+SUMPRODUCT(($H$7:$H$78=AE35)*($U$7:$U$78)*($G$7:$G$78))</f>
        <v/>
      </c>
      <c r="AW35" s="126">
        <f t="array" ref="AW35">SUMPRODUCT(($E$7:$E$78=AE35)*($U$7:$U$78)*($G$7:$G$78))+SUMPRODUCT(($H$7:$H$78=AE35)*($U$7:$U$78)*($F$7:$F$78))</f>
        <v/>
      </c>
      <c r="AX35" s="126">
        <f>AV35-AW35</f>
        <v/>
      </c>
      <c r="AY35" s="126">
        <f>AX35-MIN(AX32:AX35)</f>
        <v/>
      </c>
      <c r="AZ35" s="126">
        <f>AT35/AT36*1000+AU35/AU36*100+AY35/AY36*10+AV35/AV36</f>
        <v/>
      </c>
      <c r="BA35" s="126">
        <f>AZ35/AZ36</f>
        <v/>
      </c>
      <c r="BB35" s="126">
        <f t="array" ref="BB35">SUMPRODUCT(($S$7:$S$78=AE35&amp;"_win")*($X$7:$X$78))+SUMPRODUCT(($T$7:$T$78=AE35&amp;"_win")*($X$7:$X$78))</f>
        <v/>
      </c>
      <c r="BC35" s="126">
        <f t="array" ref="BC35">SUMPRODUCT(($S$7:$S$78=AE35&amp;"_draw")*($X$7:$X$78))+SUMPRODUCT(($T$7:$T$78=AE35&amp;"_draw")*($X$7:$X$78))</f>
        <v/>
      </c>
      <c r="BD35" s="126">
        <f t="array" ref="BD35">SUMPRODUCT(($E$7:$E$78=AE35)*($X$7:$X$78)*($F$7:$F$78))+SUMPRODUCT(($H$7:$H$78=AE35)*($X$7:$X$78)*($G$7:$G$78))</f>
        <v/>
      </c>
      <c r="BE35" s="126">
        <f t="array" ref="BE35">SUMPRODUCT(($E$7:$E$78=AE35)*($X$7:$X$78)*($G$7:$G$78))+SUMPRODUCT(($H$7:$H$78=AE35)*($X$7:$X$78)*($F$7:$F$78))</f>
        <v/>
      </c>
      <c r="BF35" s="126">
        <f>BD35-BE35</f>
        <v/>
      </c>
      <c r="BG35" s="126">
        <f>BF35-MIN(BF32:BF35)</f>
        <v/>
      </c>
      <c r="BH35" s="126">
        <f>BB35/BB36*1000+BC35/BC36*100+BG35/BG36*10+BD35/BD36</f>
        <v/>
      </c>
      <c r="BI35" s="126">
        <f>BH35/BH36</f>
        <v/>
      </c>
      <c r="BK35" s="180" t="n"/>
      <c r="BL35" s="26">
        <f>IF(group_round_completed,VLOOKUP('3rd places'!F3,AK80:AS91,9,FALSE),"3rd Group B/E/F/I/J")</f>
        <v/>
      </c>
      <c r="BM35" s="62" t="n">
        <v>0</v>
      </c>
      <c r="BN35" s="64" t="n"/>
      <c r="BO35" s="27" t="n"/>
      <c r="BP35" s="113">
        <f>IF(BP34="","",BM35*1000+BN35*10+BO35)</f>
        <v/>
      </c>
      <c r="BQ35" s="112" t="n"/>
      <c r="BR35" s="21">
        <f t="array" ref="BR35">INDEX(T,24+MONTH(BW35),lang) &amp; " " &amp; DAY(BW35) &amp; ", " &amp; YEAR(BW35) &amp; "   " &amp; (IF(HOUR(BW35)&lt;10,0,"")&amp;HOUR(BW35)) &amp; ":" &amp;  (IF(MINUTE(BW35)&lt;10,0,"")&amp;MINUTE(BW35))</f>
        <v/>
      </c>
      <c r="BS35" s="21" t="n"/>
      <c r="BT35" s="21" t="n"/>
      <c r="BU35" s="21" t="n"/>
      <c r="BV35" s="28" t="n"/>
      <c r="BW35" s="114">
        <f>DATE(2026,7,6)+TIME(13,0,0)+gmt_delta</f>
        <v/>
      </c>
      <c r="BX35" s="112" t="n"/>
      <c r="BY35" s="21" t="n"/>
      <c r="BZ35" s="21" t="n"/>
      <c r="CA35" s="21" t="n"/>
      <c r="CB35" s="21" t="n"/>
      <c r="CC35" s="21" t="n"/>
      <c r="CD35" s="112" t="n"/>
      <c r="CE35" s="112" t="n"/>
      <c r="CK35" s="114" t="n"/>
      <c r="CL35" s="112" t="n"/>
    </row>
    <row r="36">
      <c r="A36" s="16" t="n">
        <v>30</v>
      </c>
      <c r="B36" s="17">
        <f t="array" ref="B36">INDEX(T,18+INT(MOD(R36-1,7)),lang)</f>
        <v/>
      </c>
      <c r="C36" s="18">
        <f t="array" ref="C36">INDEX(T,24+MONTH(R36),lang) &amp; " " &amp; DAY(R36) &amp; ", " &amp; YEAR(R36)</f>
        <v/>
      </c>
      <c r="D36" s="120">
        <f>TIME(HOUR(R36),MINUTE(R36),0)</f>
        <v/>
      </c>
      <c r="E36" s="78">
        <f>AE23</f>
        <v/>
      </c>
      <c r="F36" s="19" t="n">
        <v>1</v>
      </c>
      <c r="G36" s="20" t="n">
        <v>3</v>
      </c>
      <c r="H36" s="80">
        <f>AE21</f>
        <v/>
      </c>
      <c r="J36" s="35">
        <f>VLOOKUP(4,AD32:AN35,2,FALSE)</f>
        <v/>
      </c>
      <c r="K36" s="36">
        <f>L36+M36+N36</f>
        <v/>
      </c>
      <c r="L36" s="36">
        <f>VLOOKUP(4,AD32:AN35,3,FALSE)</f>
        <v/>
      </c>
      <c r="M36" s="36">
        <f>VLOOKUP(4,AD32:AN35,4,FALSE)</f>
        <v/>
      </c>
      <c r="N36" s="36">
        <f>VLOOKUP(4,AD32:AN35,5,FALSE)</f>
        <v/>
      </c>
      <c r="O36" s="36">
        <f>VLOOKUP(4,AD32:AN35,6,FALSE) &amp; " - " &amp; VLOOKUP(4,AD32:AN35,7,FALSE)</f>
        <v/>
      </c>
      <c r="P36" s="37">
        <f>L36*3+M36</f>
        <v/>
      </c>
      <c r="R36" s="123">
        <f>DATE(2026,6,19)+TIME(11,0,0)+gmt_delta</f>
        <v/>
      </c>
      <c r="S36" s="127">
        <f>IF(OR(F36="",G36=""),"",IF(F36&gt;G36,E36&amp;"_win",IF(F36&lt;G36,E36&amp;"_lose",E36&amp;"_draw")))</f>
        <v/>
      </c>
      <c r="T36" s="127">
        <f>IF(S36="","",IF(F36&lt;G36,H36&amp;"_win",IF(F36&gt;G36,H36&amp;"_lose",H36&amp;"_draw")))</f>
        <v/>
      </c>
      <c r="U36" s="123">
        <f>IF(S36="",0,IF(VLOOKUP(E36,$AE$8:$AN$77,10,FALSE)=VLOOKUP(H36,$AE$8:$AN$77,10,FALSE),1,0))</f>
        <v/>
      </c>
      <c r="V36" s="123">
        <f>U36*F36</f>
        <v/>
      </c>
      <c r="W36" s="123">
        <f>U36*G36</f>
        <v/>
      </c>
      <c r="X36" s="123">
        <f>IF(S36="",0,IF(VLOOKUP(E36,$AE$8:$AO$77,11,FALSE)=VLOOKUP(H36,$AE$8:$AO$77,11,FALSE),1,0))</f>
        <v/>
      </c>
      <c r="Y36" s="123">
        <f>X36*F36</f>
        <v/>
      </c>
      <c r="Z36" s="123">
        <f>X36*G36</f>
        <v/>
      </c>
      <c r="AA36" s="123">
        <f>IF(OR(E36=my_team,H36=my_team),1,IF(INT(MATCH(E36,$AE$8:$AE$78,0)/6)=$AA$6,1,0))</f>
        <v/>
      </c>
      <c r="AB36" s="123">
        <f>IF(OR(F36="",G36=""),"",IF(F36&gt;G36,1,IF(F36&lt;G36,-1,0)))</f>
        <v/>
      </c>
      <c r="AF36" s="123">
        <f>MAX(AF32:AF35)-MIN(AF32:AF35)+1</f>
        <v/>
      </c>
      <c r="AG36" s="123">
        <f>MAX(AG32:AG35)-MIN(AG32:AG35)+1</f>
        <v/>
      </c>
      <c r="AH36" s="123">
        <f>MAX(AH32:AH35)-MIN(AH32:AH35)+1</f>
        <v/>
      </c>
      <c r="AI36" s="123">
        <f>MAX(AI32:AI35)+1</f>
        <v/>
      </c>
      <c r="AL36" s="123">
        <f>MIN(AL32:AL35)</f>
        <v/>
      </c>
      <c r="AM36" s="123">
        <f>MAX(AM32:AM35)+1</f>
        <v/>
      </c>
      <c r="AN36" s="123">
        <f>MAX(AN32:AN35)+1</f>
        <v/>
      </c>
      <c r="AO36" s="123">
        <f>MAX(AO32:AO35)+1</f>
        <v/>
      </c>
      <c r="AP36" s="123">
        <f>MAX(AP32:AP35)+1</f>
        <v/>
      </c>
      <c r="AT36" s="126">
        <f>MAX(AT32:AT35)-MIN(AT32:AT35)+1</f>
        <v/>
      </c>
      <c r="AU36" s="126">
        <f>MAX(AU32:AU35)-MIN(AU32:AU35)+1</f>
        <v/>
      </c>
      <c r="AV36" s="126">
        <f>MAX(AV32:AV35)-MIN(AV32:AV35)+1</f>
        <v/>
      </c>
      <c r="AW36" s="126">
        <f>MAX(AW32:AW35)-MIN(AW32:AW35)+1</f>
        <v/>
      </c>
      <c r="AY36" s="126">
        <f>MAX(AY32:AY35)-MIN(AY32:AY35)+1</f>
        <v/>
      </c>
      <c r="AZ36" s="126">
        <f>MAX(AZ32:AZ35)+1</f>
        <v/>
      </c>
      <c r="BB36" s="126">
        <f>MAX(BB32:BB35)-MIN(BB32:BB35)+1</f>
        <v/>
      </c>
      <c r="BC36" s="126">
        <f>MAX(BC32:BC35)-MIN(BC32:BC35)+1</f>
        <v/>
      </c>
      <c r="BD36" s="126">
        <f>MAX(BD32:BD35)-MIN(BD32:BD35)+1</f>
        <v/>
      </c>
      <c r="BE36" s="126">
        <f>MAX(BE32:BE35)-MIN(BE32:BE35)+1</f>
        <v/>
      </c>
      <c r="BG36" s="126">
        <f>MAX(BG32:BG35)-MIN(BG32:BG35)+1</f>
        <v/>
      </c>
      <c r="BH36" s="126">
        <f>MAX(BH32:BH35)+1</f>
        <v/>
      </c>
      <c r="BK36" s="21" t="n"/>
      <c r="BL36" s="21" t="n"/>
      <c r="BM36" s="21" t="n"/>
      <c r="BN36" s="21" t="n"/>
      <c r="BO36" s="21" t="n"/>
      <c r="BP36" s="114" t="n"/>
      <c r="BQ36" s="112" t="n"/>
      <c r="BR36" s="179" t="n">
        <v>94</v>
      </c>
      <c r="BS36" s="24">
        <f>IF(BP34&gt;BP35,BL34,IF(BP34&lt;BP35,BL35,""))</f>
        <v/>
      </c>
      <c r="BT36" s="61" t="n">
        <v>1</v>
      </c>
      <c r="BU36" s="63" t="n"/>
      <c r="BV36" s="25" t="n">
        <v>4</v>
      </c>
      <c r="BW36" s="116">
        <f>IF(OR(BT36="",BT37="",AND(BU36="",BU37&lt;&gt;""),AND(BU37="",BU36&lt;&gt;""),AND(BV36="",BV37&lt;&gt;""),AND(BV37="",BV36&lt;&gt;"")),"",BT36*1000+BU36*10+BV36)</f>
        <v/>
      </c>
      <c r="BX36" s="112" t="n"/>
      <c r="BY36" s="21" t="n"/>
      <c r="BZ36" s="21" t="n"/>
      <c r="CA36" s="21" t="n"/>
      <c r="CB36" s="21" t="n"/>
      <c r="CC36" s="21" t="n"/>
      <c r="CD36" s="112" t="n"/>
      <c r="CE36" s="112" t="n"/>
      <c r="CK36" s="114" t="n"/>
      <c r="CL36" s="112" t="n"/>
      <c r="CM36" s="21">
        <f t="array" ref="CM36">INDEX(T,24+MONTH(CR36),lang) &amp; " " &amp; DAY(CR36) &amp; ", " &amp; YEAR(CR36) &amp; "   " &amp; (IF(HOUR(CR36)&lt;10,0,"")&amp;HOUR(CR36)) &amp; ":" &amp;  (IF(MINUTE(CR36)&lt;10,0,"")&amp;MINUTE(CR36))</f>
        <v/>
      </c>
      <c r="CN36" s="21" t="n"/>
      <c r="CO36" s="21" t="n"/>
      <c r="CP36" s="21" t="n"/>
      <c r="CQ36" s="28" t="n"/>
      <c r="CR36" s="111">
        <f>DATE(2026,7,19)+TIME(8,0,0)+gmt_delta</f>
        <v/>
      </c>
    </row>
    <row r="37">
      <c r="A37" s="16" t="n">
        <v>31</v>
      </c>
      <c r="B37" s="17">
        <f t="array" ref="B37">INDEX(T,18+INT(MOD(R37-1,7)),lang)</f>
        <v/>
      </c>
      <c r="C37" s="18">
        <f t="array" ref="C37">INDEX(T,24+MONTH(R37),lang) &amp; " " &amp; DAY(R37) &amp; ", " &amp; YEAR(R37)</f>
        <v/>
      </c>
      <c r="D37" s="120">
        <f>TIME(HOUR(R37),MINUTE(R37),0)</f>
        <v/>
      </c>
      <c r="E37" s="78">
        <f>AE26</f>
        <v/>
      </c>
      <c r="F37" s="19" t="n">
        <v>2</v>
      </c>
      <c r="G37" s="20" t="n">
        <v>0</v>
      </c>
      <c r="H37" s="80">
        <f>AE28</f>
        <v/>
      </c>
      <c r="R37" s="123">
        <f>DATE(2026,6,19)+TIME(16,0,0)+gmt_delta</f>
        <v/>
      </c>
      <c r="S37" s="127">
        <f>IF(OR(F37="",G37=""),"",IF(F37&gt;G37,E37&amp;"_win",IF(F37&lt;G37,E37&amp;"_lose",E37&amp;"_draw")))</f>
        <v/>
      </c>
      <c r="T37" s="127">
        <f>IF(S37="","",IF(F37&lt;G37,H37&amp;"_win",IF(F37&gt;G37,H37&amp;"_lose",H37&amp;"_draw")))</f>
        <v/>
      </c>
      <c r="U37" s="123">
        <f>IF(S37="",0,IF(VLOOKUP(E37,$AE$8:$AN$77,10,FALSE)=VLOOKUP(H37,$AE$8:$AN$77,10,FALSE),1,0))</f>
        <v/>
      </c>
      <c r="V37" s="123">
        <f>U37*F37</f>
        <v/>
      </c>
      <c r="W37" s="123">
        <f>U37*G37</f>
        <v/>
      </c>
      <c r="X37" s="123">
        <f>IF(S37="",0,IF(VLOOKUP(E37,$AE$8:$AO$77,11,FALSE)=VLOOKUP(H37,$AE$8:$AO$77,11,FALSE),1,0))</f>
        <v/>
      </c>
      <c r="Y37" s="123">
        <f>X37*F37</f>
        <v/>
      </c>
      <c r="Z37" s="123">
        <f>X37*G37</f>
        <v/>
      </c>
      <c r="AA37" s="123">
        <f>IF(OR(E37=my_team,H37=my_team),1,IF(INT(MATCH(E37,$AE$8:$AE$78,0)/6)=$AA$6,1,0))</f>
        <v/>
      </c>
      <c r="AB37" s="123">
        <f>IF(OR(F37="",G37=""),"",IF(F37&gt;G37,1,IF(F37&lt;G37,-1,0)))</f>
        <v/>
      </c>
      <c r="BK37" s="21">
        <f t="array" ref="BK37">INDEX(T,24+MONTH(BP37),lang) &amp; " " &amp; DAY(BP37) &amp; ", " &amp; YEAR(BP37) &amp; "   " &amp; (IF(HOUR(BP37)&lt;10,0,"")&amp;HOUR(BP37)) &amp; ":" &amp;  (IF(MINUTE(BP37)&lt;10,0,"")&amp;MINUTE(BP37))</f>
        <v/>
      </c>
      <c r="BL37" s="21" t="n"/>
      <c r="BM37" s="21" t="n"/>
      <c r="BN37" s="21" t="n"/>
      <c r="BO37" s="28" t="n"/>
      <c r="BP37" s="114">
        <f>DATE(2026,7,1)+TIME(9,0,0)+gmt_delta</f>
        <v/>
      </c>
      <c r="BQ37" s="115" t="n"/>
      <c r="BR37" s="180" t="n"/>
      <c r="BS37" s="26">
        <f>IF(BP38&gt;BP39,BL38,IF(BP38&lt;BP39,BL39,""))</f>
        <v/>
      </c>
      <c r="BT37" s="62" t="n">
        <v>1</v>
      </c>
      <c r="BU37" s="64" t="n"/>
      <c r="BV37" s="27" t="n">
        <v>5</v>
      </c>
      <c r="BW37" s="112">
        <f>IF(BW36="","",BT37*1000+BU37*10+BV37)</f>
        <v/>
      </c>
      <c r="BX37" s="112" t="n"/>
      <c r="BY37" s="21" t="n"/>
      <c r="BZ37" s="21" t="n"/>
      <c r="CA37" s="21" t="n"/>
      <c r="CB37" s="21" t="n"/>
      <c r="CC37" s="21" t="n"/>
      <c r="CD37" s="112" t="n"/>
      <c r="CE37" s="112" t="n"/>
      <c r="CF37" s="21" t="n"/>
      <c r="CG37" s="21" t="n"/>
      <c r="CH37" s="21" t="n"/>
      <c r="CI37" s="21" t="n"/>
      <c r="CJ37" s="21" t="n"/>
      <c r="CK37" s="114" t="n"/>
      <c r="CL37" s="112" t="n"/>
      <c r="CM37" s="179" t="n">
        <v>104</v>
      </c>
      <c r="CN37" s="24">
        <f>IF(CK23&gt;CK24,CG23,IF(CK23&lt;CK24,CG24,""))</f>
        <v/>
      </c>
      <c r="CO37" s="61" t="n">
        <v>1</v>
      </c>
      <c r="CP37" s="63" t="n">
        <v>1</v>
      </c>
      <c r="CQ37" s="25" t="n"/>
      <c r="CR37" s="111">
        <f>IF(OR(CO37="",CO38="",AND(CP37="",CP38&lt;&gt;""),AND(CP38="",CP37&lt;&gt;""),AND(CQ37="",CQ38&lt;&gt;""),AND(CQ38="",CQ37&lt;&gt;"")),"",CO37*1000+CP37*10+CQ37)</f>
        <v/>
      </c>
    </row>
    <row r="38">
      <c r="A38" s="16" t="n">
        <v>32</v>
      </c>
      <c r="B38" s="17">
        <f t="array" ref="B38">INDEX(T,18+INT(MOD(R38-1,7)),lang)</f>
        <v/>
      </c>
      <c r="C38" s="18">
        <f t="array" ref="C38">INDEX(T,24+MONTH(R38),lang) &amp; " " &amp; DAY(R38) &amp; ", " &amp; YEAR(R38)</f>
        <v/>
      </c>
      <c r="D38" s="120">
        <f>TIME(HOUR(R38),MINUTE(R38),0)</f>
        <v/>
      </c>
      <c r="E38" s="78">
        <f>AE29</f>
        <v/>
      </c>
      <c r="F38" s="19" t="n">
        <v>2</v>
      </c>
      <c r="G38" s="20" t="n">
        <v>0</v>
      </c>
      <c r="H38" s="80">
        <f>AE27</f>
        <v/>
      </c>
      <c r="J38" s="38">
        <f t="array" ref="J38">INDEX(T,9,lang) &amp; " " &amp; "F"</f>
        <v/>
      </c>
      <c r="K38" s="94">
        <f t="array" ref="K38">INDEX(T,10,lang)</f>
        <v/>
      </c>
      <c r="L38" s="94">
        <f t="array" ref="L38">INDEX(T,11,lang)</f>
        <v/>
      </c>
      <c r="M38" s="94">
        <f t="array" ref="M38">INDEX(T,12,lang)</f>
        <v/>
      </c>
      <c r="N38" s="94">
        <f t="array" ref="N38">INDEX(T,13,lang)</f>
        <v/>
      </c>
      <c r="O38" s="94">
        <f t="array" ref="O38">INDEX(T,14,lang)</f>
        <v/>
      </c>
      <c r="P38" s="95">
        <f t="array" ref="P38">INDEX(T,15,lang)</f>
        <v/>
      </c>
      <c r="R38" s="123">
        <f>DATE(2026,6,19)+TIME(8,0,0)+gmt_delta</f>
        <v/>
      </c>
      <c r="S38" s="127">
        <f>IF(OR(F38="",G38=""),"",IF(F38&gt;G38,E38&amp;"_win",IF(F38&lt;G38,E38&amp;"_lose",E38&amp;"_draw")))</f>
        <v/>
      </c>
      <c r="T38" s="127">
        <f>IF(S38="","",IF(F38&lt;G38,H38&amp;"_win",IF(F38&gt;G38,H38&amp;"_lose",H38&amp;"_draw")))</f>
        <v/>
      </c>
      <c r="U38" s="123">
        <f>IF(S38="",0,IF(VLOOKUP(E38,$AE$8:$AN$77,10,FALSE)=VLOOKUP(H38,$AE$8:$AN$77,10,FALSE),1,0))</f>
        <v/>
      </c>
      <c r="V38" s="123">
        <f>U38*F38</f>
        <v/>
      </c>
      <c r="W38" s="123">
        <f>U38*G38</f>
        <v/>
      </c>
      <c r="X38" s="123">
        <f>IF(S38="",0,IF(VLOOKUP(E38,$AE$8:$AO$77,11,FALSE)=VLOOKUP(H38,$AE$8:$AO$77,11,FALSE),1,0))</f>
        <v/>
      </c>
      <c r="Y38" s="123">
        <f>X38*F38</f>
        <v/>
      </c>
      <c r="Z38" s="123">
        <f>X38*G38</f>
        <v/>
      </c>
      <c r="AA38" s="123">
        <f>IF(OR(E38=my_team,H38=my_team),1,IF(INT(MATCH(E38,$AE$8:$AE$78,0)/6)=$AA$6,1,0))</f>
        <v/>
      </c>
      <c r="AB38" s="123">
        <f>IF(OR(F38="",G38=""),"",IF(F38&gt;G38,1,IF(F38&lt;G38,-1,0)))</f>
        <v/>
      </c>
      <c r="AD38" s="123">
        <f>COUNTIF(AR38:AR41,CONCATENATE("&gt;=",AR38))</f>
        <v/>
      </c>
      <c r="AE38" s="124">
        <f>VLOOKUP("Netherlands",T,lang,FALSE)</f>
        <v/>
      </c>
      <c r="AF38" s="123">
        <f>COUNTIF($S$7:$T$78,"=" &amp; AE38 &amp; "_win")</f>
        <v/>
      </c>
      <c r="AG38" s="123">
        <f>COUNTIF($S$7:$T$78,"=" &amp; AE38 &amp; "_draw")</f>
        <v/>
      </c>
      <c r="AH38" s="123">
        <f>COUNTIF($S$7:$T$78,"=" &amp; AE38 &amp; "_lose")</f>
        <v/>
      </c>
      <c r="AI38" s="123">
        <f>SUMIF($E$7:$E$78,$AE38,$F$7:$F$78) + SUMIF($H$7:$H$78,$AE38,$G$7:$G$78)</f>
        <v/>
      </c>
      <c r="AJ38" s="123">
        <f>SUMIF($E$7:$E$78,$AE38,$G$7:$G$78) + SUMIF($H$7:$H$78,$AE38,$F$7:$F$78)</f>
        <v/>
      </c>
      <c r="AL38" s="123">
        <f>AI38-AJ38</f>
        <v/>
      </c>
      <c r="AM38" s="123">
        <f>AL38-AL42</f>
        <v/>
      </c>
      <c r="AN38" s="123">
        <f>AF38*3+AG38</f>
        <v/>
      </c>
      <c r="AO38" s="123">
        <f>AN38/AN42*10+BA38</f>
        <v/>
      </c>
      <c r="AP38" s="123">
        <f>AO38*10000000+BI38*100+AM38/AM42*10+AI38/AI42*1++IF(AQ38=0,ROW(),AQ38)/2000000</f>
        <v/>
      </c>
      <c r="AQ38" s="126">
        <f>VLOOKUP(AE38,db_fifarank,2,FALSE)</f>
        <v/>
      </c>
      <c r="AR38" s="125">
        <f>AP38/AP42</f>
        <v/>
      </c>
      <c r="AS38" s="125">
        <f>IF(SUM(AF38:AH41)=12,J39,"1F")</f>
        <v/>
      </c>
      <c r="AT38" s="126">
        <f t="array" ref="AT38">SUMPRODUCT(($S$7:$S$78=AE38&amp;"_win")*($U$7:$U$78))+SUMPRODUCT(($T$7:$T$78=AE38&amp;"_win")*($U$7:$U$78))</f>
        <v/>
      </c>
      <c r="AU38" s="126">
        <f t="array" ref="AU38">SUMPRODUCT(($S$7:$S$78=AE38&amp;"_draw")*($U$7:$U$78))+SUMPRODUCT(($T$7:$T$78=AE38&amp;"_draw")*($U$7:$U$78))</f>
        <v/>
      </c>
      <c r="AV38" s="126">
        <f t="array" ref="AV38">SUMPRODUCT(($E$7:$E$78=AE38)*($U$7:$U$78)*($F$7:$F$78))+SUMPRODUCT(($H$7:$H$78=AE38)*($U$7:$U$78)*($G$7:$G$78))</f>
        <v/>
      </c>
      <c r="AW38" s="126">
        <f t="array" ref="AW38">SUMPRODUCT(($E$7:$E$78=AE38)*($U$7:$U$78)*($G$7:$G$78))+SUMPRODUCT(($H$7:$H$78=AE38)*($U$7:$U$78)*($F$7:$F$78))</f>
        <v/>
      </c>
      <c r="AX38" s="126">
        <f>AV38-AW38</f>
        <v/>
      </c>
      <c r="AY38" s="126">
        <f>AX38-MIN(AX38:AX41)</f>
        <v/>
      </c>
      <c r="AZ38" s="126">
        <f>AT38/AT42*1000+AU38/AU42*100+AY38/AY42*10+AV38/AV42</f>
        <v/>
      </c>
      <c r="BA38" s="126">
        <f>AZ38/AZ42</f>
        <v/>
      </c>
      <c r="BB38" s="126">
        <f t="array" ref="BB38">SUMPRODUCT(($S$7:$S$78=AE38&amp;"_win")*($X$7:$X$78))+SUMPRODUCT(($T$7:$T$78=AE38&amp;"_win")*($X$7:$X$78))</f>
        <v/>
      </c>
      <c r="BC38" s="126">
        <f t="array" ref="BC38">SUMPRODUCT(($S$7:$S$78=AE38&amp;"_draw")*($X$7:$X$78))+SUMPRODUCT(($T$7:$T$78=AE38&amp;"_draw")*($X$7:$X$78))</f>
        <v/>
      </c>
      <c r="BD38" s="126">
        <f t="array" ref="BD38">SUMPRODUCT(($E$7:$E$78=AE38)*($X$7:$X$78)*($F$7:$F$78))+SUMPRODUCT(($H$7:$H$78=AE38)*($X$7:$X$78)*($G$7:$G$78))</f>
        <v/>
      </c>
      <c r="BE38" s="126">
        <f t="array" ref="BE38">SUMPRODUCT(($E$7:$E$78=AE38)*($X$7:$X$78)*($G$7:$G$78))+SUMPRODUCT(($H$7:$H$78=AE38)*($X$7:$X$78)*($F$7:$F$78))</f>
        <v/>
      </c>
      <c r="BF38" s="126">
        <f>BD38-BE38</f>
        <v/>
      </c>
      <c r="BG38" s="126">
        <f>BF38-MIN(BF38:BF41)</f>
        <v/>
      </c>
      <c r="BH38" s="126">
        <f>BB38/BB42*1000+BC38/BC42*100+BG38/BG42*10+BD38/BD42</f>
        <v/>
      </c>
      <c r="BI38" s="126">
        <f>BH38/BH42</f>
        <v/>
      </c>
      <c r="BK38" s="179" t="n">
        <v>82</v>
      </c>
      <c r="BL38" s="24">
        <f>AS44</f>
        <v/>
      </c>
      <c r="BM38" s="61" t="n">
        <v>3</v>
      </c>
      <c r="BN38" s="63" t="n"/>
      <c r="BO38" s="25" t="n"/>
      <c r="BP38" s="116">
        <f>IF(OR(BM38="",BM39="",AND(BN38="",BN39&lt;&gt;""),AND(BN39="",BN38&lt;&gt;""),AND(BO38="",BO39&lt;&gt;""),AND(BO39="",BO38&lt;&gt;"")),"",BM38*1000+BN38*10+BO38)</f>
        <v/>
      </c>
      <c r="BQ38" s="112" t="n"/>
      <c r="BW38" s="112" t="n"/>
      <c r="BX38" s="112" t="n"/>
      <c r="BY38" s="21" t="n"/>
      <c r="BZ38" s="21" t="n"/>
      <c r="CA38" s="21" t="n"/>
      <c r="CB38" s="21" t="n"/>
      <c r="CC38" s="21" t="n"/>
      <c r="CD38" s="112" t="n"/>
      <c r="CE38" s="112" t="n"/>
      <c r="CF38" s="21" t="n"/>
      <c r="CG38" s="21" t="n"/>
      <c r="CH38" s="21" t="n"/>
      <c r="CI38" s="21" t="n"/>
      <c r="CJ38" s="21" t="n"/>
      <c r="CL38" s="115" t="n"/>
      <c r="CM38" s="180" t="n"/>
      <c r="CN38" s="26">
        <f>IF(CK55&gt;CK56,CG55,IF(CK55&lt;CK56,CG56,""))</f>
        <v/>
      </c>
      <c r="CO38" s="62" t="n">
        <v>1</v>
      </c>
      <c r="CP38" s="64" t="n">
        <v>0</v>
      </c>
      <c r="CQ38" s="27" t="n"/>
      <c r="CR38" s="111">
        <f>IF(CR37="","",CO38*1000+CP38*10+CQ38)</f>
        <v/>
      </c>
    </row>
    <row r="39">
      <c r="A39" s="16" t="n">
        <v>33</v>
      </c>
      <c r="B39" s="17">
        <f t="array" ref="B39">INDEX(T,18+INT(MOD(R39-1,7)),lang)</f>
        <v/>
      </c>
      <c r="C39" s="18">
        <f t="array" ref="C39">INDEX(T,24+MONTH(R39),lang) &amp; " " &amp; DAY(R39) &amp; ", " &amp; YEAR(R39)</f>
        <v/>
      </c>
      <c r="D39" s="120">
        <f>TIME(HOUR(R39),MINUTE(R39),0)</f>
        <v/>
      </c>
      <c r="E39" s="78">
        <f>AE32</f>
        <v/>
      </c>
      <c r="F39" s="19" t="n">
        <v>3</v>
      </c>
      <c r="G39" s="20" t="n">
        <v>1</v>
      </c>
      <c r="H39" s="80">
        <f>AE34</f>
        <v/>
      </c>
      <c r="J39" s="30">
        <f>VLOOKUP(1,AD38:AN41,2,FALSE)</f>
        <v/>
      </c>
      <c r="K39" s="31">
        <f>L39+M39+N39</f>
        <v/>
      </c>
      <c r="L39" s="31">
        <f>VLOOKUP(1,AD38:AN41,3,FALSE)</f>
        <v/>
      </c>
      <c r="M39" s="31">
        <f>VLOOKUP(1,AD38:AN41,4,FALSE)</f>
        <v/>
      </c>
      <c r="N39" s="31">
        <f>VLOOKUP(1,AD38:AN41,5,FALSE)</f>
        <v/>
      </c>
      <c r="O39" s="31">
        <f>VLOOKUP(1,AD38:AN41,6,FALSE) &amp; " - " &amp; VLOOKUP(1,AD38:AN41,7,FALSE)</f>
        <v/>
      </c>
      <c r="P39" s="32">
        <f>L39*3+M39</f>
        <v/>
      </c>
      <c r="R39" s="123">
        <f>DATE(2026,6,20)+TIME(9,0,0)+gmt_delta</f>
        <v/>
      </c>
      <c r="S39" s="127">
        <f>IF(OR(F39="",G39=""),"",IF(F39&gt;G39,E39&amp;"_win",IF(F39&lt;G39,E39&amp;"_lose",E39&amp;"_draw")))</f>
        <v/>
      </c>
      <c r="T39" s="127">
        <f>IF(S39="","",IF(F39&lt;G39,H39&amp;"_win",IF(F39&gt;G39,H39&amp;"_lose",H39&amp;"_draw")))</f>
        <v/>
      </c>
      <c r="U39" s="123">
        <f>IF(S39="",0,IF(VLOOKUP(E39,$AE$8:$AN$77,10,FALSE)=VLOOKUP(H39,$AE$8:$AN$77,10,FALSE),1,0))</f>
        <v/>
      </c>
      <c r="V39" s="123">
        <f>U39*F39</f>
        <v/>
      </c>
      <c r="W39" s="123">
        <f>U39*G39</f>
        <v/>
      </c>
      <c r="X39" s="123">
        <f>IF(S39="",0,IF(VLOOKUP(E39,$AE$8:$AO$77,11,FALSE)=VLOOKUP(H39,$AE$8:$AO$77,11,FALSE),1,0))</f>
        <v/>
      </c>
      <c r="Y39" s="123">
        <f>X39*F39</f>
        <v/>
      </c>
      <c r="Z39" s="123">
        <f>X39*G39</f>
        <v/>
      </c>
      <c r="AA39" s="123">
        <f>IF(OR(E39=my_team,H39=my_team),1,IF(INT(MATCH(E39,$AE$8:$AE$78,0)/6)=$AA$6,1,0))</f>
        <v/>
      </c>
      <c r="AB39" s="123">
        <f>IF(OR(F39="",G39=""),"",IF(F39&gt;G39,1,IF(F39&lt;G39,-1,0)))</f>
        <v/>
      </c>
      <c r="AD39" s="123">
        <f>COUNTIF(AR38:AR41,CONCATENATE("&gt;=",AR39))</f>
        <v/>
      </c>
      <c r="AE39" s="124">
        <f>VLOOKUP("Japan",T,lang,FALSE)</f>
        <v/>
      </c>
      <c r="AF39" s="123">
        <f>COUNTIF($S$7:$T$78,"=" &amp; AE39 &amp; "_win")</f>
        <v/>
      </c>
      <c r="AG39" s="123">
        <f>COUNTIF($S$7:$T$78,"=" &amp; AE39 &amp; "_draw")</f>
        <v/>
      </c>
      <c r="AH39" s="123">
        <f>COUNTIF($S$7:$T$78,"=" &amp; AE39 &amp; "_lose")</f>
        <v/>
      </c>
      <c r="AI39" s="123">
        <f>SUMIF($E$7:$E$78,$AE39,$F$7:$F$78) + SUMIF($H$7:$H$78,$AE39,$G$7:$G$78)</f>
        <v/>
      </c>
      <c r="AJ39" s="123">
        <f>SUMIF($E$7:$E$78,$AE39,$G$7:$G$78) + SUMIF($H$7:$H$78,$AE39,$F$7:$F$78)</f>
        <v/>
      </c>
      <c r="AL39" s="123">
        <f>AI39-AJ39</f>
        <v/>
      </c>
      <c r="AM39" s="123">
        <f>AL39-AL42</f>
        <v/>
      </c>
      <c r="AN39" s="123">
        <f>AF39*3+AG39</f>
        <v/>
      </c>
      <c r="AO39" s="123">
        <f>AN39/AN42*10+BA39</f>
        <v/>
      </c>
      <c r="AP39" s="123">
        <f>AO39*10000000+BI39*100+AM39/AM42*10+AI39/AI42*1++IF(AQ39=0,ROW(),AQ39)/2000000</f>
        <v/>
      </c>
      <c r="AQ39" s="126">
        <f>VLOOKUP(AE39,db_fifarank,2,FALSE)</f>
        <v/>
      </c>
      <c r="AR39" s="125">
        <f>AP39/AP42</f>
        <v/>
      </c>
      <c r="AS39" s="125">
        <f>IF(SUM(AF38:AH41)=12,J40,"2F")</f>
        <v/>
      </c>
      <c r="AT39" s="126">
        <f t="array" ref="AT39">SUMPRODUCT(($S$7:$S$78=AE39&amp;"_win")*($U$7:$U$78))+SUMPRODUCT(($T$7:$T$78=AE39&amp;"_win")*($U$7:$U$78))</f>
        <v/>
      </c>
      <c r="AU39" s="126">
        <f t="array" ref="AU39">SUMPRODUCT(($S$7:$S$78=AE39&amp;"_draw")*($U$7:$U$78))+SUMPRODUCT(($T$7:$T$78=AE39&amp;"_draw")*($U$7:$U$78))</f>
        <v/>
      </c>
      <c r="AV39" s="126">
        <f t="array" ref="AV39">SUMPRODUCT(($E$7:$E$78=AE39)*($U$7:$U$78)*($F$7:$F$78))+SUMPRODUCT(($H$7:$H$78=AE39)*($U$7:$U$78)*($G$7:$G$78))</f>
        <v/>
      </c>
      <c r="AW39" s="126">
        <f t="array" ref="AW39">SUMPRODUCT(($E$7:$E$78=AE39)*($U$7:$U$78)*($G$7:$G$78))+SUMPRODUCT(($H$7:$H$78=AE39)*($U$7:$U$78)*($F$7:$F$78))</f>
        <v/>
      </c>
      <c r="AX39" s="126">
        <f>AV39-AW39</f>
        <v/>
      </c>
      <c r="AY39" s="126">
        <f>AX39-MIN(AX38:AX41)</f>
        <v/>
      </c>
      <c r="AZ39" s="126">
        <f>AT39/AT42*1000+AU39/AU42*100+AY39/AY42*10+AV39/AV42</f>
        <v/>
      </c>
      <c r="BA39" s="126">
        <f>AZ39/AZ42</f>
        <v/>
      </c>
      <c r="BB39" s="126">
        <f t="array" ref="BB39">SUMPRODUCT(($S$7:$S$78=AE39&amp;"_win")*($X$7:$X$78))+SUMPRODUCT(($T$7:$T$78=AE39&amp;"_win")*($X$7:$X$78))</f>
        <v/>
      </c>
      <c r="BC39" s="126">
        <f t="array" ref="BC39">SUMPRODUCT(($S$7:$S$78=AE39&amp;"_draw")*($X$7:$X$78))+SUMPRODUCT(($T$7:$T$78=AE39&amp;"_draw")*($X$7:$X$78))</f>
        <v/>
      </c>
      <c r="BD39" s="126">
        <f t="array" ref="BD39">SUMPRODUCT(($E$7:$E$78=AE39)*($X$7:$X$78)*($F$7:$F$78))+SUMPRODUCT(($H$7:$H$78=AE39)*($X$7:$X$78)*($G$7:$G$78))</f>
        <v/>
      </c>
      <c r="BE39" s="126">
        <f t="array" ref="BE39">SUMPRODUCT(($E$7:$E$78=AE39)*($X$7:$X$78)*($G$7:$G$78))+SUMPRODUCT(($H$7:$H$78=AE39)*($X$7:$X$78)*($F$7:$F$78))</f>
        <v/>
      </c>
      <c r="BF39" s="126">
        <f>BD39-BE39</f>
        <v/>
      </c>
      <c r="BG39" s="126">
        <f>BF39-MIN(BF38:BF41)</f>
        <v/>
      </c>
      <c r="BH39" s="126">
        <f>BB39/BB42*1000+BC39/BC42*100+BG39/BG42*10+BD39/BD42</f>
        <v/>
      </c>
      <c r="BI39" s="126">
        <f>BH39/BH42</f>
        <v/>
      </c>
      <c r="BK39" s="180" t="n"/>
      <c r="BL39" s="26">
        <f>IF(group_round_completed,VLOOKUP('3rd places'!H3,AK80:AS91,9,FALSE),"3rd Group A/E/H/I/J")</f>
        <v/>
      </c>
      <c r="BM39" s="62" t="n">
        <v>1</v>
      </c>
      <c r="BN39" s="64" t="n"/>
      <c r="BO39" s="27" t="n"/>
      <c r="BP39" s="112">
        <f>IF(BP38="","",BM39*1000+BN39*10+BO39)</f>
        <v/>
      </c>
      <c r="BQ39" s="112" t="n"/>
      <c r="BY39" s="21" t="n"/>
      <c r="BZ39" s="21" t="n"/>
      <c r="CA39" s="21" t="n"/>
      <c r="CB39" s="21" t="n"/>
      <c r="CC39" s="21" t="n"/>
      <c r="CD39" s="112" t="n"/>
      <c r="CE39" s="112" t="n"/>
      <c r="CF39" s="21" t="n"/>
      <c r="CG39" s="21" t="n"/>
      <c r="CH39" s="21" t="n"/>
      <c r="CI39" s="21" t="n"/>
      <c r="CJ39" s="21" t="n"/>
      <c r="CK39" s="114" t="n"/>
      <c r="CL39" s="112" t="n"/>
      <c r="CM39" s="21" t="n"/>
      <c r="CN39" s="21" t="n"/>
      <c r="CO39" s="21" t="n"/>
      <c r="CP39" s="21" t="n"/>
      <c r="CQ39" s="21" t="n"/>
    </row>
    <row r="40">
      <c r="A40" s="16" t="n">
        <v>34</v>
      </c>
      <c r="B40" s="17">
        <f t="array" ref="B40">INDEX(T,18+INT(MOD(R40-1,7)),lang)</f>
        <v/>
      </c>
      <c r="C40" s="18">
        <f t="array" ref="C40">INDEX(T,24+MONTH(R40),lang) &amp; " " &amp; DAY(R40) &amp; ", " &amp; YEAR(R40)</f>
        <v/>
      </c>
      <c r="D40" s="120">
        <f>TIME(HOUR(R40),MINUTE(R40),0)</f>
        <v/>
      </c>
      <c r="E40" s="78">
        <f>AE35</f>
        <v/>
      </c>
      <c r="F40" s="19" t="n">
        <v>3</v>
      </c>
      <c r="G40" s="20" t="n">
        <v>1</v>
      </c>
      <c r="H40" s="80">
        <f>AE33</f>
        <v/>
      </c>
      <c r="J40" s="33">
        <f>VLOOKUP(2,AD38:AN41,2,FALSE)</f>
        <v/>
      </c>
      <c r="K40" s="23">
        <f>L40+M40+N40</f>
        <v/>
      </c>
      <c r="L40" s="23">
        <f>VLOOKUP(2,AD38:AN41,3,FALSE)</f>
        <v/>
      </c>
      <c r="M40" s="23">
        <f>VLOOKUP(2,AD38:AN41,4,FALSE)</f>
        <v/>
      </c>
      <c r="N40" s="23">
        <f>VLOOKUP(2,AD38:AN41,5,FALSE)</f>
        <v/>
      </c>
      <c r="O40" s="23">
        <f>VLOOKUP(2,AD38:AN41,6,FALSE) &amp; " - " &amp; VLOOKUP(2,AD38:AN41,7,FALSE)</f>
        <v/>
      </c>
      <c r="P40" s="34">
        <f>L40*3+M40</f>
        <v/>
      </c>
      <c r="R40" s="123">
        <f>DATE(2026,6,20)+TIME(13,0,0)+gmt_delta</f>
        <v/>
      </c>
      <c r="S40" s="127">
        <f>IF(OR(F40="",G40=""),"",IF(F40&gt;G40,E40&amp;"_win",IF(F40&lt;G40,E40&amp;"_lose",E40&amp;"_draw")))</f>
        <v/>
      </c>
      <c r="T40" s="127">
        <f>IF(S40="","",IF(F40&lt;G40,H40&amp;"_win",IF(F40&gt;G40,H40&amp;"_lose",H40&amp;"_draw")))</f>
        <v/>
      </c>
      <c r="U40" s="123">
        <f>IF(S40="",0,IF(VLOOKUP(E40,$AE$8:$AN$77,10,FALSE)=VLOOKUP(H40,$AE$8:$AN$77,10,FALSE),1,0))</f>
        <v/>
      </c>
      <c r="V40" s="123">
        <f>U40*F40</f>
        <v/>
      </c>
      <c r="W40" s="123">
        <f>U40*G40</f>
        <v/>
      </c>
      <c r="X40" s="123">
        <f>IF(S40="",0,IF(VLOOKUP(E40,$AE$8:$AO$77,11,FALSE)=VLOOKUP(H40,$AE$8:$AO$77,11,FALSE),1,0))</f>
        <v/>
      </c>
      <c r="Y40" s="123">
        <f>X40*F40</f>
        <v/>
      </c>
      <c r="Z40" s="123">
        <f>X40*G40</f>
        <v/>
      </c>
      <c r="AA40" s="123">
        <f>IF(OR(E40=my_team,H40=my_team),1,IF(INT(MATCH(E40,$AE$8:$AE$78,0)/6)=$AA$6,1,0))</f>
        <v/>
      </c>
      <c r="AB40" s="123">
        <f>IF(OR(F40="",G40=""),"",IF(F40&gt;G40,1,IF(F40&lt;G40,-1,0)))</f>
        <v/>
      </c>
      <c r="AD40" s="123">
        <f>COUNTIF(AR38:AR41,CONCATENATE("&gt;=",AR40))</f>
        <v/>
      </c>
      <c r="AE40" s="124">
        <f>VLOOKUP("Sweden",T,lang,FALSE)</f>
        <v/>
      </c>
      <c r="AF40" s="123">
        <f>COUNTIF($S$7:$T$78,"=" &amp; AE40 &amp; "_win")</f>
        <v/>
      </c>
      <c r="AG40" s="123">
        <f>COUNTIF($S$7:$T$78,"=" &amp; AE40 &amp; "_draw")</f>
        <v/>
      </c>
      <c r="AH40" s="123">
        <f>COUNTIF($S$7:$T$78,"=" &amp; AE40 &amp; "_lose")</f>
        <v/>
      </c>
      <c r="AI40" s="123">
        <f>SUMIF($E$7:$E$78,$AE40,$F$7:$F$78) + SUMIF($H$7:$H$78,$AE40,$G$7:$G$78)</f>
        <v/>
      </c>
      <c r="AJ40" s="123">
        <f>SUMIF($E$7:$E$78,$AE40,$G$7:$G$78) + SUMIF($H$7:$H$78,$AE40,$F$7:$F$78)</f>
        <v/>
      </c>
      <c r="AL40" s="123">
        <f>AI40-AJ40</f>
        <v/>
      </c>
      <c r="AM40" s="123">
        <f>AL40-AL42</f>
        <v/>
      </c>
      <c r="AN40" s="123">
        <f>AF40*3+AG40</f>
        <v/>
      </c>
      <c r="AO40" s="123">
        <f>AN40/AN42*10+BA40</f>
        <v/>
      </c>
      <c r="AP40" s="123">
        <f>AO40*10000000+BI40*100+AM40/AM42*10+AI40/AI42*1++IF(AQ40=0,ROW(),AQ40)/2000000</f>
        <v/>
      </c>
      <c r="AQ40" s="126">
        <f>VLOOKUP(AE40,db_fifarank,2,FALSE)</f>
        <v/>
      </c>
      <c r="AR40" s="125">
        <f>AP40/AP42</f>
        <v/>
      </c>
      <c r="AT40" s="126">
        <f t="array" ref="AT40">SUMPRODUCT(($S$7:$S$78=AE40&amp;"_win")*($U$7:$U$78))+SUMPRODUCT(($T$7:$T$78=AE40&amp;"_win")*($U$7:$U$78))</f>
        <v/>
      </c>
      <c r="AU40" s="126">
        <f t="array" ref="AU40">SUMPRODUCT(($S$7:$S$78=AE40&amp;"_draw")*($U$7:$U$78))+SUMPRODUCT(($T$7:$T$78=AE40&amp;"_draw")*($U$7:$U$78))</f>
        <v/>
      </c>
      <c r="AV40" s="126">
        <f t="array" ref="AV40">SUMPRODUCT(($E$7:$E$78=AE40)*($U$7:$U$78)*($F$7:$F$78))+SUMPRODUCT(($H$7:$H$78=AE40)*($U$7:$U$78)*($G$7:$G$78))</f>
        <v/>
      </c>
      <c r="AW40" s="126">
        <f t="array" ref="AW40">SUMPRODUCT(($E$7:$E$78=AE40)*($U$7:$U$78)*($G$7:$G$78))+SUMPRODUCT(($H$7:$H$78=AE40)*($U$7:$U$78)*($F$7:$F$78))</f>
        <v/>
      </c>
      <c r="AX40" s="126">
        <f>AV40-AW40</f>
        <v/>
      </c>
      <c r="AY40" s="126">
        <f>AX40-MIN(AX38:AX41)</f>
        <v/>
      </c>
      <c r="AZ40" s="126">
        <f>AT40/AT42*1000+AU40/AU42*100+AY40/AY42*10+AV40/AV42</f>
        <v/>
      </c>
      <c r="BA40" s="126">
        <f>AZ40/AZ42</f>
        <v/>
      </c>
      <c r="BB40" s="126">
        <f t="array" ref="BB40">SUMPRODUCT(($S$7:$S$78=AE40&amp;"_win")*($X$7:$X$78))+SUMPRODUCT(($T$7:$T$78=AE40&amp;"_win")*($X$7:$X$78))</f>
        <v/>
      </c>
      <c r="BC40" s="126">
        <f t="array" ref="BC40">SUMPRODUCT(($S$7:$S$78=AE40&amp;"_draw")*($X$7:$X$78))+SUMPRODUCT(($T$7:$T$78=AE40&amp;"_draw")*($X$7:$X$78))</f>
        <v/>
      </c>
      <c r="BD40" s="126">
        <f t="array" ref="BD40">SUMPRODUCT(($E$7:$E$78=AE40)*($X$7:$X$78)*($F$7:$F$78))+SUMPRODUCT(($H$7:$H$78=AE40)*($X$7:$X$78)*($G$7:$G$78))</f>
        <v/>
      </c>
      <c r="BE40" s="126">
        <f t="array" ref="BE40">SUMPRODUCT(($E$7:$E$78=AE40)*($X$7:$X$78)*($G$7:$G$78))+SUMPRODUCT(($H$7:$H$78=AE40)*($X$7:$X$78)*($F$7:$F$78))</f>
        <v/>
      </c>
      <c r="BF40" s="126">
        <f>BD40-BE40</f>
        <v/>
      </c>
      <c r="BG40" s="126">
        <f>BF40-MIN(BF38:BF41)</f>
        <v/>
      </c>
      <c r="BH40" s="126">
        <f>BB40/BB42*1000+BC40/BC42*100+BG40/BG42*10+BD40/BD42</f>
        <v/>
      </c>
      <c r="BI40" s="126">
        <f>BH40/BH42</f>
        <v/>
      </c>
      <c r="CK40" s="114" t="n"/>
      <c r="CL40" s="112" t="n"/>
    </row>
    <row r="41">
      <c r="A41" s="16" t="n">
        <v>35</v>
      </c>
      <c r="B41" s="17">
        <f t="array" ref="B41">INDEX(T,18+INT(MOD(R41-1,7)),lang)</f>
        <v/>
      </c>
      <c r="C41" s="18">
        <f t="array" ref="C41">INDEX(T,24+MONTH(R41),lang) &amp; " " &amp; DAY(R41) &amp; ", " &amp; YEAR(R41)</f>
        <v/>
      </c>
      <c r="D41" s="120">
        <f>TIME(HOUR(R41),MINUTE(R41),0)</f>
        <v/>
      </c>
      <c r="E41" s="78">
        <f>AE38</f>
        <v/>
      </c>
      <c r="F41" s="19" t="n">
        <v>3</v>
      </c>
      <c r="G41" s="20" t="n">
        <v>1</v>
      </c>
      <c r="H41" s="80">
        <f>AE40</f>
        <v/>
      </c>
      <c r="J41" s="33">
        <f>VLOOKUP(3,AD38:AN41,2,FALSE)</f>
        <v/>
      </c>
      <c r="K41" s="23">
        <f>L41+M41+N41</f>
        <v/>
      </c>
      <c r="L41" s="23">
        <f>VLOOKUP(3,AD38:AN41,3,FALSE)</f>
        <v/>
      </c>
      <c r="M41" s="23">
        <f>VLOOKUP(3,AD38:AN41,4,FALSE)</f>
        <v/>
      </c>
      <c r="N41" s="23">
        <f>VLOOKUP(3,AD38:AN41,5,FALSE)</f>
        <v/>
      </c>
      <c r="O41" s="23">
        <f>VLOOKUP(3,AD38:AN41,6,FALSE) &amp; " - " &amp; VLOOKUP(3,AD38:AN41,7,FALSE)</f>
        <v/>
      </c>
      <c r="P41" s="34">
        <f>L41*3+M41</f>
        <v/>
      </c>
      <c r="R41" s="123">
        <f>DATE(2026,6,20)+TIME(6,0,0)+gmt_delta</f>
        <v/>
      </c>
      <c r="S41" s="127">
        <f>IF(OR(F41="",G41=""),"",IF(F41&gt;G41,E41&amp;"_win",IF(F41&lt;G41,E41&amp;"_lose",E41&amp;"_draw")))</f>
        <v/>
      </c>
      <c r="T41" s="127">
        <f>IF(S41="","",IF(F41&lt;G41,H41&amp;"_win",IF(F41&gt;G41,H41&amp;"_lose",H41&amp;"_draw")))</f>
        <v/>
      </c>
      <c r="U41" s="123">
        <f>IF(S41="",0,IF(VLOOKUP(E41,$AE$8:$AN$77,10,FALSE)=VLOOKUP(H41,$AE$8:$AN$77,10,FALSE),1,0))</f>
        <v/>
      </c>
      <c r="V41" s="123">
        <f>U41*F41</f>
        <v/>
      </c>
      <c r="W41" s="123">
        <f>U41*G41</f>
        <v/>
      </c>
      <c r="X41" s="123">
        <f>IF(S41="",0,IF(VLOOKUP(E41,$AE$8:$AO$77,11,FALSE)=VLOOKUP(H41,$AE$8:$AO$77,11,FALSE),1,0))</f>
        <v/>
      </c>
      <c r="Y41" s="123">
        <f>X41*F41</f>
        <v/>
      </c>
      <c r="Z41" s="123">
        <f>X41*G41</f>
        <v/>
      </c>
      <c r="AA41" s="123">
        <f>IF(OR(E41=my_team,H41=my_team),1,IF(INT(MATCH(E41,$AE$8:$AE$78,0)/6)=$AA$6,1,0))</f>
        <v/>
      </c>
      <c r="AB41" s="123">
        <f>IF(OR(F41="",G41=""),"",IF(F41&gt;G41,1,IF(F41&lt;G41,-1,0)))</f>
        <v/>
      </c>
      <c r="AD41" s="123">
        <f>COUNTIF(AR38:AR41,CONCATENATE("&gt;=",AR41))</f>
        <v/>
      </c>
      <c r="AE41" s="124">
        <f>VLOOKUP("Tunisia",T,lang,FALSE)</f>
        <v/>
      </c>
      <c r="AF41" s="123">
        <f>COUNTIF($S$7:$T$78,"=" &amp; AE41 &amp; "_win")</f>
        <v/>
      </c>
      <c r="AG41" s="123">
        <f>COUNTIF($S$7:$T$78,"=" &amp; AE41 &amp; "_draw")</f>
        <v/>
      </c>
      <c r="AH41" s="123">
        <f>COUNTIF($S$7:$T$78,"=" &amp; AE41 &amp; "_lose")</f>
        <v/>
      </c>
      <c r="AI41" s="123">
        <f>SUMIF($E$7:$E$78,$AE41,$F$7:$F$78) + SUMIF($H$7:$H$78,$AE41,$G$7:$G$78)</f>
        <v/>
      </c>
      <c r="AJ41" s="123">
        <f>SUMIF($E$7:$E$78,$AE41,$G$7:$G$78) + SUMIF($H$7:$H$78,$AE41,$F$7:$F$78)</f>
        <v/>
      </c>
      <c r="AL41" s="123">
        <f>AI41-AJ41</f>
        <v/>
      </c>
      <c r="AM41" s="123">
        <f>AL41-AL42</f>
        <v/>
      </c>
      <c r="AN41" s="123">
        <f>AF41*3+AG41</f>
        <v/>
      </c>
      <c r="AO41" s="123">
        <f>AN41/AN42*10+BA41</f>
        <v/>
      </c>
      <c r="AP41" s="123">
        <f>AO41*10000000+BI41*100+AM41/AM42*10+AI41/AI42*1++IF(AQ41=0,ROW(),AQ41)/2000000</f>
        <v/>
      </c>
      <c r="AQ41" s="126">
        <f>VLOOKUP(AE41,db_fifarank,2,FALSE)</f>
        <v/>
      </c>
      <c r="AR41" s="125">
        <f>AP41/AP42</f>
        <v/>
      </c>
      <c r="AT41" s="126">
        <f t="array" ref="AT41">SUMPRODUCT(($S$7:$S$78=AE41&amp;"_win")*($U$7:$U$78))+SUMPRODUCT(($T$7:$T$78=AE41&amp;"_win")*($U$7:$U$78))</f>
        <v/>
      </c>
      <c r="AU41" s="126">
        <f t="array" ref="AU41">SUMPRODUCT(($S$7:$S$78=AE41&amp;"_draw")*($U$7:$U$78))+SUMPRODUCT(($T$7:$T$78=AE41&amp;"_draw")*($U$7:$U$78))</f>
        <v/>
      </c>
      <c r="AV41" s="126">
        <f t="array" ref="AV41">SUMPRODUCT(($E$7:$E$78=AE41)*($U$7:$U$78)*($F$7:$F$78))+SUMPRODUCT(($H$7:$H$78=AE41)*($U$7:$U$78)*($G$7:$G$78))</f>
        <v/>
      </c>
      <c r="AW41" s="126">
        <f t="array" ref="AW41">SUMPRODUCT(($E$7:$E$78=AE41)*($U$7:$U$78)*($G$7:$G$78))+SUMPRODUCT(($H$7:$H$78=AE41)*($U$7:$U$78)*($F$7:$F$78))</f>
        <v/>
      </c>
      <c r="AX41" s="126">
        <f>AV41-AW41</f>
        <v/>
      </c>
      <c r="AY41" s="126">
        <f>AX41-MIN(AX38:AX41)</f>
        <v/>
      </c>
      <c r="AZ41" s="126">
        <f>AT41/AT42*1000+AU41/AU42*100+AY41/AY42*10+AV41/AV42</f>
        <v/>
      </c>
      <c r="BA41" s="126">
        <f>AZ41/AZ42</f>
        <v/>
      </c>
      <c r="BB41" s="126">
        <f t="array" ref="BB41">SUMPRODUCT(($S$7:$S$78=AE41&amp;"_win")*($X$7:$X$78))+SUMPRODUCT(($T$7:$T$78=AE41&amp;"_win")*($X$7:$X$78))</f>
        <v/>
      </c>
      <c r="BC41" s="126">
        <f t="array" ref="BC41">SUMPRODUCT(($S$7:$S$78=AE41&amp;"_draw")*($X$7:$X$78))+SUMPRODUCT(($T$7:$T$78=AE41&amp;"_draw")*($X$7:$X$78))</f>
        <v/>
      </c>
      <c r="BD41" s="126">
        <f t="array" ref="BD41">SUMPRODUCT(($E$7:$E$78=AE41)*($X$7:$X$78)*($F$7:$F$78))+SUMPRODUCT(($H$7:$H$78=AE41)*($X$7:$X$78)*($G$7:$G$78))</f>
        <v/>
      </c>
      <c r="BE41" s="126">
        <f t="array" ref="BE41">SUMPRODUCT(($E$7:$E$78=AE41)*($X$7:$X$78)*($G$7:$G$78))+SUMPRODUCT(($H$7:$H$78=AE41)*($X$7:$X$78)*($F$7:$F$78))</f>
        <v/>
      </c>
      <c r="BF41" s="126">
        <f>BD41-BE41</f>
        <v/>
      </c>
      <c r="BG41" s="126">
        <f>BF41-MIN(BF38:BF41)</f>
        <v/>
      </c>
      <c r="BH41" s="126">
        <f>BB41/BB42*1000+BC41/BC42*100+BG41/BG42*10+BD41/BD42</f>
        <v/>
      </c>
      <c r="BI41" s="126">
        <f>BH41/BH42</f>
        <v/>
      </c>
      <c r="BK41" s="21">
        <f t="array" ref="BK41">INDEX(T,24+MONTH(BP41),lang) &amp; " " &amp; DAY(BP41) &amp; ", " &amp; YEAR(BP41) &amp; "   " &amp; (IF(HOUR(BP41)&lt;10,0,"")&amp;HOUR(BP41)) &amp; ":" &amp;  (IF(MINUTE(BP41)&lt;10,0,"")&amp;MINUTE(BP41))</f>
        <v/>
      </c>
      <c r="BL41" s="21" t="n"/>
      <c r="BM41" s="21" t="n"/>
      <c r="BN41" s="21" t="n"/>
      <c r="BO41" s="22" t="n"/>
      <c r="BP41" s="112">
        <f>DATE(2026,6,29)+TIME(6,0,0)+gmt_delta</f>
        <v/>
      </c>
      <c r="BQ41" s="112" t="n"/>
      <c r="BR41" s="21" t="n"/>
      <c r="BS41" s="21" t="n"/>
      <c r="BT41" s="21" t="n"/>
      <c r="BU41" s="21" t="n"/>
      <c r="BV41" s="21" t="n"/>
      <c r="BW41" s="112" t="n"/>
      <c r="CK41" s="114" t="n"/>
      <c r="CL41" s="112" t="n"/>
    </row>
    <row r="42">
      <c r="A42" s="16" t="n">
        <v>36</v>
      </c>
      <c r="B42" s="17">
        <f t="array" ref="B42">INDEX(T,18+INT(MOD(R42-1,7)),lang)</f>
        <v/>
      </c>
      <c r="C42" s="18">
        <f t="array" ref="C42">INDEX(T,24+MONTH(R42),lang) &amp; " " &amp; DAY(R42) &amp; ", " &amp; YEAR(R42)</f>
        <v/>
      </c>
      <c r="D42" s="120">
        <f>TIME(HOUR(R42),MINUTE(R42),0)</f>
        <v/>
      </c>
      <c r="E42" s="78">
        <f>AE41</f>
        <v/>
      </c>
      <c r="F42" s="19" t="n">
        <v>1</v>
      </c>
      <c r="G42" s="20" t="n">
        <v>3</v>
      </c>
      <c r="H42" s="80">
        <f>AE39</f>
        <v/>
      </c>
      <c r="J42" s="35">
        <f>VLOOKUP(4,AD38:AN41,2,FALSE)</f>
        <v/>
      </c>
      <c r="K42" s="36">
        <f>L42+M42+N42</f>
        <v/>
      </c>
      <c r="L42" s="36">
        <f>VLOOKUP(4,AD38:AN41,3,FALSE)</f>
        <v/>
      </c>
      <c r="M42" s="36">
        <f>VLOOKUP(4,AD38:AN41,4,FALSE)</f>
        <v/>
      </c>
      <c r="N42" s="36">
        <f>VLOOKUP(4,AD38:AN41,5,FALSE)</f>
        <v/>
      </c>
      <c r="O42" s="36">
        <f>VLOOKUP(4,AD38:AN41,6,FALSE) &amp; " - " &amp; VLOOKUP(4,AD38:AN41,7,FALSE)</f>
        <v/>
      </c>
      <c r="P42" s="37">
        <f>L42*3+M42</f>
        <v/>
      </c>
      <c r="R42" s="123">
        <f>DATE(2026,6,20)+TIME(17,0,0)+gmt_delta</f>
        <v/>
      </c>
      <c r="S42" s="127">
        <f>IF(OR(F42="",G42=""),"",IF(F42&gt;G42,E42&amp;"_win",IF(F42&lt;G42,E42&amp;"_lose",E42&amp;"_draw")))</f>
        <v/>
      </c>
      <c r="T42" s="127">
        <f>IF(S42="","",IF(F42&lt;G42,H42&amp;"_win",IF(F42&gt;G42,H42&amp;"_lose",H42&amp;"_draw")))</f>
        <v/>
      </c>
      <c r="U42" s="123">
        <f>IF(S42="",0,IF(VLOOKUP(E42,$AE$8:$AN$77,10,FALSE)=VLOOKUP(H42,$AE$8:$AN$77,10,FALSE),1,0))</f>
        <v/>
      </c>
      <c r="V42" s="123">
        <f>U42*F42</f>
        <v/>
      </c>
      <c r="W42" s="123">
        <f>U42*G42</f>
        <v/>
      </c>
      <c r="X42" s="123">
        <f>IF(S42="",0,IF(VLOOKUP(E42,$AE$8:$AO$77,11,FALSE)=VLOOKUP(H42,$AE$8:$AO$77,11,FALSE),1,0))</f>
        <v/>
      </c>
      <c r="Y42" s="123">
        <f>X42*F42</f>
        <v/>
      </c>
      <c r="Z42" s="123">
        <f>X42*G42</f>
        <v/>
      </c>
      <c r="AA42" s="123">
        <f>IF(OR(E42=my_team,H42=my_team),1,IF(INT(MATCH(E42,$AE$8:$AE$78,0)/6)=$AA$6,1,0))</f>
        <v/>
      </c>
      <c r="AB42" s="123">
        <f>IF(OR(F42="",G42=""),"",IF(F42&gt;G42,1,IF(F42&lt;G42,-1,0)))</f>
        <v/>
      </c>
      <c r="AF42" s="123">
        <f>MAX(AF38:AF41)-MIN(AF38:AF41)+1</f>
        <v/>
      </c>
      <c r="AG42" s="123">
        <f>MAX(AG38:AG41)-MIN(AG38:AG41)+1</f>
        <v/>
      </c>
      <c r="AH42" s="123">
        <f>MAX(AH38:AH41)-MIN(AH38:AH41)+1</f>
        <v/>
      </c>
      <c r="AI42" s="123">
        <f>MAX(AI38:AI41)+1</f>
        <v/>
      </c>
      <c r="AL42" s="123">
        <f>MIN(AL38:AL41)</f>
        <v/>
      </c>
      <c r="AM42" s="123">
        <f>MAX(AM38:AM41)+1</f>
        <v/>
      </c>
      <c r="AN42" s="123">
        <f>MAX(AN38:AN41)+1</f>
        <v/>
      </c>
      <c r="AO42" s="123">
        <f>MAX(AO38:AO41)+1</f>
        <v/>
      </c>
      <c r="AP42" s="123">
        <f>MAX(AP38:AP41)+1</f>
        <v/>
      </c>
      <c r="AT42" s="126">
        <f>MAX(AT38:AT41)-MIN(AT38:AT41)+1</f>
        <v/>
      </c>
      <c r="AU42" s="126">
        <f>MAX(AU38:AU41)-MIN(AU38:AU41)+1</f>
        <v/>
      </c>
      <c r="AV42" s="126">
        <f>MAX(AV38:AV41)-MIN(AV38:AV41)+1</f>
        <v/>
      </c>
      <c r="AW42" s="126">
        <f>MAX(AW38:AW41)-MIN(AW38:AW41)+1</f>
        <v/>
      </c>
      <c r="AY42" s="126">
        <f>MAX(AY38:AY41)-MIN(AY38:AY41)+1</f>
        <v/>
      </c>
      <c r="AZ42" s="126">
        <f>MAX(AZ38:AZ41)+1</f>
        <v/>
      </c>
      <c r="BB42" s="126">
        <f>MAX(BB38:BB41)-MIN(BB38:BB41)+1</f>
        <v/>
      </c>
      <c r="BC42" s="126">
        <f>MAX(BC38:BC41)-MIN(BC38:BC41)+1</f>
        <v/>
      </c>
      <c r="BD42" s="126">
        <f>MAX(BD38:BD41)-MIN(BD38:BD41)+1</f>
        <v/>
      </c>
      <c r="BE42" s="126">
        <f>MAX(BE38:BE41)-MIN(BE38:BE41)+1</f>
        <v/>
      </c>
      <c r="BG42" s="126">
        <f>MAX(BG38:BG41)-MIN(BG38:BG41)+1</f>
        <v/>
      </c>
      <c r="BH42" s="126">
        <f>MAX(BH38:BH41)+1</f>
        <v/>
      </c>
      <c r="BK42" s="179" t="n">
        <v>76</v>
      </c>
      <c r="BL42" s="24">
        <f>AS20</f>
        <v/>
      </c>
      <c r="BM42" s="61" t="n">
        <v>2</v>
      </c>
      <c r="BN42" s="63" t="n"/>
      <c r="BO42" s="25" t="n"/>
      <c r="BP42" s="112">
        <f>IF(OR(BM42="",BM43="",AND(BN42="",BN43&lt;&gt;""),AND(BN43="",BN42&lt;&gt;""),AND(BO42="",BO43&lt;&gt;""),AND(BO43="",BO42&lt;&gt;"")),"",BM42*1000+BN42*10+BO42)</f>
        <v/>
      </c>
      <c r="BQ42" s="112" t="n"/>
      <c r="BR42" s="21" t="n"/>
      <c r="BS42" s="21" t="n"/>
      <c r="BT42" s="21" t="n"/>
      <c r="BU42" s="21" t="n"/>
      <c r="BV42" s="21" t="n"/>
      <c r="BW42" s="112" t="n"/>
      <c r="CK42" s="114" t="n"/>
    </row>
    <row r="43">
      <c r="A43" s="16" t="n">
        <v>37</v>
      </c>
      <c r="B43" s="17">
        <f t="array" ref="B43">INDEX(T,18+INT(MOD(R43-1,7)),lang)</f>
        <v/>
      </c>
      <c r="C43" s="18">
        <f t="array" ref="C43">INDEX(T,24+MONTH(R43),lang) &amp; " " &amp; DAY(R43) &amp; ", " &amp; YEAR(R43)</f>
        <v/>
      </c>
      <c r="D43" s="120">
        <f>TIME(HOUR(R43),MINUTE(R43),0)</f>
        <v/>
      </c>
      <c r="E43" s="78">
        <f>AE53</f>
        <v/>
      </c>
      <c r="F43" s="19" t="n">
        <v>3</v>
      </c>
      <c r="G43" s="20" t="n">
        <v>1</v>
      </c>
      <c r="H43" s="80">
        <f>AE51</f>
        <v/>
      </c>
      <c r="R43" s="123">
        <f>DATE(2026,6,21)+TIME(11,0,0)+gmt_delta</f>
        <v/>
      </c>
      <c r="S43" s="127">
        <f>IF(OR(F43="",G43=""),"",IF(F43&gt;G43,E43&amp;"_win",IF(F43&lt;G43,E43&amp;"_lose",E43&amp;"_draw")))</f>
        <v/>
      </c>
      <c r="T43" s="127">
        <f>IF(S43="","",IF(F43&lt;G43,H43&amp;"_win",IF(F43&gt;G43,H43&amp;"_lose",H43&amp;"_draw")))</f>
        <v/>
      </c>
      <c r="U43" s="123">
        <f>IF(S43="",0,IF(VLOOKUP(E43,$AE$8:$AN$77,10,FALSE)=VLOOKUP(H43,$AE$8:$AN$77,10,FALSE),1,0))</f>
        <v/>
      </c>
      <c r="V43" s="123">
        <f>U43*F43</f>
        <v/>
      </c>
      <c r="W43" s="123">
        <f>U43*G43</f>
        <v/>
      </c>
      <c r="X43" s="123">
        <f>IF(S43="",0,IF(VLOOKUP(E43,$AE$8:$AO$77,11,FALSE)=VLOOKUP(H43,$AE$8:$AO$77,11,FALSE),1,0))</f>
        <v/>
      </c>
      <c r="Y43" s="123">
        <f>X43*F43</f>
        <v/>
      </c>
      <c r="Z43" s="123">
        <f>X43*G43</f>
        <v/>
      </c>
      <c r="AA43" s="123">
        <f>IF(OR(E43=my_team,H43=my_team),1,IF(INT(MATCH(E43,$AE$8:$AE$78,0)/6)=$AA$6,1,0))</f>
        <v/>
      </c>
      <c r="AB43" s="123">
        <f>IF(OR(F43="",G43=""),"",IF(F43&gt;G43,1,IF(F43&lt;G43,-1,0)))</f>
        <v/>
      </c>
      <c r="BK43" s="180" t="n"/>
      <c r="BL43" s="26">
        <f>AS39</f>
        <v/>
      </c>
      <c r="BM43" s="62" t="n">
        <v>0</v>
      </c>
      <c r="BN43" s="64" t="n"/>
      <c r="BO43" s="27" t="n"/>
      <c r="BP43" s="113">
        <f>IF(BP42="","",BM43*1000+BN43*10+BO43)</f>
        <v/>
      </c>
      <c r="BQ43" s="112" t="n"/>
      <c r="BR43" s="21">
        <f t="array" ref="BR43">INDEX(T,24+MONTH(BW43),lang) &amp; " " &amp; DAY(BW43) &amp; ", " &amp; YEAR(BW43) &amp; "   " &amp; (IF(HOUR(BW43)&lt;10,0,"")&amp;HOUR(BW43)) &amp; ":" &amp;  (IF(MINUTE(BW43)&lt;10,0,"")&amp;MINUTE(BW43))</f>
        <v/>
      </c>
      <c r="BS43" s="21" t="n"/>
      <c r="BT43" s="21" t="n"/>
      <c r="BU43" s="21" t="n"/>
      <c r="BV43" s="28" t="n"/>
      <c r="BW43" s="112">
        <f>DATE(2026,7,5)+TIME(9,0,0)+gmt_delta</f>
        <v/>
      </c>
      <c r="CK43" s="114" t="n"/>
    </row>
    <row r="44" ht="15" customHeight="1">
      <c r="A44" s="16" t="n">
        <v>38</v>
      </c>
      <c r="B44" s="17">
        <f t="array" ref="B44">INDEX(T,18+INT(MOD(R44-1,7)),lang)</f>
        <v/>
      </c>
      <c r="C44" s="18">
        <f t="array" ref="C44">INDEX(T,24+MONTH(R44),lang) &amp; " " &amp; DAY(R44) &amp; ", " &amp; YEAR(R44)</f>
        <v/>
      </c>
      <c r="D44" s="120">
        <f>TIME(HOUR(R44),MINUTE(R44),0)</f>
        <v/>
      </c>
      <c r="E44" s="78">
        <f>AE50</f>
        <v/>
      </c>
      <c r="F44" s="19" t="n">
        <v>3</v>
      </c>
      <c r="G44" s="20" t="n">
        <v>0</v>
      </c>
      <c r="H44" s="80">
        <f>AE52</f>
        <v/>
      </c>
      <c r="J44" s="38">
        <f t="array" ref="J44">INDEX(T,9,lang) &amp; " " &amp; "G"</f>
        <v/>
      </c>
      <c r="K44" s="94">
        <f t="array" ref="K44">INDEX(T,10,lang)</f>
        <v/>
      </c>
      <c r="L44" s="94">
        <f t="array" ref="L44">INDEX(T,11,lang)</f>
        <v/>
      </c>
      <c r="M44" s="94">
        <f t="array" ref="M44">INDEX(T,12,lang)</f>
        <v/>
      </c>
      <c r="N44" s="94">
        <f t="array" ref="N44">INDEX(T,13,lang)</f>
        <v/>
      </c>
      <c r="O44" s="94">
        <f t="array" ref="O44">INDEX(T,14,lang)</f>
        <v/>
      </c>
      <c r="P44" s="95">
        <f t="array" ref="P44">INDEX(T,15,lang)</f>
        <v/>
      </c>
      <c r="R44" s="123">
        <f>DATE(2026,6,21)+TIME(5,0,0)+gmt_delta</f>
        <v/>
      </c>
      <c r="S44" s="127">
        <f>IF(OR(F44="",G44=""),"",IF(F44&gt;G44,E44&amp;"_win",IF(F44&lt;G44,E44&amp;"_lose",E44&amp;"_draw")))</f>
        <v/>
      </c>
      <c r="T44" s="127">
        <f>IF(S44="","",IF(F44&lt;G44,H44&amp;"_win",IF(F44&gt;G44,H44&amp;"_lose",H44&amp;"_draw")))</f>
        <v/>
      </c>
      <c r="U44" s="123">
        <f>IF(S44="",0,IF(VLOOKUP(E44,$AE$8:$AN$77,10,FALSE)=VLOOKUP(H44,$AE$8:$AN$77,10,FALSE),1,0))</f>
        <v/>
      </c>
      <c r="V44" s="123">
        <f>U44*F44</f>
        <v/>
      </c>
      <c r="W44" s="123">
        <f>U44*G44</f>
        <v/>
      </c>
      <c r="X44" s="123">
        <f>IF(S44="",0,IF(VLOOKUP(E44,$AE$8:$AO$77,11,FALSE)=VLOOKUP(H44,$AE$8:$AO$77,11,FALSE),1,0))</f>
        <v/>
      </c>
      <c r="Y44" s="123">
        <f>X44*F44</f>
        <v/>
      </c>
      <c r="Z44" s="123">
        <f>X44*G44</f>
        <v/>
      </c>
      <c r="AA44" s="123">
        <f>IF(OR(E44=my_team,H44=my_team),1,IF(INT(MATCH(E44,$AE$8:$AE$78,0)/6)=$AA$6,1,0))</f>
        <v/>
      </c>
      <c r="AB44" s="123">
        <f>IF(OR(F44="",G44=""),"",IF(F44&gt;G44,1,IF(F44&lt;G44,-1,0)))</f>
        <v/>
      </c>
      <c r="AD44" s="123">
        <f>COUNTIF(AR44:AR47,CONCATENATE("&gt;=",AR44))</f>
        <v/>
      </c>
      <c r="AE44" s="124">
        <f>VLOOKUP("Belgium",T,lang,FALSE)</f>
        <v/>
      </c>
      <c r="AF44" s="123">
        <f>COUNTIF($S$7:$T$78,"=" &amp; AE44 &amp; "_win")</f>
        <v/>
      </c>
      <c r="AG44" s="123">
        <f>COUNTIF($S$7:$T$78,"=" &amp; AE44 &amp; "_draw")</f>
        <v/>
      </c>
      <c r="AH44" s="123">
        <f>COUNTIF($S$7:$T$78,"=" &amp; AE44 &amp; "_lose")</f>
        <v/>
      </c>
      <c r="AI44" s="123">
        <f>SUMIF($E$7:$E$78,$AE44,$F$7:$F$78) + SUMIF($H$7:$H$78,$AE44,$G$7:$G$78)</f>
        <v/>
      </c>
      <c r="AJ44" s="123">
        <f>SUMIF($E$7:$E$78,$AE44,$G$7:$G$78) + SUMIF($H$7:$H$78,$AE44,$F$7:$F$78)</f>
        <v/>
      </c>
      <c r="AL44" s="123">
        <f>AI44-AJ44</f>
        <v/>
      </c>
      <c r="AM44" s="123">
        <f>AL44-AL48</f>
        <v/>
      </c>
      <c r="AN44" s="123">
        <f>AF44*3+AG44</f>
        <v/>
      </c>
      <c r="AO44" s="123">
        <f>AN44/AN48*10+BA44</f>
        <v/>
      </c>
      <c r="AP44" s="123">
        <f>AO44*10000000+BI44*100+AM44/AM48*10+AI44/AI48*1++IF(AQ44=0,ROW(),AQ44)/2000000</f>
        <v/>
      </c>
      <c r="AQ44" s="126">
        <f>VLOOKUP(AE44,db_fifarank,2,FALSE)</f>
        <v/>
      </c>
      <c r="AR44" s="125">
        <f>AP44/AP48</f>
        <v/>
      </c>
      <c r="AS44" s="125">
        <f>IF(SUM(AF44:AH47)=12,J45,"1G")</f>
        <v/>
      </c>
      <c r="AT44" s="126">
        <f t="array" ref="AT44">SUMPRODUCT(($S$7:$S$78=AE44&amp;"_win")*($U$7:$U$78))+SUMPRODUCT(($T$7:$T$78=AE44&amp;"_win")*($U$7:$U$78))</f>
        <v/>
      </c>
      <c r="AU44" s="126">
        <f t="array" ref="AU44">SUMPRODUCT(($S$7:$S$78=AE44&amp;"_draw")*($U$7:$U$78))+SUMPRODUCT(($T$7:$T$78=AE44&amp;"_draw")*($U$7:$U$78))</f>
        <v/>
      </c>
      <c r="AV44" s="126">
        <f t="array" ref="AV44">SUMPRODUCT(($E$7:$E$78=AE44)*($U$7:$U$78)*($F$7:$F$78))+SUMPRODUCT(($H$7:$H$78=AE44)*($U$7:$U$78)*($G$7:$G$78))</f>
        <v/>
      </c>
      <c r="AW44" s="126">
        <f t="array" ref="AW44">SUMPRODUCT(($E$7:$E$78=AE44)*($U$7:$U$78)*($G$7:$G$78))+SUMPRODUCT(($H$7:$H$78=AE44)*($U$7:$U$78)*($F$7:$F$78))</f>
        <v/>
      </c>
      <c r="AX44" s="126">
        <f>AV44-AW44</f>
        <v/>
      </c>
      <c r="AY44" s="126">
        <f>AX44-MIN(AX44:AX47)</f>
        <v/>
      </c>
      <c r="AZ44" s="126">
        <f>AT44/AT48*1000+AU44/AU48*100+AY44/AY48*10+AV44/AV48</f>
        <v/>
      </c>
      <c r="BA44" s="126">
        <f>AZ44/AZ48</f>
        <v/>
      </c>
      <c r="BB44" s="126">
        <f t="array" ref="BB44">SUMPRODUCT(($S$7:$S$78=AE44&amp;"_win")*($X$7:$X$78))+SUMPRODUCT(($T$7:$T$78=AE44&amp;"_win")*($X$7:$X$78))</f>
        <v/>
      </c>
      <c r="BC44" s="126">
        <f t="array" ref="BC44">SUMPRODUCT(($S$7:$S$78=AE44&amp;"_draw")*($X$7:$X$78))+SUMPRODUCT(($T$7:$T$78=AE44&amp;"_draw")*($X$7:$X$78))</f>
        <v/>
      </c>
      <c r="BD44" s="126">
        <f t="array" ref="BD44">SUMPRODUCT(($E$7:$E$78=AE44)*($X$7:$X$78)*($F$7:$F$78))+SUMPRODUCT(($H$7:$H$78=AE44)*($X$7:$X$78)*($G$7:$G$78))</f>
        <v/>
      </c>
      <c r="BE44" s="126">
        <f t="array" ref="BE44">SUMPRODUCT(($E$7:$E$78=AE44)*($X$7:$X$78)*($G$7:$G$78))+SUMPRODUCT(($H$7:$H$78=AE44)*($X$7:$X$78)*($F$7:$F$78))</f>
        <v/>
      </c>
      <c r="BF44" s="126">
        <f>BD44-BE44</f>
        <v/>
      </c>
      <c r="BG44" s="126">
        <f>BF44-MIN(BF44:BF47)</f>
        <v/>
      </c>
      <c r="BH44" s="126">
        <f>BB44/BB48*1000+BC44/BC48*100+BG44/BG48*10+BD44/BD48</f>
        <v/>
      </c>
      <c r="BI44" s="126">
        <f>BH44/BH48</f>
        <v/>
      </c>
      <c r="BK44" s="21" t="n"/>
      <c r="BL44" s="21" t="n"/>
      <c r="BM44" s="21" t="n"/>
      <c r="BN44" s="21" t="n"/>
      <c r="BO44" s="21" t="n"/>
      <c r="BP44" s="114" t="n"/>
      <c r="BQ44" s="112" t="n"/>
      <c r="BR44" s="179" t="n">
        <v>91</v>
      </c>
      <c r="BS44" s="24">
        <f>IF(BP42&gt;BP43,BL42,IF(BP42&lt;BP43,BL43,""))</f>
        <v/>
      </c>
      <c r="BT44" s="61" t="n">
        <v>1</v>
      </c>
      <c r="BU44" s="63" t="n"/>
      <c r="BV44" s="25" t="n">
        <v>3</v>
      </c>
      <c r="BW44" s="112">
        <f>IF(OR(BT44="",BT45="",AND(BU44="",BU45&lt;&gt;""),AND(BU45="",BU44&lt;&gt;""),AND(BV44="",BV45&lt;&gt;""),AND(BV45="",BV44&lt;&gt;"")),"",BT44*1000+BU44*10+BV44)</f>
        <v/>
      </c>
      <c r="CK44" s="114" t="n"/>
      <c r="CM44" s="173">
        <f t="array" ref="CM44">INDEX(T,7,lang)</f>
        <v/>
      </c>
      <c r="CN44" s="174" t="n"/>
      <c r="CO44" s="174" t="n"/>
      <c r="CP44" s="174" t="n"/>
      <c r="CQ44" s="175" t="n"/>
    </row>
    <row r="45" ht="15" customHeight="1">
      <c r="A45" s="16" t="n">
        <v>39</v>
      </c>
      <c r="B45" s="17">
        <f t="array" ref="B45">INDEX(T,18+INT(MOD(R45-1,7)),lang)</f>
        <v/>
      </c>
      <c r="C45" s="18">
        <f t="array" ref="C45">INDEX(T,24+MONTH(R45),lang) &amp; " " &amp; DAY(R45) &amp; ", " &amp; YEAR(R45)</f>
        <v/>
      </c>
      <c r="D45" s="120">
        <f>TIME(HOUR(R45),MINUTE(R45),0)</f>
        <v/>
      </c>
      <c r="E45" s="78">
        <f>AE44</f>
        <v/>
      </c>
      <c r="F45" s="19" t="n">
        <v>2</v>
      </c>
      <c r="G45" s="20" t="n">
        <v>0</v>
      </c>
      <c r="H45" s="80">
        <f>AE46</f>
        <v/>
      </c>
      <c r="J45" s="30">
        <f>VLOOKUP(1,AD44:AN47,2,FALSE)</f>
        <v/>
      </c>
      <c r="K45" s="31">
        <f>L45+M45+N45</f>
        <v/>
      </c>
      <c r="L45" s="31">
        <f>VLOOKUP(1,AD44:AN47,3,FALSE)</f>
        <v/>
      </c>
      <c r="M45" s="31">
        <f>VLOOKUP(1,AD44:AN47,4,FALSE)</f>
        <v/>
      </c>
      <c r="N45" s="31">
        <f>VLOOKUP(1,AD44:AN47,5,FALSE)</f>
        <v/>
      </c>
      <c r="O45" s="31">
        <f>VLOOKUP(1,AD44:AN47,6,FALSE) &amp; " - " &amp; VLOOKUP(1,AD44:AN47,7,FALSE)</f>
        <v/>
      </c>
      <c r="P45" s="32">
        <f>L45*3+M45</f>
        <v/>
      </c>
      <c r="R45" s="123">
        <f>DATE(2026,6,21)+TIME(8,0,0)+gmt_delta</f>
        <v/>
      </c>
      <c r="S45" s="127">
        <f>IF(OR(F45="",G45=""),"",IF(F45&gt;G45,E45&amp;"_win",IF(F45&lt;G45,E45&amp;"_lose",E45&amp;"_draw")))</f>
        <v/>
      </c>
      <c r="T45" s="127">
        <f>IF(S45="","",IF(F45&lt;G45,H45&amp;"_win",IF(F45&gt;G45,H45&amp;"_lose",H45&amp;"_draw")))</f>
        <v/>
      </c>
      <c r="U45" s="123">
        <f>IF(S45="",0,IF(VLOOKUP(E45,$AE$8:$AN$77,10,FALSE)=VLOOKUP(H45,$AE$8:$AN$77,10,FALSE),1,0))</f>
        <v/>
      </c>
      <c r="V45" s="123">
        <f>U45*F45</f>
        <v/>
      </c>
      <c r="W45" s="123">
        <f>U45*G45</f>
        <v/>
      </c>
      <c r="X45" s="123">
        <f>IF(S45="",0,IF(VLOOKUP(E45,$AE$8:$AO$77,11,FALSE)=VLOOKUP(H45,$AE$8:$AO$77,11,FALSE),1,0))</f>
        <v/>
      </c>
      <c r="Y45" s="123">
        <f>X45*F45</f>
        <v/>
      </c>
      <c r="Z45" s="123">
        <f>X45*G45</f>
        <v/>
      </c>
      <c r="AA45" s="123">
        <f>IF(OR(E45=my_team,H45=my_team),1,IF(INT(MATCH(E45,$AE$8:$AE$78,0)/6)=$AA$6,1,0))</f>
        <v/>
      </c>
      <c r="AB45" s="123">
        <f>IF(OR(F45="",G45=""),"",IF(F45&gt;G45,1,IF(F45&lt;G45,-1,0)))</f>
        <v/>
      </c>
      <c r="AD45" s="123">
        <f>COUNTIF(AR44:AR47,CONCATENATE("&gt;=",AR45))</f>
        <v/>
      </c>
      <c r="AE45" s="124">
        <f>VLOOKUP("Egypt",T,lang,FALSE)</f>
        <v/>
      </c>
      <c r="AF45" s="123">
        <f>COUNTIF($S$7:$T$78,"=" &amp; AE45 &amp; "_win")</f>
        <v/>
      </c>
      <c r="AG45" s="123">
        <f>COUNTIF($S$7:$T$78,"=" &amp; AE45 &amp; "_draw")</f>
        <v/>
      </c>
      <c r="AH45" s="123">
        <f>COUNTIF($S$7:$T$78,"=" &amp; AE45 &amp; "_lose")</f>
        <v/>
      </c>
      <c r="AI45" s="123">
        <f>SUMIF($E$7:$E$78,$AE45,$F$7:$F$78) + SUMIF($H$7:$H$78,$AE45,$G$7:$G$78)</f>
        <v/>
      </c>
      <c r="AJ45" s="123">
        <f>SUMIF($E$7:$E$78,$AE45,$G$7:$G$78) + SUMIF($H$7:$H$78,$AE45,$F$7:$F$78)</f>
        <v/>
      </c>
      <c r="AL45" s="123">
        <f>AI45-AJ45</f>
        <v/>
      </c>
      <c r="AM45" s="123">
        <f>AL45-AL48</f>
        <v/>
      </c>
      <c r="AN45" s="123">
        <f>AF45*3+AG45</f>
        <v/>
      </c>
      <c r="AO45" s="123">
        <f>AN45/AN48*10+BA45</f>
        <v/>
      </c>
      <c r="AP45" s="123">
        <f>AO45*10000000+BI45*100+AM45/AM48*10+AI45/AI48*1++IF(AQ45=0,ROW(),AQ45)/2000000</f>
        <v/>
      </c>
      <c r="AQ45" s="126">
        <f>VLOOKUP(AE45,db_fifarank,2,FALSE)</f>
        <v/>
      </c>
      <c r="AR45" s="125">
        <f>AP45/AP48</f>
        <v/>
      </c>
      <c r="AS45" s="125">
        <f>IF(SUM(AF44:AH47)=12,J46,"2G")</f>
        <v/>
      </c>
      <c r="AT45" s="126">
        <f t="array" ref="AT45">SUMPRODUCT(($S$7:$S$78=AE45&amp;"_win")*($U$7:$U$78))+SUMPRODUCT(($T$7:$T$78=AE45&amp;"_win")*($U$7:$U$78))</f>
        <v/>
      </c>
      <c r="AU45" s="126">
        <f t="array" ref="AU45">SUMPRODUCT(($S$7:$S$78=AE45&amp;"_draw")*($U$7:$U$78))+SUMPRODUCT(($T$7:$T$78=AE45&amp;"_draw")*($U$7:$U$78))</f>
        <v/>
      </c>
      <c r="AV45" s="126">
        <f t="array" ref="AV45">SUMPRODUCT(($E$7:$E$78=AE45)*($U$7:$U$78)*($F$7:$F$78))+SUMPRODUCT(($H$7:$H$78=AE45)*($U$7:$U$78)*($G$7:$G$78))</f>
        <v/>
      </c>
      <c r="AW45" s="126">
        <f t="array" ref="AW45">SUMPRODUCT(($E$7:$E$78=AE45)*($U$7:$U$78)*($G$7:$G$78))+SUMPRODUCT(($H$7:$H$78=AE45)*($U$7:$U$78)*($F$7:$F$78))</f>
        <v/>
      </c>
      <c r="AX45" s="126">
        <f>AV45-AW45</f>
        <v/>
      </c>
      <c r="AY45" s="126">
        <f>AX45-MIN(AX44:AX47)</f>
        <v/>
      </c>
      <c r="AZ45" s="126">
        <f>AT45/AT48*1000+AU45/AU48*100+AY45/AY48*10+AV45/AV48</f>
        <v/>
      </c>
      <c r="BA45" s="126">
        <f>AZ45/AZ48</f>
        <v/>
      </c>
      <c r="BB45" s="126">
        <f t="array" ref="BB45">SUMPRODUCT(($S$7:$S$78=AE45&amp;"_win")*($X$7:$X$78))+SUMPRODUCT(($T$7:$T$78=AE45&amp;"_win")*($X$7:$X$78))</f>
        <v/>
      </c>
      <c r="BC45" s="126">
        <f t="array" ref="BC45">SUMPRODUCT(($S$7:$S$78=AE45&amp;"_draw")*($X$7:$X$78))+SUMPRODUCT(($T$7:$T$78=AE45&amp;"_draw")*($X$7:$X$78))</f>
        <v/>
      </c>
      <c r="BD45" s="126">
        <f t="array" ref="BD45">SUMPRODUCT(($E$7:$E$78=AE45)*($X$7:$X$78)*($F$7:$F$78))+SUMPRODUCT(($H$7:$H$78=AE45)*($X$7:$X$78)*($G$7:$G$78))</f>
        <v/>
      </c>
      <c r="BE45" s="126">
        <f t="array" ref="BE45">SUMPRODUCT(($E$7:$E$78=AE45)*($X$7:$X$78)*($G$7:$G$78))+SUMPRODUCT(($H$7:$H$78=AE45)*($X$7:$X$78)*($F$7:$F$78))</f>
        <v/>
      </c>
      <c r="BF45" s="126">
        <f>BD45-BE45</f>
        <v/>
      </c>
      <c r="BG45" s="126">
        <f>BF45-MIN(BF44:BF47)</f>
        <v/>
      </c>
      <c r="BH45" s="126">
        <f>BB45/BB48*1000+BC45/BC48*100+BG45/BG48*10+BD45/BD48</f>
        <v/>
      </c>
      <c r="BI45" s="126">
        <f>BH45/BH48</f>
        <v/>
      </c>
      <c r="BK45" s="21">
        <f t="array" ref="BK45">INDEX(T,24+MONTH(BP45),lang) &amp; " " &amp; DAY(BP45) &amp; ", " &amp; YEAR(BP45) &amp; "   " &amp; (IF(HOUR(BP45)&lt;10,0,"")&amp;HOUR(BP45)) &amp; ":" &amp;  (IF(MINUTE(BP45)&lt;10,0,"")&amp;MINUTE(BP45))</f>
        <v/>
      </c>
      <c r="BL45" s="21" t="n"/>
      <c r="BM45" s="21" t="n"/>
      <c r="BN45" s="21" t="n"/>
      <c r="BO45" s="28" t="n"/>
      <c r="BP45" s="114">
        <f>DATE(2026,6,30)+TIME(6,0,0)+gmt_delta</f>
        <v/>
      </c>
      <c r="BQ45" s="115" t="n"/>
      <c r="BR45" s="180" t="n"/>
      <c r="BS45" s="26">
        <f>IF(BP46&gt;BP47,BL46,IF(BP46&lt;BP47,BL47,""))</f>
        <v/>
      </c>
      <c r="BT45" s="62" t="n">
        <v>1</v>
      </c>
      <c r="BU45" s="64" t="n"/>
      <c r="BV45" s="27" t="n">
        <v>4</v>
      </c>
      <c r="BW45" s="113">
        <f>IF(BW44="","",BT45*1000+BU45*10+BV45)</f>
        <v/>
      </c>
      <c r="CK45" s="114" t="n"/>
      <c r="CM45" s="176" t="n"/>
      <c r="CN45" s="177" t="n"/>
      <c r="CO45" s="177" t="n"/>
      <c r="CP45" s="177" t="n"/>
      <c r="CQ45" s="178" t="n"/>
    </row>
    <row r="46">
      <c r="A46" s="16" t="n">
        <v>40</v>
      </c>
      <c r="B46" s="17">
        <f t="array" ref="B46">INDEX(T,18+INT(MOD(R46-1,7)),lang)</f>
        <v/>
      </c>
      <c r="C46" s="18">
        <f t="array" ref="C46">INDEX(T,24+MONTH(R46),lang) &amp; " " &amp; DAY(R46) &amp; ", " &amp; YEAR(R46)</f>
        <v/>
      </c>
      <c r="D46" s="120">
        <f>TIME(HOUR(R46),MINUTE(R46),0)</f>
        <v/>
      </c>
      <c r="E46" s="78">
        <f>AE47</f>
        <v/>
      </c>
      <c r="F46" s="19" t="n">
        <v>1</v>
      </c>
      <c r="G46" s="20" t="n">
        <v>3</v>
      </c>
      <c r="H46" s="80">
        <f>AE45</f>
        <v/>
      </c>
      <c r="J46" s="33">
        <f>VLOOKUP(2,AD44:AN47,2,FALSE)</f>
        <v/>
      </c>
      <c r="K46" s="23">
        <f>L46+M46+N46</f>
        <v/>
      </c>
      <c r="L46" s="23">
        <f>VLOOKUP(2,AD44:AN47,3,FALSE)</f>
        <v/>
      </c>
      <c r="M46" s="23">
        <f>VLOOKUP(2,AD44:AN47,4,FALSE)</f>
        <v/>
      </c>
      <c r="N46" s="23">
        <f>VLOOKUP(2,AD44:AN47,5,FALSE)</f>
        <v/>
      </c>
      <c r="O46" s="23">
        <f>VLOOKUP(2,AD44:AN47,6,FALSE) &amp; " - " &amp; VLOOKUP(2,AD44:AN47,7,FALSE)</f>
        <v/>
      </c>
      <c r="P46" s="34">
        <f>L46*3+M46</f>
        <v/>
      </c>
      <c r="R46" s="123">
        <f>DATE(2026,6,21)+TIME(14,0,0)+gmt_delta</f>
        <v/>
      </c>
      <c r="S46" s="127">
        <f>IF(OR(F46="",G46=""),"",IF(F46&gt;G46,E46&amp;"_win",IF(F46&lt;G46,E46&amp;"_lose",E46&amp;"_draw")))</f>
        <v/>
      </c>
      <c r="T46" s="127">
        <f>IF(S46="","",IF(F46&lt;G46,H46&amp;"_win",IF(F46&gt;G46,H46&amp;"_lose",H46&amp;"_draw")))</f>
        <v/>
      </c>
      <c r="U46" s="123">
        <f>IF(S46="",0,IF(VLOOKUP(E46,$AE$8:$AN$77,10,FALSE)=VLOOKUP(H46,$AE$8:$AN$77,10,FALSE),1,0))</f>
        <v/>
      </c>
      <c r="V46" s="123">
        <f>U46*F46</f>
        <v/>
      </c>
      <c r="W46" s="123">
        <f>U46*G46</f>
        <v/>
      </c>
      <c r="X46" s="123">
        <f>IF(S46="",0,IF(VLOOKUP(E46,$AE$8:$AO$77,11,FALSE)=VLOOKUP(H46,$AE$8:$AO$77,11,FALSE),1,0))</f>
        <v/>
      </c>
      <c r="Y46" s="123">
        <f>X46*F46</f>
        <v/>
      </c>
      <c r="Z46" s="123">
        <f>X46*G46</f>
        <v/>
      </c>
      <c r="AA46" s="123">
        <f>IF(OR(E46=my_team,H46=my_team),1,IF(INT(MATCH(E46,$AE$8:$AE$78,0)/6)=$AA$6,1,0))</f>
        <v/>
      </c>
      <c r="AB46" s="123">
        <f>IF(OR(F46="",G46=""),"",IF(F46&gt;G46,1,IF(F46&lt;G46,-1,0)))</f>
        <v/>
      </c>
      <c r="AD46" s="123">
        <f>COUNTIF(AR44:AR47,CONCATENATE("&gt;=",AR46))</f>
        <v/>
      </c>
      <c r="AE46" s="124">
        <f>VLOOKUP("Iran",T,lang,FALSE)</f>
        <v/>
      </c>
      <c r="AF46" s="123">
        <f>COUNTIF($S$7:$T$78,"=" &amp; AE46 &amp; "_win")</f>
        <v/>
      </c>
      <c r="AG46" s="123">
        <f>COUNTIF($S$7:$T$78,"=" &amp; AE46 &amp; "_draw")</f>
        <v/>
      </c>
      <c r="AH46" s="123">
        <f>COUNTIF($S$7:$T$78,"=" &amp; AE46 &amp; "_lose")</f>
        <v/>
      </c>
      <c r="AI46" s="123">
        <f>SUMIF($E$7:$E$78,$AE46,$F$7:$F$78) + SUMIF($H$7:$H$78,$AE46,$G$7:$G$78)</f>
        <v/>
      </c>
      <c r="AJ46" s="123">
        <f>SUMIF($E$7:$E$78,$AE46,$G$7:$G$78) + SUMIF($H$7:$H$78,$AE46,$F$7:$F$78)</f>
        <v/>
      </c>
      <c r="AL46" s="123">
        <f>AI46-AJ46</f>
        <v/>
      </c>
      <c r="AM46" s="123">
        <f>AL46-AL48</f>
        <v/>
      </c>
      <c r="AN46" s="123">
        <f>AF46*3+AG46</f>
        <v/>
      </c>
      <c r="AO46" s="123">
        <f>AN46/AN48*10+BA46</f>
        <v/>
      </c>
      <c r="AP46" s="123">
        <f>AO46*10000000+BI46*100+AM46/AM48*10+AI46/AI48*1++IF(AQ46=0,ROW(),AQ46)/2000000</f>
        <v/>
      </c>
      <c r="AQ46" s="126">
        <f>VLOOKUP(AE46,db_fifarank,2,FALSE)</f>
        <v/>
      </c>
      <c r="AR46" s="125">
        <f>AP46/AP48</f>
        <v/>
      </c>
      <c r="AT46" s="126">
        <f t="array" ref="AT46">SUMPRODUCT(($S$7:$S$78=AE46&amp;"_win")*($U$7:$U$78))+SUMPRODUCT(($T$7:$T$78=AE46&amp;"_win")*($U$7:$U$78))</f>
        <v/>
      </c>
      <c r="AU46" s="126">
        <f t="array" ref="AU46">SUMPRODUCT(($S$7:$S$78=AE46&amp;"_draw")*($U$7:$U$78))+SUMPRODUCT(($T$7:$T$78=AE46&amp;"_draw")*($U$7:$U$78))</f>
        <v/>
      </c>
      <c r="AV46" s="126">
        <f t="array" ref="AV46">SUMPRODUCT(($E$7:$E$78=AE46)*($U$7:$U$78)*($F$7:$F$78))+SUMPRODUCT(($H$7:$H$78=AE46)*($U$7:$U$78)*($G$7:$G$78))</f>
        <v/>
      </c>
      <c r="AW46" s="126">
        <f t="array" ref="AW46">SUMPRODUCT(($E$7:$E$78=AE46)*($U$7:$U$78)*($G$7:$G$78))+SUMPRODUCT(($H$7:$H$78=AE46)*($U$7:$U$78)*($F$7:$F$78))</f>
        <v/>
      </c>
      <c r="AX46" s="126">
        <f>AV46-AW46</f>
        <v/>
      </c>
      <c r="AY46" s="126">
        <f>AX46-MIN(AX44:AX47)</f>
        <v/>
      </c>
      <c r="AZ46" s="126">
        <f>AT46/AT48*1000+AU46/AU48*100+AY46/AY48*10+AV46/AV48</f>
        <v/>
      </c>
      <c r="BA46" s="126">
        <f>AZ46/AZ48</f>
        <v/>
      </c>
      <c r="BB46" s="126">
        <f t="array" ref="BB46">SUMPRODUCT(($S$7:$S$78=AE46&amp;"_win")*($X$7:$X$78))+SUMPRODUCT(($T$7:$T$78=AE46&amp;"_win")*($X$7:$X$78))</f>
        <v/>
      </c>
      <c r="BC46" s="126">
        <f t="array" ref="BC46">SUMPRODUCT(($S$7:$S$78=AE46&amp;"_draw")*($X$7:$X$78))+SUMPRODUCT(($T$7:$T$78=AE46&amp;"_draw")*($X$7:$X$78))</f>
        <v/>
      </c>
      <c r="BD46" s="126">
        <f t="array" ref="BD46">SUMPRODUCT(($E$7:$E$78=AE46)*($X$7:$X$78)*($F$7:$F$78))+SUMPRODUCT(($H$7:$H$78=AE46)*($X$7:$X$78)*($G$7:$G$78))</f>
        <v/>
      </c>
      <c r="BE46" s="126">
        <f t="array" ref="BE46">SUMPRODUCT(($E$7:$E$78=AE46)*($X$7:$X$78)*($G$7:$G$78))+SUMPRODUCT(($H$7:$H$78=AE46)*($X$7:$X$78)*($F$7:$F$78))</f>
        <v/>
      </c>
      <c r="BF46" s="126">
        <f>BD46-BE46</f>
        <v/>
      </c>
      <c r="BG46" s="126">
        <f>BF46-MIN(BF44:BF47)</f>
        <v/>
      </c>
      <c r="BH46" s="126">
        <f>BB46/BB48*1000+BC46/BC48*100+BG46/BG48*10+BD46/BD48</f>
        <v/>
      </c>
      <c r="BI46" s="126">
        <f>BH46/BH48</f>
        <v/>
      </c>
      <c r="BK46" s="179" t="n">
        <v>78</v>
      </c>
      <c r="BL46" s="24">
        <f>AS33</f>
        <v/>
      </c>
      <c r="BM46" s="61" t="n">
        <v>2</v>
      </c>
      <c r="BN46" s="63" t="n"/>
      <c r="BO46" s="25" t="n"/>
      <c r="BP46" s="116">
        <f>IF(OR(BM46="",BM47="",AND(BN46="",BN47&lt;&gt;""),AND(BN47="",BN46&lt;&gt;""),AND(BO46="",BO47&lt;&gt;""),AND(BO47="",BO46&lt;&gt;"")),"",BM46*1000+BN46*10+BO46)</f>
        <v/>
      </c>
      <c r="BQ46" s="112" t="n"/>
      <c r="BR46" s="21" t="n"/>
      <c r="BS46" s="21" t="n"/>
      <c r="BT46" s="21" t="n"/>
      <c r="BU46" s="21" t="n"/>
      <c r="BV46" s="21" t="n"/>
      <c r="BW46" s="114" t="n"/>
      <c r="CK46" s="114" t="n"/>
      <c r="CL46" s="112" t="n"/>
    </row>
    <row r="47">
      <c r="A47" s="16" t="n">
        <v>41</v>
      </c>
      <c r="B47" s="17">
        <f t="array" ref="B47">INDEX(T,18+INT(MOD(R47-1,7)),lang)</f>
        <v/>
      </c>
      <c r="C47" s="18">
        <f t="array" ref="C47">INDEX(T,24+MONTH(R47),lang) &amp; " " &amp; DAY(R47) &amp; ", " &amp; YEAR(R47)</f>
        <v/>
      </c>
      <c r="D47" s="120">
        <f>TIME(HOUR(R47),MINUTE(R47),0)</f>
        <v/>
      </c>
      <c r="E47" s="78">
        <f>AE59</f>
        <v/>
      </c>
      <c r="F47" s="19" t="n">
        <v>2</v>
      </c>
      <c r="G47" s="20" t="n">
        <v>0</v>
      </c>
      <c r="H47" s="80">
        <f>AE57</f>
        <v/>
      </c>
      <c r="J47" s="33">
        <f>VLOOKUP(3,AD44:AN47,2,FALSE)</f>
        <v/>
      </c>
      <c r="K47" s="23">
        <f>L47+M47+N47</f>
        <v/>
      </c>
      <c r="L47" s="23">
        <f>VLOOKUP(3,AD44:AN47,3,FALSE)</f>
        <v/>
      </c>
      <c r="M47" s="23">
        <f>VLOOKUP(3,AD44:AN47,4,FALSE)</f>
        <v/>
      </c>
      <c r="N47" s="23">
        <f>VLOOKUP(3,AD44:AN47,5,FALSE)</f>
        <v/>
      </c>
      <c r="O47" s="23">
        <f>VLOOKUP(3,AD44:AN47,6,FALSE) &amp; " - " &amp; VLOOKUP(3,AD44:AN47,7,FALSE)</f>
        <v/>
      </c>
      <c r="P47" s="34">
        <f>L47*3+M47</f>
        <v/>
      </c>
      <c r="R47" s="123">
        <f>DATE(2026,6,22)+TIME(13,0,0)+gmt_delta</f>
        <v/>
      </c>
      <c r="S47" s="127">
        <f>IF(OR(F47="",G47=""),"",IF(F47&gt;G47,E47&amp;"_win",IF(F47&lt;G47,E47&amp;"_lose",E47&amp;"_draw")))</f>
        <v/>
      </c>
      <c r="T47" s="127">
        <f>IF(S47="","",IF(F47&lt;G47,H47&amp;"_win",IF(F47&gt;G47,H47&amp;"_lose",H47&amp;"_draw")))</f>
        <v/>
      </c>
      <c r="U47" s="123">
        <f>IF(S47="",0,IF(VLOOKUP(E47,$AE$8:$AN$77,10,FALSE)=VLOOKUP(H47,$AE$8:$AN$77,10,FALSE),1,0))</f>
        <v/>
      </c>
      <c r="V47" s="123">
        <f>U47*F47</f>
        <v/>
      </c>
      <c r="W47" s="123">
        <f>U47*G47</f>
        <v/>
      </c>
      <c r="X47" s="123">
        <f>IF(S47="",0,IF(VLOOKUP(E47,$AE$8:$AO$77,11,FALSE)=VLOOKUP(H47,$AE$8:$AO$77,11,FALSE),1,0))</f>
        <v/>
      </c>
      <c r="Y47" s="123">
        <f>X47*F47</f>
        <v/>
      </c>
      <c r="Z47" s="123">
        <f>X47*G47</f>
        <v/>
      </c>
      <c r="AA47" s="123">
        <f>IF(OR(E47=my_team,H47=my_team),1,IF(INT(MATCH(E47,$AE$8:$AE$78,0)/6)=$AA$6,1,0))</f>
        <v/>
      </c>
      <c r="AB47" s="123">
        <f>IF(OR(F47="",G47=""),"",IF(F47&gt;G47,1,IF(F47&lt;G47,-1,0)))</f>
        <v/>
      </c>
      <c r="AD47" s="123">
        <f>COUNTIF(AR44:AR47,CONCATENATE("&gt;=",AR47))</f>
        <v/>
      </c>
      <c r="AE47" s="124">
        <f>VLOOKUP("New Zealand",T,lang,FALSE)</f>
        <v/>
      </c>
      <c r="AF47" s="123">
        <f>COUNTIF($S$7:$T$78,"=" &amp; AE47 &amp; "_win")</f>
        <v/>
      </c>
      <c r="AG47" s="123">
        <f>COUNTIF($S$7:$T$78,"=" &amp; AE47 &amp; "_draw")</f>
        <v/>
      </c>
      <c r="AH47" s="123">
        <f>COUNTIF($S$7:$T$78,"=" &amp; AE47 &amp; "_lose")</f>
        <v/>
      </c>
      <c r="AI47" s="123">
        <f>SUMIF($E$7:$E$78,$AE47,$F$7:$F$78) + SUMIF($H$7:$H$78,$AE47,$G$7:$G$78)</f>
        <v/>
      </c>
      <c r="AJ47" s="123">
        <f>SUMIF($E$7:$E$78,$AE47,$G$7:$G$78) + SUMIF($H$7:$H$78,$AE47,$F$7:$F$78)</f>
        <v/>
      </c>
      <c r="AL47" s="123">
        <f>AI47-AJ47</f>
        <v/>
      </c>
      <c r="AM47" s="123">
        <f>AL47-AL48</f>
        <v/>
      </c>
      <c r="AN47" s="123">
        <f>AF47*3+AG47</f>
        <v/>
      </c>
      <c r="AO47" s="123">
        <f>AN47/AN48*10+BA47</f>
        <v/>
      </c>
      <c r="AP47" s="123">
        <f>AO47*10000000+BI47*100+AM47/AM48*10+AI47/AI48*1++IF(AQ47=0,ROW(),AQ47)/2000000</f>
        <v/>
      </c>
      <c r="AQ47" s="126">
        <f>VLOOKUP(AE47,db_fifarank,2,FALSE)</f>
        <v/>
      </c>
      <c r="AR47" s="125">
        <f>AP47/AP48</f>
        <v/>
      </c>
      <c r="AT47" s="126">
        <f t="array" ref="AT47">SUMPRODUCT(($S$7:$S$78=AE47&amp;"_win")*($U$7:$U$78))+SUMPRODUCT(($T$7:$T$78=AE47&amp;"_win")*($U$7:$U$78))</f>
        <v/>
      </c>
      <c r="AU47" s="126">
        <f t="array" ref="AU47">SUMPRODUCT(($S$7:$S$78=AE47&amp;"_draw")*($U$7:$U$78))+SUMPRODUCT(($T$7:$T$78=AE47&amp;"_draw")*($U$7:$U$78))</f>
        <v/>
      </c>
      <c r="AV47" s="126">
        <f t="array" ref="AV47">SUMPRODUCT(($E$7:$E$78=AE47)*($U$7:$U$78)*($F$7:$F$78))+SUMPRODUCT(($H$7:$H$78=AE47)*($U$7:$U$78)*($G$7:$G$78))</f>
        <v/>
      </c>
      <c r="AW47" s="126">
        <f t="array" ref="AW47">SUMPRODUCT(($E$7:$E$78=AE47)*($U$7:$U$78)*($G$7:$G$78))+SUMPRODUCT(($H$7:$H$78=AE47)*($U$7:$U$78)*($F$7:$F$78))</f>
        <v/>
      </c>
      <c r="AX47" s="126">
        <f>AV47-AW47</f>
        <v/>
      </c>
      <c r="AY47" s="126">
        <f>AX47-MIN(AX44:AX47)</f>
        <v/>
      </c>
      <c r="AZ47" s="126">
        <f>AT47/AT48*1000+AU47/AU48*100+AY47/AY48*10+AV47/AV48</f>
        <v/>
      </c>
      <c r="BA47" s="126">
        <f>AZ47/AZ48</f>
        <v/>
      </c>
      <c r="BB47" s="126">
        <f t="array" ref="BB47">SUMPRODUCT(($S$7:$S$78=AE47&amp;"_win")*($X$7:$X$78))+SUMPRODUCT(($T$7:$T$78=AE47&amp;"_win")*($X$7:$X$78))</f>
        <v/>
      </c>
      <c r="BC47" s="126">
        <f t="array" ref="BC47">SUMPRODUCT(($S$7:$S$78=AE47&amp;"_draw")*($X$7:$X$78))+SUMPRODUCT(($T$7:$T$78=AE47&amp;"_draw")*($X$7:$X$78))</f>
        <v/>
      </c>
      <c r="BD47" s="126">
        <f t="array" ref="BD47">SUMPRODUCT(($E$7:$E$78=AE47)*($X$7:$X$78)*($F$7:$F$78))+SUMPRODUCT(($H$7:$H$78=AE47)*($X$7:$X$78)*($G$7:$G$78))</f>
        <v/>
      </c>
      <c r="BE47" s="126">
        <f t="array" ref="BE47">SUMPRODUCT(($E$7:$E$78=AE47)*($X$7:$X$78)*($G$7:$G$78))+SUMPRODUCT(($H$7:$H$78=AE47)*($X$7:$X$78)*($F$7:$F$78))</f>
        <v/>
      </c>
      <c r="BF47" s="126">
        <f>BD47-BE47</f>
        <v/>
      </c>
      <c r="BG47" s="126">
        <f>BF47-MIN(BF44:BF47)</f>
        <v/>
      </c>
      <c r="BH47" s="126">
        <f>BB47/BB48*1000+BC47/BC48*100+BG47/BG48*10+BD47/BD48</f>
        <v/>
      </c>
      <c r="BI47" s="126">
        <f>BH47/BH48</f>
        <v/>
      </c>
      <c r="BK47" s="180" t="n"/>
      <c r="BL47" s="26">
        <f>AS57</f>
        <v/>
      </c>
      <c r="BM47" s="62" t="n">
        <v>1</v>
      </c>
      <c r="BN47" s="64" t="n"/>
      <c r="BO47" s="27" t="n"/>
      <c r="BP47" s="112">
        <f>IF(BP46="","",BM47*1000+BN47*10+BO47)</f>
        <v/>
      </c>
      <c r="BQ47" s="112" t="n"/>
      <c r="BR47" s="21" t="n"/>
      <c r="BS47" s="21" t="n"/>
      <c r="BT47" s="21" t="n"/>
      <c r="BU47" s="21" t="n"/>
      <c r="BV47" s="21" t="n"/>
      <c r="BW47" s="114" t="n"/>
      <c r="BX47" s="112" t="n"/>
      <c r="BY47" s="21">
        <f t="array" ref="BY47">INDEX(T,24+MONTH(CD47),lang) &amp; " " &amp; DAY(CD47) &amp; ", " &amp; YEAR(CD47) &amp; "   " &amp; (IF(HOUR(CD47)&lt;10,0,"")&amp;HOUR(CD47)) &amp; ":" &amp;  (IF(MINUTE(CD47)&lt;10,0,"")&amp;MINUTE(CD47))</f>
        <v/>
      </c>
      <c r="BZ47" s="21" t="n"/>
      <c r="CA47" s="21" t="n"/>
      <c r="CB47" s="21" t="n"/>
      <c r="CC47" s="28" t="n"/>
      <c r="CD47" s="112">
        <f>DATE(2026,7,11)+TIME(10,0,0)+gmt_delta</f>
        <v/>
      </c>
      <c r="CK47" s="114" t="n"/>
      <c r="CL47" s="112" t="n"/>
      <c r="CM47" s="21">
        <f t="array" ref="CM47">INDEX(T,24+MONTH(CR47),lang) &amp; " " &amp; DAY(CR47) &amp; ", " &amp; YEAR(CR47) &amp; "   " &amp; (IF(HOUR(CR47)&lt;10,0,"")&amp;HOUR(CR47)) &amp; ":" &amp;  (IF(MINUTE(CR47)&lt;10,0,"")&amp;MINUTE(CR47))</f>
        <v/>
      </c>
      <c r="CN47" s="21" t="n"/>
      <c r="CO47" s="21" t="n"/>
      <c r="CP47" s="21" t="n"/>
      <c r="CQ47" s="28" t="n"/>
      <c r="CR47" s="111">
        <f>DATE(2026,7,18)+TIME(10,0,0)+gmt_delta</f>
        <v/>
      </c>
    </row>
    <row r="48">
      <c r="A48" s="16" t="n">
        <v>42</v>
      </c>
      <c r="B48" s="17">
        <f t="array" ref="B48">INDEX(T,18+INT(MOD(R48-1,7)),lang)</f>
        <v/>
      </c>
      <c r="C48" s="18">
        <f t="array" ref="C48">INDEX(T,24+MONTH(R48),lang) &amp; " " &amp; DAY(R48) &amp; ", " &amp; YEAR(R48)</f>
        <v/>
      </c>
      <c r="D48" s="120">
        <f>TIME(HOUR(R48),MINUTE(R48),0)</f>
        <v/>
      </c>
      <c r="E48" s="78">
        <f>AE56</f>
        <v/>
      </c>
      <c r="F48" s="19" t="n">
        <v>3</v>
      </c>
      <c r="G48" s="20" t="n">
        <v>0</v>
      </c>
      <c r="H48" s="80">
        <f>AE58</f>
        <v/>
      </c>
      <c r="J48" s="35">
        <f>VLOOKUP(4,AD44:AN47,2,FALSE)</f>
        <v/>
      </c>
      <c r="K48" s="36">
        <f>L48+M48+N48</f>
        <v/>
      </c>
      <c r="L48" s="36">
        <f>VLOOKUP(4,AD44:AN47,3,FALSE)</f>
        <v/>
      </c>
      <c r="M48" s="36">
        <f>VLOOKUP(4,AD44:AN47,4,FALSE)</f>
        <v/>
      </c>
      <c r="N48" s="36">
        <f>VLOOKUP(4,AD44:AN47,5,FALSE)</f>
        <v/>
      </c>
      <c r="O48" s="36">
        <f>VLOOKUP(4,AD44:AN47,6,FALSE) &amp; " - " &amp; VLOOKUP(4,AD44:AN47,7,FALSE)</f>
        <v/>
      </c>
      <c r="P48" s="37">
        <f>L48*3+M48</f>
        <v/>
      </c>
      <c r="R48" s="123">
        <f>DATE(2026,6,22)+TIME(105,0,0)+gmt_delta</f>
        <v/>
      </c>
      <c r="S48" s="127">
        <f>IF(OR(F48="",G48=""),"",IF(F48&gt;G48,E48&amp;"_win",IF(F48&lt;G48,E48&amp;"_lose",E48&amp;"_draw")))</f>
        <v/>
      </c>
      <c r="T48" s="127">
        <f>IF(S48="","",IF(F48&lt;G48,H48&amp;"_win",IF(F48&gt;G48,H48&amp;"_lose",H48&amp;"_draw")))</f>
        <v/>
      </c>
      <c r="U48" s="123">
        <f>IF(S48="",0,IF(VLOOKUP(E48,$AE$8:$AN$77,10,FALSE)=VLOOKUP(H48,$AE$8:$AN$77,10,FALSE),1,0))</f>
        <v/>
      </c>
      <c r="V48" s="123">
        <f>U48*F48</f>
        <v/>
      </c>
      <c r="W48" s="123">
        <f>U48*G48</f>
        <v/>
      </c>
      <c r="X48" s="123">
        <f>IF(S48="",0,IF(VLOOKUP(E48,$AE$8:$AO$77,11,FALSE)=VLOOKUP(H48,$AE$8:$AO$77,11,FALSE),1,0))</f>
        <v/>
      </c>
      <c r="Y48" s="123">
        <f>X48*F48</f>
        <v/>
      </c>
      <c r="Z48" s="123">
        <f>X48*G48</f>
        <v/>
      </c>
      <c r="AA48" s="123">
        <f>IF(OR(E48=my_team,H48=my_team),1,IF(INT(MATCH(E48,$AE$8:$AE$78,0)/6)=$AA$6,1,0))</f>
        <v/>
      </c>
      <c r="AB48" s="123">
        <f>IF(OR(F48="",G48=""),"",IF(F48&gt;G48,1,IF(F48&lt;G48,-1,0)))</f>
        <v/>
      </c>
      <c r="AF48" s="123">
        <f>MAX(AF44:AF47)-MIN(AF44:AF47)+1</f>
        <v/>
      </c>
      <c r="AG48" s="123">
        <f>MAX(AG44:AG47)-MIN(AG44:AG47)+1</f>
        <v/>
      </c>
      <c r="AH48" s="123">
        <f>MAX(AH44:AH47)-MIN(AH44:AH47)+1</f>
        <v/>
      </c>
      <c r="AI48" s="123">
        <f>MAX(AI44:AI47)+1</f>
        <v/>
      </c>
      <c r="AL48" s="123">
        <f>MIN(AL44:AL47)</f>
        <v/>
      </c>
      <c r="AM48" s="123">
        <f>MAX(AM44:AM47)+1</f>
        <v/>
      </c>
      <c r="AN48" s="123">
        <f>MAX(AN44:AN47)+1</f>
        <v/>
      </c>
      <c r="AO48" s="123">
        <f>MAX(AO44:AO47)+1</f>
        <v/>
      </c>
      <c r="AP48" s="123">
        <f>MAX(AP44:AP47)+1</f>
        <v/>
      </c>
      <c r="AT48" s="126">
        <f>MAX(AT44:AT47)-MIN(AT44:AT47)+1</f>
        <v/>
      </c>
      <c r="AU48" s="126">
        <f>MAX(AU44:AU47)-MIN(AU44:AU47)+1</f>
        <v/>
      </c>
      <c r="AV48" s="126">
        <f>MAX(AV44:AV47)-MIN(AV44:AV47)+1</f>
        <v/>
      </c>
      <c r="AW48" s="126">
        <f>MAX(AW44:AW47)-MIN(AW44:AW47)+1</f>
        <v/>
      </c>
      <c r="AY48" s="126">
        <f>MAX(AY44:AY47)-MIN(AY44:AY47)+1</f>
        <v/>
      </c>
      <c r="AZ48" s="126">
        <f>MAX(AZ44:AZ47)+1</f>
        <v/>
      </c>
      <c r="BB48" s="126">
        <f>MAX(BB44:BB47)-MIN(BB44:BB47)+1</f>
        <v/>
      </c>
      <c r="BC48" s="126">
        <f>MAX(BC44:BC47)-MIN(BC44:BC47)+1</f>
        <v/>
      </c>
      <c r="BD48" s="126">
        <f>MAX(BD44:BD47)-MIN(BD44:BD47)+1</f>
        <v/>
      </c>
      <c r="BE48" s="126">
        <f>MAX(BE44:BE47)-MIN(BE44:BE47)+1</f>
        <v/>
      </c>
      <c r="BG48" s="126">
        <f>MAX(BG44:BG47)-MIN(BG44:BG47)+1</f>
        <v/>
      </c>
      <c r="BH48" s="126">
        <f>MAX(BH44:BH47)+1</f>
        <v/>
      </c>
      <c r="BK48" s="21" t="n"/>
      <c r="BL48" s="21" t="n"/>
      <c r="BM48" s="21" t="n"/>
      <c r="BN48" s="21" t="n"/>
      <c r="BO48" s="21" t="n"/>
      <c r="BP48" s="112" t="n"/>
      <c r="BQ48" s="112" t="n"/>
      <c r="BR48" s="21" t="n"/>
      <c r="BS48" s="21" t="n"/>
      <c r="BT48" s="21" t="n"/>
      <c r="BU48" s="21" t="n"/>
      <c r="BV48" s="21" t="n"/>
      <c r="BW48" s="114" t="n"/>
      <c r="BX48" s="112" t="n"/>
      <c r="BY48" s="179" t="n">
        <v>99</v>
      </c>
      <c r="BZ48" s="24">
        <f>IF(BW44&gt;BW45,BS44,IF(BW44&lt;BW45,BS45,""))</f>
        <v/>
      </c>
      <c r="CA48" s="61" t="n">
        <v>0</v>
      </c>
      <c r="CB48" s="63" t="n"/>
      <c r="CC48" s="25" t="n">
        <v>4</v>
      </c>
      <c r="CD48" s="112">
        <f>IF(OR(CA48="",CA49="",AND(CB48="",CB49&lt;&gt;""),AND(CB49="",CB48&lt;&gt;""),AND(CC48="",CC49&lt;&gt;""),AND(CC49="",CC48&lt;&gt;"")),"",CA48*1000+CB48*10+CC48)</f>
        <v/>
      </c>
      <c r="CK48" s="114" t="n"/>
      <c r="CL48" s="112" t="n"/>
      <c r="CM48" s="179" t="n">
        <v>103</v>
      </c>
      <c r="CN48" s="24">
        <f>IF(CK23&gt;CK24,CG24,IF(CK23&lt;CK24,CG23,""))</f>
        <v/>
      </c>
      <c r="CO48" s="61" t="n">
        <v>2</v>
      </c>
      <c r="CP48" s="63" t="n"/>
      <c r="CQ48" s="25" t="n"/>
      <c r="CR48" s="111">
        <f>IF(OR(CO48="",CO49="",AND(CP48="",CP49&lt;&gt;""),AND(CP49="",CP48&lt;&gt;""),AND(CQ48="",CQ49&lt;&gt;""),AND(CQ49="",CQ48&lt;&gt;"")),"",CO48*1000+CP48*10+CQ48)</f>
        <v/>
      </c>
    </row>
    <row r="49">
      <c r="A49" s="16" t="n">
        <v>43</v>
      </c>
      <c r="B49" s="17">
        <f t="array" ref="B49">INDEX(T,18+INT(MOD(R49-1,7)),lang)</f>
        <v/>
      </c>
      <c r="C49" s="18">
        <f t="array" ref="C49">INDEX(T,24+MONTH(R49),lang) &amp; " " &amp; DAY(R49) &amp; ", " &amp; YEAR(R49)</f>
        <v/>
      </c>
      <c r="D49" s="120">
        <f>TIME(HOUR(R49),MINUTE(R49),0)</f>
        <v/>
      </c>
      <c r="E49" s="78">
        <f>AE62</f>
        <v/>
      </c>
      <c r="F49" s="19" t="n">
        <v>3</v>
      </c>
      <c r="G49" s="20" t="n">
        <v>1</v>
      </c>
      <c r="H49" s="80">
        <f>AE64</f>
        <v/>
      </c>
      <c r="R49" s="123">
        <f>DATE(2026,6,22)+TIME(6,0,0)+gmt_delta</f>
        <v/>
      </c>
      <c r="S49" s="127">
        <f>IF(OR(F49="",G49=""),"",IF(F49&gt;G49,E49&amp;"_win",IF(F49&lt;G49,E49&amp;"_lose",E49&amp;"_draw")))</f>
        <v/>
      </c>
      <c r="T49" s="127">
        <f>IF(S49="","",IF(F49&lt;G49,H49&amp;"_win",IF(F49&gt;G49,H49&amp;"_lose",H49&amp;"_draw")))</f>
        <v/>
      </c>
      <c r="U49" s="123">
        <f>IF(S49="",0,IF(VLOOKUP(E49,$AE$8:$AN$77,10,FALSE)=VLOOKUP(H49,$AE$8:$AN$77,10,FALSE),1,0))</f>
        <v/>
      </c>
      <c r="V49" s="123">
        <f>U49*F49</f>
        <v/>
      </c>
      <c r="W49" s="123">
        <f>U49*G49</f>
        <v/>
      </c>
      <c r="X49" s="123">
        <f>IF(S49="",0,IF(VLOOKUP(E49,$AE$8:$AO$77,11,FALSE)=VLOOKUP(H49,$AE$8:$AO$77,11,FALSE),1,0))</f>
        <v/>
      </c>
      <c r="Y49" s="123">
        <f>X49*F49</f>
        <v/>
      </c>
      <c r="Z49" s="123">
        <f>X49*G49</f>
        <v/>
      </c>
      <c r="AA49" s="123">
        <f>IF(OR(E49=my_team,H49=my_team),1,IF(INT(MATCH(E49,$AE$8:$AE$78,0)/6)=$AA$6,1,0))</f>
        <v/>
      </c>
      <c r="AB49" s="123">
        <f>IF(OR(F49="",G49=""),"",IF(F49&gt;G49,1,IF(F49&lt;G49,-1,0)))</f>
        <v/>
      </c>
      <c r="BK49" s="21">
        <f t="array" ref="BK49">INDEX(T,24+MONTH(BP49),lang) &amp; " " &amp; DAY(BP49) &amp; ", " &amp; YEAR(BP49) &amp; "   " &amp; (IF(HOUR(BP49)&lt;10,0,"")&amp;HOUR(BP49)) &amp; ":" &amp;  (IF(MINUTE(BP49)&lt;10,0,"")&amp;MINUTE(BP49))</f>
        <v/>
      </c>
      <c r="BL49" s="21" t="n"/>
      <c r="BM49" s="21" t="n"/>
      <c r="BN49" s="21" t="n"/>
      <c r="BO49" s="28" t="n"/>
      <c r="BP49" s="112">
        <f>DATE(2026,6,30)+TIME(14,0,0)+gmt_delta</f>
        <v/>
      </c>
      <c r="BQ49" s="112" t="n"/>
      <c r="BR49" s="21" t="n"/>
      <c r="BS49" s="21" t="n"/>
      <c r="BT49" s="21" t="n"/>
      <c r="BU49" s="21" t="n"/>
      <c r="BV49" s="21" t="n"/>
      <c r="BW49" s="114" t="n"/>
      <c r="BX49" s="115" t="n"/>
      <c r="BY49" s="180" t="n"/>
      <c r="BZ49" s="26">
        <f>IF(BW52&gt;BW53,BS52,IF(BW52&lt;BW53,BS53,""))</f>
        <v/>
      </c>
      <c r="CA49" s="62" t="n">
        <v>0</v>
      </c>
      <c r="CB49" s="64" t="n"/>
      <c r="CC49" s="27" t="n">
        <v>2</v>
      </c>
      <c r="CD49" s="113">
        <f>IF(CD48="","",CA49*1000+CB49*10+CC49)</f>
        <v/>
      </c>
      <c r="CK49" s="114" t="n"/>
      <c r="CL49" s="115" t="n"/>
      <c r="CM49" s="180" t="n"/>
      <c r="CN49" s="26">
        <f>IF(CK55&gt;CK56,CG56,IF(CK55&lt;CK56,CG55,""))</f>
        <v/>
      </c>
      <c r="CO49" s="62" t="n">
        <v>0</v>
      </c>
      <c r="CP49" s="64" t="n"/>
      <c r="CQ49" s="27" t="n"/>
      <c r="CR49" s="111">
        <f>IF(CR48="","",CO49*1000+CP49*10+CQ49)</f>
        <v/>
      </c>
    </row>
    <row r="50">
      <c r="A50" s="16" t="n">
        <v>44</v>
      </c>
      <c r="B50" s="17">
        <f t="array" ref="B50">INDEX(T,18+INT(MOD(R50-1,7)),lang)</f>
        <v/>
      </c>
      <c r="C50" s="18">
        <f t="array" ref="C50">INDEX(T,24+MONTH(R50),lang) &amp; " " &amp; DAY(R50) &amp; ", " &amp; YEAR(R50)</f>
        <v/>
      </c>
      <c r="D50" s="120">
        <f>TIME(HOUR(R50),MINUTE(R50),0)</f>
        <v/>
      </c>
      <c r="E50" s="78">
        <f>AE65</f>
        <v/>
      </c>
      <c r="F50" s="19" t="n">
        <v>0</v>
      </c>
      <c r="G50" s="20" t="n">
        <v>2</v>
      </c>
      <c r="H50" s="80">
        <f>AE63</f>
        <v/>
      </c>
      <c r="J50" s="38">
        <f t="array" ref="J50">INDEX(T,9,lang) &amp; " " &amp; "H"</f>
        <v/>
      </c>
      <c r="K50" s="94">
        <f t="array" ref="K50">INDEX(T,10,lang)</f>
        <v/>
      </c>
      <c r="L50" s="94">
        <f t="array" ref="L50">INDEX(T,11,lang)</f>
        <v/>
      </c>
      <c r="M50" s="94">
        <f t="array" ref="M50">INDEX(T,12,lang)</f>
        <v/>
      </c>
      <c r="N50" s="94">
        <f t="array" ref="N50">INDEX(T,13,lang)</f>
        <v/>
      </c>
      <c r="O50" s="94">
        <f t="array" ref="O50">INDEX(T,14,lang)</f>
        <v/>
      </c>
      <c r="P50" s="95">
        <f t="array" ref="P50">INDEX(T,15,lang)</f>
        <v/>
      </c>
      <c r="R50" s="123">
        <f>DATE(2026,6,22)+TIME(16,0,0)+gmt_delta</f>
        <v/>
      </c>
      <c r="S50" s="127">
        <f>IF(OR(F50="",G50=""),"",IF(F50&gt;G50,E50&amp;"_win",IF(F50&lt;G50,E50&amp;"_lose",E50&amp;"_draw")))</f>
        <v/>
      </c>
      <c r="T50" s="127">
        <f>IF(S50="","",IF(F50&lt;G50,H50&amp;"_win",IF(F50&gt;G50,H50&amp;"_lose",H50&amp;"_draw")))</f>
        <v/>
      </c>
      <c r="U50" s="123">
        <f>IF(S50="",0,IF(VLOOKUP(E50,$AE$8:$AN$77,10,FALSE)=VLOOKUP(H50,$AE$8:$AN$77,10,FALSE),1,0))</f>
        <v/>
      </c>
      <c r="V50" s="123">
        <f>U50*F50</f>
        <v/>
      </c>
      <c r="W50" s="123">
        <f>U50*G50</f>
        <v/>
      </c>
      <c r="X50" s="123">
        <f>IF(S50="",0,IF(VLOOKUP(E50,$AE$8:$AO$77,11,FALSE)=VLOOKUP(H50,$AE$8:$AO$77,11,FALSE),1,0))</f>
        <v/>
      </c>
      <c r="Y50" s="123">
        <f>X50*F50</f>
        <v/>
      </c>
      <c r="Z50" s="123">
        <f>X50*G50</f>
        <v/>
      </c>
      <c r="AA50" s="123">
        <f>IF(OR(E50=my_team,H50=my_team),1,IF(INT(MATCH(E50,$AE$8:$AE$78,0)/6)=$AA$6,1,0))</f>
        <v/>
      </c>
      <c r="AB50" s="123">
        <f>IF(OR(F50="",G50=""),"",IF(F50&gt;G50,1,IF(F50&lt;G50,-1,0)))</f>
        <v/>
      </c>
      <c r="AD50" s="123">
        <f>COUNTIF(AR50:AR53,CONCATENATE("&gt;=",AR50))</f>
        <v/>
      </c>
      <c r="AE50" s="124">
        <f>VLOOKUP("Spain",T,lang,FALSE)</f>
        <v/>
      </c>
      <c r="AF50" s="123">
        <f>COUNTIF($S$7:$T$78,"=" &amp; AE50 &amp; "_win")</f>
        <v/>
      </c>
      <c r="AG50" s="123">
        <f>COUNTIF($S$7:$T$78,"=" &amp; AE50 &amp; "_draw")</f>
        <v/>
      </c>
      <c r="AH50" s="123">
        <f>COUNTIF($S$7:$T$78,"=" &amp; AE50 &amp; "_lose")</f>
        <v/>
      </c>
      <c r="AI50" s="123">
        <f>SUMIF($E$7:$E$78,$AE50,$F$7:$F$78) + SUMIF($H$7:$H$78,$AE50,$G$7:$G$78)</f>
        <v/>
      </c>
      <c r="AJ50" s="123">
        <f>SUMIF($E$7:$E$78,$AE50,$G$7:$G$78) + SUMIF($H$7:$H$78,$AE50,$F$7:$F$78)</f>
        <v/>
      </c>
      <c r="AL50" s="123">
        <f>AI50-AJ50</f>
        <v/>
      </c>
      <c r="AM50" s="123">
        <f>AL50-AL54</f>
        <v/>
      </c>
      <c r="AN50" s="123">
        <f>AF50*3+AG50</f>
        <v/>
      </c>
      <c r="AO50" s="123">
        <f>AN50/AN54*10+BA50</f>
        <v/>
      </c>
      <c r="AP50" s="123">
        <f>AO50*10000000+BI50*100+AM50/AM54*10+AI50/AI54*1++IF(AQ50=0,ROW(),AQ50)/2000000</f>
        <v/>
      </c>
      <c r="AQ50" s="126">
        <f>VLOOKUP(AE50,db_fifarank,2,FALSE)</f>
        <v/>
      </c>
      <c r="AR50" s="125">
        <f>AP50/AP54</f>
        <v/>
      </c>
      <c r="AS50" s="125">
        <f>IF(SUM(AF50:AH53)=12,J51,"1H")</f>
        <v/>
      </c>
      <c r="AT50" s="126">
        <f t="array" ref="AT50">SUMPRODUCT(($S$7:$S$78=AE50&amp;"_win")*($U$7:$U$78))+SUMPRODUCT(($T$7:$T$78=AE50&amp;"_win")*($U$7:$U$78))</f>
        <v/>
      </c>
      <c r="AU50" s="126">
        <f t="array" ref="AU50">SUMPRODUCT(($S$7:$S$78=AE50&amp;"_draw")*($U$7:$U$78))+SUMPRODUCT(($T$7:$T$78=AE50&amp;"_draw")*($U$7:$U$78))</f>
        <v/>
      </c>
      <c r="AV50" s="126">
        <f t="array" ref="AV50">SUMPRODUCT(($E$7:$E$78=AE50)*($U$7:$U$78)*($F$7:$F$78))+SUMPRODUCT(($H$7:$H$78=AE50)*($U$7:$U$78)*($G$7:$G$78))</f>
        <v/>
      </c>
      <c r="AW50" s="126">
        <f t="array" ref="AW50">SUMPRODUCT(($E$7:$E$78=AE50)*($U$7:$U$78)*($G$7:$G$78))+SUMPRODUCT(($H$7:$H$78=AE50)*($U$7:$U$78)*($F$7:$F$78))</f>
        <v/>
      </c>
      <c r="AX50" s="126">
        <f>AV50-AW50</f>
        <v/>
      </c>
      <c r="AY50" s="126">
        <f>AX50-MIN(AX50:AX53)</f>
        <v/>
      </c>
      <c r="AZ50" s="126">
        <f>AT50/AT54*1000+AU50/AU54*100+AY50/AY54*10+AV50/AV54</f>
        <v/>
      </c>
      <c r="BA50" s="126">
        <f>AZ50/AZ54</f>
        <v/>
      </c>
      <c r="BB50" s="126">
        <f t="array" ref="BB50">SUMPRODUCT(($S$7:$S$78=AE50&amp;"_win")*($X$7:$X$78))+SUMPRODUCT(($T$7:$T$78=AE50&amp;"_win")*($X$7:$X$78))</f>
        <v/>
      </c>
      <c r="BC50" s="126">
        <f t="array" ref="BC50">SUMPRODUCT(($S$7:$S$78=AE50&amp;"_draw")*($X$7:$X$78))+SUMPRODUCT(($T$7:$T$78=AE50&amp;"_draw")*($X$7:$X$78))</f>
        <v/>
      </c>
      <c r="BD50" s="126">
        <f t="array" ref="BD50">SUMPRODUCT(($E$7:$E$78=AE50)*($X$7:$X$78)*($F$7:$F$78))+SUMPRODUCT(($H$7:$H$78=AE50)*($X$7:$X$78)*($G$7:$G$78))</f>
        <v/>
      </c>
      <c r="BE50" s="126">
        <f t="array" ref="BE50">SUMPRODUCT(($E$7:$E$78=AE50)*($X$7:$X$78)*($G$7:$G$78))+SUMPRODUCT(($H$7:$H$78=AE50)*($X$7:$X$78)*($F$7:$F$78))</f>
        <v/>
      </c>
      <c r="BF50" s="126">
        <f>BD50-BE50</f>
        <v/>
      </c>
      <c r="BG50" s="126">
        <f>BF50-MIN(BF50:BF53)</f>
        <v/>
      </c>
      <c r="BH50" s="126">
        <f>BB50/BB54*1000+BC50/BC54*100+BG50/BG54*10+BD50/BD54</f>
        <v/>
      </c>
      <c r="BI50" s="126">
        <f>BH50/BH54</f>
        <v/>
      </c>
      <c r="BK50" s="179" t="n">
        <v>79</v>
      </c>
      <c r="BL50" s="24">
        <f>AS8</f>
        <v/>
      </c>
      <c r="BM50" s="61" t="n">
        <v>2</v>
      </c>
      <c r="BN50" s="63" t="n"/>
      <c r="BO50" s="25" t="n"/>
      <c r="BP50" s="112">
        <f>IF(OR(BM50="",BM51="",AND(BN50="",BN51&lt;&gt;""),AND(BN51="",BN50&lt;&gt;""),AND(BO50="",BO51&lt;&gt;""),AND(BO51="",BO50&lt;&gt;"")),"",BM50*1000+BN50*10+BO50)</f>
        <v/>
      </c>
      <c r="BQ50" s="112" t="n"/>
      <c r="BR50" s="21" t="n"/>
      <c r="BS50" s="21" t="n"/>
      <c r="BT50" s="21" t="n"/>
      <c r="BU50" s="21" t="n"/>
      <c r="BV50" s="21" t="n"/>
      <c r="BW50" s="114" t="n"/>
      <c r="BX50" s="112" t="n"/>
      <c r="BY50" s="21" t="n"/>
      <c r="BZ50" s="21" t="n"/>
      <c r="CA50" s="21" t="n"/>
      <c r="CB50" s="21" t="n"/>
      <c r="CC50" s="21" t="n"/>
      <c r="CD50" s="114" t="n"/>
      <c r="CK50" s="114" t="n"/>
      <c r="CL50" s="112" t="n"/>
    </row>
    <row r="51">
      <c r="A51" s="16" t="n">
        <v>45</v>
      </c>
      <c r="B51" s="17">
        <f t="array" ref="B51">INDEX(T,18+INT(MOD(R51-1,7)),lang)</f>
        <v/>
      </c>
      <c r="C51" s="18">
        <f t="array" ref="C51">INDEX(T,24+MONTH(R51),lang) &amp; " " &amp; DAY(R51) &amp; ", " &amp; YEAR(R51)</f>
        <v/>
      </c>
      <c r="D51" s="120">
        <f>TIME(HOUR(R51),MINUTE(R51),0)</f>
        <v/>
      </c>
      <c r="E51" s="78">
        <f>AE74</f>
        <v/>
      </c>
      <c r="F51" s="19" t="n">
        <v>3</v>
      </c>
      <c r="G51" s="20" t="n">
        <v>0</v>
      </c>
      <c r="H51" s="80">
        <f>AE76</f>
        <v/>
      </c>
      <c r="J51" s="30">
        <f>VLOOKUP(1,AD50:AN53,2,FALSE)</f>
        <v/>
      </c>
      <c r="K51" s="31">
        <f>L51+M51+N51</f>
        <v/>
      </c>
      <c r="L51" s="31">
        <f>VLOOKUP(1,AD50:AN53,3,FALSE)</f>
        <v/>
      </c>
      <c r="M51" s="31">
        <f>VLOOKUP(1,AD50:AN53,4,FALSE)</f>
        <v/>
      </c>
      <c r="N51" s="31">
        <f>VLOOKUP(1,AD50:AN53,5,FALSE)</f>
        <v/>
      </c>
      <c r="O51" s="31">
        <f>VLOOKUP(1,AD50:AN53,6,FALSE) &amp; " - " &amp; VLOOKUP(1,AD50:AN53,7,FALSE)</f>
        <v/>
      </c>
      <c r="P51" s="32">
        <f>L51*3+M51</f>
        <v/>
      </c>
      <c r="R51" s="123">
        <f>DATE(2026,6,23)+TIME(9,0,0)+gmt_delta</f>
        <v/>
      </c>
      <c r="S51" s="127">
        <f>IF(OR(F51="",G51=""),"",IF(F51&gt;G51,E51&amp;"_win",IF(F51&lt;G51,E51&amp;"_lose",E51&amp;"_draw")))</f>
        <v/>
      </c>
      <c r="T51" s="127">
        <f>IF(S51="","",IF(F51&lt;G51,H51&amp;"_win",IF(F51&gt;G51,H51&amp;"_lose",H51&amp;"_draw")))</f>
        <v/>
      </c>
      <c r="U51" s="123">
        <f>IF(S51="",0,IF(VLOOKUP(E51,$AE$8:$AN$77,10,FALSE)=VLOOKUP(H51,$AE$8:$AN$77,10,FALSE),1,0))</f>
        <v/>
      </c>
      <c r="V51" s="123">
        <f>U51*F51</f>
        <v/>
      </c>
      <c r="W51" s="123">
        <f>U51*G51</f>
        <v/>
      </c>
      <c r="X51" s="123">
        <f>IF(S51="",0,IF(VLOOKUP(E51,$AE$8:$AO$77,11,FALSE)=VLOOKUP(H51,$AE$8:$AO$77,11,FALSE),1,0))</f>
        <v/>
      </c>
      <c r="Y51" s="123">
        <f>X51*F51</f>
        <v/>
      </c>
      <c r="Z51" s="123">
        <f>X51*G51</f>
        <v/>
      </c>
      <c r="AA51" s="123">
        <f>IF(OR(E51=my_team,H51=my_team),1,IF(INT(MATCH(E51,$AE$8:$AE$78,0)/6)=$AA$6,1,0))</f>
        <v/>
      </c>
      <c r="AB51" s="123">
        <f>IF(OR(F51="",G51=""),"",IF(F51&gt;G51,1,IF(F51&lt;G51,-1,0)))</f>
        <v/>
      </c>
      <c r="AD51" s="123">
        <f>COUNTIF(AR50:AR53,CONCATENATE("&gt;=",AR51))</f>
        <v/>
      </c>
      <c r="AE51" s="124">
        <f>VLOOKUP("Cape Verde",T,lang,FALSE)</f>
        <v/>
      </c>
      <c r="AF51" s="123">
        <f>COUNTIF($S$7:$T$78,"=" &amp; AE51 &amp; "_win")</f>
        <v/>
      </c>
      <c r="AG51" s="123">
        <f>COUNTIF($S$7:$T$78,"=" &amp; AE51 &amp; "_draw")</f>
        <v/>
      </c>
      <c r="AH51" s="123">
        <f>COUNTIF($S$7:$T$78,"=" &amp; AE51 &amp; "_lose")</f>
        <v/>
      </c>
      <c r="AI51" s="123">
        <f>SUMIF($E$7:$E$78,$AE51,$F$7:$F$78) + SUMIF($H$7:$H$78,$AE51,$G$7:$G$78)</f>
        <v/>
      </c>
      <c r="AJ51" s="123">
        <f>SUMIF($E$7:$E$78,$AE51,$G$7:$G$78) + SUMIF($H$7:$H$78,$AE51,$F$7:$F$78)</f>
        <v/>
      </c>
      <c r="AL51" s="123">
        <f>AI51-AJ51</f>
        <v/>
      </c>
      <c r="AM51" s="123">
        <f>AL51-AL54</f>
        <v/>
      </c>
      <c r="AN51" s="123">
        <f>AF51*3+AG51</f>
        <v/>
      </c>
      <c r="AO51" s="123">
        <f>AN51/AN54*10+BA51</f>
        <v/>
      </c>
      <c r="AP51" s="123">
        <f>AO51*10000000+BI51*100+AM51/AM54*10+AI51/AI54*1++IF(AQ51=0,ROW(),AQ51)/2000000</f>
        <v/>
      </c>
      <c r="AQ51" s="126">
        <f>VLOOKUP(AE51,db_fifarank,2,FALSE)</f>
        <v/>
      </c>
      <c r="AR51" s="125">
        <f>AP51/AP54</f>
        <v/>
      </c>
      <c r="AS51" s="125">
        <f>IF(SUM(AF50:AH53)=12,J52,"2H")</f>
        <v/>
      </c>
      <c r="AT51" s="126">
        <f t="array" ref="AT51">SUMPRODUCT(($S$7:$S$78=AE51&amp;"_win")*($U$7:$U$78))+SUMPRODUCT(($T$7:$T$78=AE51&amp;"_win")*($U$7:$U$78))</f>
        <v/>
      </c>
      <c r="AU51" s="126">
        <f t="array" ref="AU51">SUMPRODUCT(($S$7:$S$78=AE51&amp;"_draw")*($U$7:$U$78))+SUMPRODUCT(($T$7:$T$78=AE51&amp;"_draw")*($U$7:$U$78))</f>
        <v/>
      </c>
      <c r="AV51" s="126">
        <f t="array" ref="AV51">SUMPRODUCT(($E$7:$E$78=AE51)*($U$7:$U$78)*($F$7:$F$78))+SUMPRODUCT(($H$7:$H$78=AE51)*($U$7:$U$78)*($G$7:$G$78))</f>
        <v/>
      </c>
      <c r="AW51" s="126">
        <f t="array" ref="AW51">SUMPRODUCT(($E$7:$E$78=AE51)*($U$7:$U$78)*($G$7:$G$78))+SUMPRODUCT(($H$7:$H$78=AE51)*($U$7:$U$78)*($F$7:$F$78))</f>
        <v/>
      </c>
      <c r="AX51" s="126">
        <f>AV51-AW51</f>
        <v/>
      </c>
      <c r="AY51" s="126">
        <f>AX51-MIN(AX50:AX53)</f>
        <v/>
      </c>
      <c r="AZ51" s="126">
        <f>AT51/AT54*1000+AU51/AU54*100+AY51/AY54*10+AV51/AV54</f>
        <v/>
      </c>
      <c r="BA51" s="126">
        <f>AZ51/AZ54</f>
        <v/>
      </c>
      <c r="BB51" s="126">
        <f t="array" ref="BB51">SUMPRODUCT(($S$7:$S$78=AE51&amp;"_win")*($X$7:$X$78))+SUMPRODUCT(($T$7:$T$78=AE51&amp;"_win")*($X$7:$X$78))</f>
        <v/>
      </c>
      <c r="BC51" s="126">
        <f t="array" ref="BC51">SUMPRODUCT(($S$7:$S$78=AE51&amp;"_draw")*($X$7:$X$78))+SUMPRODUCT(($T$7:$T$78=AE51&amp;"_draw")*($X$7:$X$78))</f>
        <v/>
      </c>
      <c r="BD51" s="126">
        <f t="array" ref="BD51">SUMPRODUCT(($E$7:$E$78=AE51)*($X$7:$X$78)*($F$7:$F$78))+SUMPRODUCT(($H$7:$H$78=AE51)*($X$7:$X$78)*($G$7:$G$78))</f>
        <v/>
      </c>
      <c r="BE51" s="126">
        <f t="array" ref="BE51">SUMPRODUCT(($E$7:$E$78=AE51)*($X$7:$X$78)*($G$7:$G$78))+SUMPRODUCT(($H$7:$H$78=AE51)*($X$7:$X$78)*($F$7:$F$78))</f>
        <v/>
      </c>
      <c r="BF51" s="126">
        <f>BD51-BE51</f>
        <v/>
      </c>
      <c r="BG51" s="126">
        <f>BF51-MIN(BF50:BF53)</f>
        <v/>
      </c>
      <c r="BH51" s="126">
        <f>BB51/BB54*1000+BC51/BC54*100+BG51/BG54*10+BD51/BD54</f>
        <v/>
      </c>
      <c r="BI51" s="126">
        <f>BH51/BH54</f>
        <v/>
      </c>
      <c r="BK51" s="180" t="n"/>
      <c r="BL51" s="26">
        <f>IF(group_round_completed,VLOOKUP('3rd places'!D3,AK80:AS91,9,FALSE),"3rd Group C/E/F/H/I")</f>
        <v/>
      </c>
      <c r="BM51" s="62" t="n">
        <v>0</v>
      </c>
      <c r="BN51" s="64" t="n"/>
      <c r="BO51" s="27" t="n"/>
      <c r="BP51" s="113">
        <f>IF(BP50="","",BM51*1000+BN51*10+BO51)</f>
        <v/>
      </c>
      <c r="BQ51" s="112" t="n"/>
      <c r="BR51" s="21">
        <f t="array" ref="BR51">INDEX(T,24+MONTH(BW51),lang) &amp; " " &amp; DAY(BW51) &amp; ", " &amp; YEAR(BW51) &amp; "   " &amp; (IF(HOUR(BW51)&lt;10,0,"")&amp;HOUR(BW51)) &amp; ":" &amp;  (IF(MINUTE(BW51)&lt;10,0,"")&amp;MINUTE(BW51))</f>
        <v/>
      </c>
      <c r="BS51" s="21" t="n"/>
      <c r="BT51" s="21" t="n"/>
      <c r="BU51" s="21" t="n"/>
      <c r="BV51" s="28" t="n"/>
      <c r="BW51" s="114">
        <f>DATE(2026,7,5)+TIME(13,0,0)+gmt_delta</f>
        <v/>
      </c>
      <c r="BX51" s="112" t="n"/>
      <c r="BY51" s="21" t="n"/>
      <c r="BZ51" s="21" t="n"/>
      <c r="CA51" s="21" t="n"/>
      <c r="CB51" s="21" t="n"/>
      <c r="CC51" s="21" t="n"/>
      <c r="CD51" s="114" t="n"/>
      <c r="CK51" s="114" t="n"/>
      <c r="CL51" s="112" t="n"/>
    </row>
    <row r="52">
      <c r="A52" s="16" t="n">
        <v>46</v>
      </c>
      <c r="B52" s="17">
        <f t="array" ref="B52">INDEX(T,18+INT(MOD(R52-1,7)),lang)</f>
        <v/>
      </c>
      <c r="C52" s="18">
        <f t="array" ref="C52">INDEX(T,24+MONTH(R52),lang) &amp; " " &amp; DAY(R52) &amp; ", " &amp; YEAR(R52)</f>
        <v/>
      </c>
      <c r="D52" s="120">
        <f>TIME(HOUR(R52),MINUTE(R52),0)</f>
        <v/>
      </c>
      <c r="E52" s="78">
        <f>AE77</f>
        <v/>
      </c>
      <c r="F52" s="19" t="n">
        <v>0</v>
      </c>
      <c r="G52" s="20" t="n">
        <v>2</v>
      </c>
      <c r="H52" s="80">
        <f>AE75</f>
        <v/>
      </c>
      <c r="J52" s="33">
        <f>VLOOKUP(2,AD50:AN53,2,FALSE)</f>
        <v/>
      </c>
      <c r="K52" s="23">
        <f>L52+M52+N52</f>
        <v/>
      </c>
      <c r="L52" s="23">
        <f>VLOOKUP(2,AD50:AN53,3,FALSE)</f>
        <v/>
      </c>
      <c r="M52" s="23">
        <f>VLOOKUP(2,AD50:AN53,4,FALSE)</f>
        <v/>
      </c>
      <c r="N52" s="23">
        <f>VLOOKUP(2,AD50:AN53,5,FALSE)</f>
        <v/>
      </c>
      <c r="O52" s="23">
        <f>VLOOKUP(2,AD50:AN53,6,FALSE) &amp; " - " &amp; VLOOKUP(2,AD50:AN53,7,FALSE)</f>
        <v/>
      </c>
      <c r="P52" s="34">
        <f>L52*3+M52</f>
        <v/>
      </c>
      <c r="R52" s="123">
        <f>DATE(2026,6,23)+TIME(12,0,0)+gmt_delta</f>
        <v/>
      </c>
      <c r="S52" s="127">
        <f>IF(OR(F52="",G52=""),"",IF(F52&gt;G52,E52&amp;"_win",IF(F52&lt;G52,E52&amp;"_lose",E52&amp;"_draw")))</f>
        <v/>
      </c>
      <c r="T52" s="127">
        <f>IF(S52="","",IF(F52&lt;G52,H52&amp;"_win",IF(F52&gt;G52,H52&amp;"_lose",H52&amp;"_draw")))</f>
        <v/>
      </c>
      <c r="U52" s="123">
        <f>IF(S52="",0,IF(VLOOKUP(E52,$AE$8:$AN$77,10,FALSE)=VLOOKUP(H52,$AE$8:$AN$77,10,FALSE),1,0))</f>
        <v/>
      </c>
      <c r="V52" s="123">
        <f>U52*F52</f>
        <v/>
      </c>
      <c r="W52" s="123">
        <f>U52*G52</f>
        <v/>
      </c>
      <c r="X52" s="123">
        <f>IF(S52="",0,IF(VLOOKUP(E52,$AE$8:$AO$77,11,FALSE)=VLOOKUP(H52,$AE$8:$AO$77,11,FALSE),1,0))</f>
        <v/>
      </c>
      <c r="Y52" s="123">
        <f>X52*F52</f>
        <v/>
      </c>
      <c r="Z52" s="123">
        <f>X52*G52</f>
        <v/>
      </c>
      <c r="AA52" s="123">
        <f>IF(OR(E52=my_team,H52=my_team),1,IF(INT(MATCH(E52,$AE$8:$AE$78,0)/6)=$AA$6,1,0))</f>
        <v/>
      </c>
      <c r="AB52" s="123">
        <f>IF(OR(F52="",G52=""),"",IF(F52&gt;G52,1,IF(F52&lt;G52,-1,0)))</f>
        <v/>
      </c>
      <c r="AD52" s="123">
        <f>COUNTIF(AR50:AR53,CONCATENATE("&gt;=",AR52))</f>
        <v/>
      </c>
      <c r="AE52" s="124">
        <f>VLOOKUP("Saudi Arabia",T,lang,FALSE)</f>
        <v/>
      </c>
      <c r="AF52" s="123">
        <f>COUNTIF($S$7:$T$78,"=" &amp; AE52 &amp; "_win")</f>
        <v/>
      </c>
      <c r="AG52" s="123">
        <f>COUNTIF($S$7:$T$78,"=" &amp; AE52 &amp; "_draw")</f>
        <v/>
      </c>
      <c r="AH52" s="123">
        <f>COUNTIF($S$7:$T$78,"=" &amp; AE52 &amp; "_lose")</f>
        <v/>
      </c>
      <c r="AI52" s="123">
        <f>SUMIF($E$7:$E$78,$AE52,$F$7:$F$78) + SUMIF($H$7:$H$78,$AE52,$G$7:$G$78)</f>
        <v/>
      </c>
      <c r="AJ52" s="123">
        <f>SUMIF($E$7:$E$78,$AE52,$G$7:$G$78) + SUMIF($H$7:$H$78,$AE52,$F$7:$F$78)</f>
        <v/>
      </c>
      <c r="AL52" s="123">
        <f>AI52-AJ52</f>
        <v/>
      </c>
      <c r="AM52" s="123">
        <f>AL52-AL54</f>
        <v/>
      </c>
      <c r="AN52" s="123">
        <f>AF52*3+AG52</f>
        <v/>
      </c>
      <c r="AO52" s="123">
        <f>AN52/AN54*10+BA52</f>
        <v/>
      </c>
      <c r="AP52" s="123">
        <f>AO52*10000000+BI52*100+AM52/AM54*10+AI52/AI54*1++IF(AQ52=0,ROW(),AQ52)/2000000</f>
        <v/>
      </c>
      <c r="AQ52" s="126">
        <f>VLOOKUP(AE52,db_fifarank,2,FALSE)</f>
        <v/>
      </c>
      <c r="AR52" s="125">
        <f>AP52/AP54</f>
        <v/>
      </c>
      <c r="AT52" s="126">
        <f t="array" ref="AT52">SUMPRODUCT(($S$7:$S$78=AE52&amp;"_win")*($U$7:$U$78))+SUMPRODUCT(($T$7:$T$78=AE52&amp;"_win")*($U$7:$U$78))</f>
        <v/>
      </c>
      <c r="AU52" s="126">
        <f t="array" ref="AU52">SUMPRODUCT(($S$7:$S$78=AE52&amp;"_draw")*($U$7:$U$78))+SUMPRODUCT(($T$7:$T$78=AE52&amp;"_draw")*($U$7:$U$78))</f>
        <v/>
      </c>
      <c r="AV52" s="126">
        <f t="array" ref="AV52">SUMPRODUCT(($E$7:$E$78=AE52)*($U$7:$U$78)*($F$7:$F$78))+SUMPRODUCT(($H$7:$H$78=AE52)*($U$7:$U$78)*($G$7:$G$78))</f>
        <v/>
      </c>
      <c r="AW52" s="126">
        <f t="array" ref="AW52">SUMPRODUCT(($E$7:$E$78=AE52)*($U$7:$U$78)*($G$7:$G$78))+SUMPRODUCT(($H$7:$H$78=AE52)*($U$7:$U$78)*($F$7:$F$78))</f>
        <v/>
      </c>
      <c r="AX52" s="126">
        <f>AV52-AW52</f>
        <v/>
      </c>
      <c r="AY52" s="126">
        <f>AX52-MIN(AX50:AX53)</f>
        <v/>
      </c>
      <c r="AZ52" s="126">
        <f>AT52/AT54*1000+AU52/AU54*100+AY52/AY54*10+AV52/AV54</f>
        <v/>
      </c>
      <c r="BA52" s="126">
        <f>AZ52/AZ54</f>
        <v/>
      </c>
      <c r="BB52" s="126">
        <f t="array" ref="BB52">SUMPRODUCT(($S$7:$S$78=AE52&amp;"_win")*($X$7:$X$78))+SUMPRODUCT(($T$7:$T$78=AE52&amp;"_win")*($X$7:$X$78))</f>
        <v/>
      </c>
      <c r="BC52" s="126">
        <f t="array" ref="BC52">SUMPRODUCT(($S$7:$S$78=AE52&amp;"_draw")*($X$7:$X$78))+SUMPRODUCT(($T$7:$T$78=AE52&amp;"_draw")*($X$7:$X$78))</f>
        <v/>
      </c>
      <c r="BD52" s="126">
        <f t="array" ref="BD52">SUMPRODUCT(($E$7:$E$78=AE52)*($X$7:$X$78)*($F$7:$F$78))+SUMPRODUCT(($H$7:$H$78=AE52)*($X$7:$X$78)*($G$7:$G$78))</f>
        <v/>
      </c>
      <c r="BE52" s="126">
        <f t="array" ref="BE52">SUMPRODUCT(($E$7:$E$78=AE52)*($X$7:$X$78)*($G$7:$G$78))+SUMPRODUCT(($H$7:$H$78=AE52)*($X$7:$X$78)*($F$7:$F$78))</f>
        <v/>
      </c>
      <c r="BF52" s="126">
        <f>BD52-BE52</f>
        <v/>
      </c>
      <c r="BG52" s="126">
        <f>BF52-MIN(BF50:BF53)</f>
        <v/>
      </c>
      <c r="BH52" s="126">
        <f>BB52/BB54*1000+BC52/BC54*100+BG52/BG54*10+BD52/BD54</f>
        <v/>
      </c>
      <c r="BI52" s="126">
        <f>BH52/BH54</f>
        <v/>
      </c>
      <c r="BK52" s="21" t="n"/>
      <c r="BL52" s="21" t="n"/>
      <c r="BM52" s="21" t="n"/>
      <c r="BN52" s="21" t="n"/>
      <c r="BO52" s="21" t="n"/>
      <c r="BP52" s="114" t="n"/>
      <c r="BQ52" s="112" t="n"/>
      <c r="BR52" s="179" t="n">
        <v>92</v>
      </c>
      <c r="BS52" s="24">
        <f>IF(BP50&gt;BP51,BL50,IF(BP50&lt;BP51,BL51,""))</f>
        <v/>
      </c>
      <c r="BT52" s="61" t="n">
        <v>0</v>
      </c>
      <c r="BU52" s="63" t="n"/>
      <c r="BV52" s="25" t="n"/>
      <c r="BW52" s="116">
        <f>IF(OR(BT52="",BT53="",AND(BU52="",BU53&lt;&gt;""),AND(BU53="",BU52&lt;&gt;""),AND(BV52="",BV53&lt;&gt;""),AND(BV53="",BV52&lt;&gt;"")),"",BT52*1000+BU52*10+BV52)</f>
        <v/>
      </c>
      <c r="BX52" s="112" t="n"/>
      <c r="BY52" s="21" t="n"/>
      <c r="BZ52" s="21" t="n"/>
      <c r="CA52" s="21" t="n"/>
      <c r="CB52" s="21" t="n"/>
      <c r="CC52" s="21" t="n"/>
      <c r="CD52" s="114" t="n"/>
      <c r="CK52" s="114" t="n"/>
      <c r="CL52" s="112" t="n"/>
    </row>
    <row r="53">
      <c r="A53" s="16" t="n">
        <v>47</v>
      </c>
      <c r="B53" s="17">
        <f t="array" ref="B53">INDEX(T,18+INT(MOD(R53-1,7)),lang)</f>
        <v/>
      </c>
      <c r="C53" s="18">
        <f t="array" ref="C53">INDEX(T,24+MONTH(R53),lang) &amp; " " &amp; DAY(R53) &amp; ", " &amp; YEAR(R53)</f>
        <v/>
      </c>
      <c r="D53" s="120">
        <f>TIME(HOUR(R53),MINUTE(R53),0)</f>
        <v/>
      </c>
      <c r="E53" s="78">
        <f>AE68</f>
        <v/>
      </c>
      <c r="F53" s="19" t="n">
        <v>3</v>
      </c>
      <c r="G53" s="20" t="n">
        <v>0</v>
      </c>
      <c r="H53" s="80">
        <f>AE70</f>
        <v/>
      </c>
      <c r="J53" s="33">
        <f>VLOOKUP(3,AD50:AN53,2,FALSE)</f>
        <v/>
      </c>
      <c r="K53" s="23">
        <f>L53+M53+N53</f>
        <v/>
      </c>
      <c r="L53" s="23">
        <f>VLOOKUP(3,AD50:AN53,3,FALSE)</f>
        <v/>
      </c>
      <c r="M53" s="23">
        <f>VLOOKUP(3,AD50:AN53,4,FALSE)</f>
        <v/>
      </c>
      <c r="N53" s="23">
        <f>VLOOKUP(3,AD50:AN53,5,FALSE)</f>
        <v/>
      </c>
      <c r="O53" s="23">
        <f>VLOOKUP(3,AD50:AN53,6,FALSE) &amp; " - " &amp; VLOOKUP(3,AD50:AN53,7,FALSE)</f>
        <v/>
      </c>
      <c r="P53" s="34">
        <f>L53*3+M53</f>
        <v/>
      </c>
      <c r="R53" s="123">
        <f>DATE(2026,6,23)+TIME(6,0,0)+gmt_delta</f>
        <v/>
      </c>
      <c r="S53" s="127">
        <f>IF(OR(F53="",G53=""),"",IF(F53&gt;G53,E53&amp;"_win",IF(F53&lt;G53,E53&amp;"_lose",E53&amp;"_draw")))</f>
        <v/>
      </c>
      <c r="T53" s="127">
        <f>IF(S53="","",IF(F53&lt;G53,H53&amp;"_win",IF(F53&gt;G53,H53&amp;"_lose",H53&amp;"_draw")))</f>
        <v/>
      </c>
      <c r="U53" s="123">
        <f>IF(S53="",0,IF(VLOOKUP(E53,$AE$8:$AN$77,10,FALSE)=VLOOKUP(H53,$AE$8:$AN$77,10,FALSE),1,0))</f>
        <v/>
      </c>
      <c r="V53" s="123">
        <f>U53*F53</f>
        <v/>
      </c>
      <c r="W53" s="123">
        <f>U53*G53</f>
        <v/>
      </c>
      <c r="X53" s="123">
        <f>IF(S53="",0,IF(VLOOKUP(E53,$AE$8:$AO$77,11,FALSE)=VLOOKUP(H53,$AE$8:$AO$77,11,FALSE),1,0))</f>
        <v/>
      </c>
      <c r="Y53" s="123">
        <f>X53*F53</f>
        <v/>
      </c>
      <c r="Z53" s="123">
        <f>X53*G53</f>
        <v/>
      </c>
      <c r="AA53" s="123">
        <f>IF(OR(E53=my_team,H53=my_team),1,IF(INT(MATCH(E53,$AE$8:$AE$78,0)/6)=$AA$6,1,0))</f>
        <v/>
      </c>
      <c r="AB53" s="123">
        <f>IF(OR(F53="",G53=""),"",IF(F53&gt;G53,1,IF(F53&lt;G53,-1,0)))</f>
        <v/>
      </c>
      <c r="AD53" s="123">
        <f>COUNTIF(AR50:AR53,CONCATENATE("&gt;=",AR53))</f>
        <v/>
      </c>
      <c r="AE53" s="124">
        <f>VLOOKUP("Uruguay",T,lang,FALSE)</f>
        <v/>
      </c>
      <c r="AF53" s="123">
        <f>COUNTIF($S$7:$T$78,"=" &amp; AE53 &amp; "_win")</f>
        <v/>
      </c>
      <c r="AG53" s="123">
        <f>COUNTIF($S$7:$T$78,"=" &amp; AE53 &amp; "_draw")</f>
        <v/>
      </c>
      <c r="AH53" s="123">
        <f>COUNTIF($S$7:$T$78,"=" &amp; AE53 &amp; "_lose")</f>
        <v/>
      </c>
      <c r="AI53" s="123">
        <f>SUMIF($E$7:$E$78,$AE53,$F$7:$F$78) + SUMIF($H$7:$H$78,$AE53,$G$7:$G$78)</f>
        <v/>
      </c>
      <c r="AJ53" s="123">
        <f>SUMIF($E$7:$E$78,$AE53,$G$7:$G$78) + SUMIF($H$7:$H$78,$AE53,$F$7:$F$78)</f>
        <v/>
      </c>
      <c r="AL53" s="123">
        <f>AI53-AJ53</f>
        <v/>
      </c>
      <c r="AM53" s="123">
        <f>AL53-AL54</f>
        <v/>
      </c>
      <c r="AN53" s="123">
        <f>AF53*3+AG53</f>
        <v/>
      </c>
      <c r="AO53" s="123">
        <f>AN53/AN54*10+BA53</f>
        <v/>
      </c>
      <c r="AP53" s="123">
        <f>AO53*10000000+BI53*100+AM53/AM54*10+AI53/AI54*1++IF(AQ53=0,ROW(),AQ53)/2000000</f>
        <v/>
      </c>
      <c r="AQ53" s="126">
        <f>VLOOKUP(AE53,db_fifarank,2,FALSE)</f>
        <v/>
      </c>
      <c r="AR53" s="125">
        <f>AP53/AP54</f>
        <v/>
      </c>
      <c r="AT53" s="126">
        <f t="array" ref="AT53">SUMPRODUCT(($S$7:$S$78=AE53&amp;"_win")*($U$7:$U$78))+SUMPRODUCT(($T$7:$T$78=AE53&amp;"_win")*($U$7:$U$78))</f>
        <v/>
      </c>
      <c r="AU53" s="126">
        <f t="array" ref="AU53">SUMPRODUCT(($S$7:$S$78=AE53&amp;"_draw")*($U$7:$U$78))+SUMPRODUCT(($T$7:$T$78=AE53&amp;"_draw")*($U$7:$U$78))</f>
        <v/>
      </c>
      <c r="AV53" s="126">
        <f t="array" ref="AV53">SUMPRODUCT(($E$7:$E$78=AE53)*($U$7:$U$78)*($F$7:$F$78))+SUMPRODUCT(($H$7:$H$78=AE53)*($U$7:$U$78)*($G$7:$G$78))</f>
        <v/>
      </c>
      <c r="AW53" s="126">
        <f t="array" ref="AW53">SUMPRODUCT(($E$7:$E$78=AE53)*($U$7:$U$78)*($G$7:$G$78))+SUMPRODUCT(($H$7:$H$78=AE53)*($U$7:$U$78)*($F$7:$F$78))</f>
        <v/>
      </c>
      <c r="AX53" s="126">
        <f>AV53-AW53</f>
        <v/>
      </c>
      <c r="AY53" s="126">
        <f>AX53-MIN(AX50:AX53)</f>
        <v/>
      </c>
      <c r="AZ53" s="126">
        <f>AT53/AT54*1000+AU53/AU54*100+AY53/AY54*10+AV53/AV54</f>
        <v/>
      </c>
      <c r="BA53" s="126">
        <f>AZ53/AZ54</f>
        <v/>
      </c>
      <c r="BB53" s="126">
        <f t="array" ref="BB53">SUMPRODUCT(($S$7:$S$78=AE53&amp;"_win")*($X$7:$X$78))+SUMPRODUCT(($T$7:$T$78=AE53&amp;"_win")*($X$7:$X$78))</f>
        <v/>
      </c>
      <c r="BC53" s="126">
        <f t="array" ref="BC53">SUMPRODUCT(($S$7:$S$78=AE53&amp;"_draw")*($X$7:$X$78))+SUMPRODUCT(($T$7:$T$78=AE53&amp;"_draw")*($X$7:$X$78))</f>
        <v/>
      </c>
      <c r="BD53" s="126">
        <f t="array" ref="BD53">SUMPRODUCT(($E$7:$E$78=AE53)*($X$7:$X$78)*($F$7:$F$78))+SUMPRODUCT(($H$7:$H$78=AE53)*($X$7:$X$78)*($G$7:$G$78))</f>
        <v/>
      </c>
      <c r="BE53" s="126">
        <f t="array" ref="BE53">SUMPRODUCT(($E$7:$E$78=AE53)*($X$7:$X$78)*($G$7:$G$78))+SUMPRODUCT(($H$7:$H$78=AE53)*($X$7:$X$78)*($F$7:$F$78))</f>
        <v/>
      </c>
      <c r="BF53" s="126">
        <f>BD53-BE53</f>
        <v/>
      </c>
      <c r="BG53" s="126">
        <f>BF53-MIN(BF50:BF53)</f>
        <v/>
      </c>
      <c r="BH53" s="126">
        <f>BB53/BB54*1000+BC53/BC54*100+BG53/BG54*10+BD53/BD54</f>
        <v/>
      </c>
      <c r="BI53" s="126">
        <f>BH53/BH54</f>
        <v/>
      </c>
      <c r="BK53" s="21">
        <f t="array" ref="BK53">INDEX(T,24+MONTH(BP53),lang) &amp; " " &amp; DAY(BP53) &amp; ", " &amp; YEAR(BP53) &amp; "   " &amp; (IF(HOUR(BP53)&lt;10,0,"")&amp;HOUR(BP53)) &amp; ":" &amp;  (IF(MINUTE(BP53)&lt;10,0,"")&amp;MINUTE(BP53))</f>
        <v/>
      </c>
      <c r="BL53" s="21" t="n"/>
      <c r="BM53" s="21" t="n"/>
      <c r="BN53" s="21" t="n"/>
      <c r="BO53" s="28" t="n"/>
      <c r="BP53" s="114">
        <f>DATE(2026,7,1)+TIME(5,0,0)+gmt_delta</f>
        <v/>
      </c>
      <c r="BQ53" s="115" t="n"/>
      <c r="BR53" s="180" t="n"/>
      <c r="BS53" s="26">
        <f>IF(BP54&gt;BP55,BL54,IF(BP54&lt;BP55,BL55,""))</f>
        <v/>
      </c>
      <c r="BT53" s="62" t="n">
        <v>2</v>
      </c>
      <c r="BU53" s="64" t="n"/>
      <c r="BV53" s="27" t="n"/>
      <c r="BW53" s="112">
        <f>IF(BW52="","",BT53*1000+BU53*10+BV53)</f>
        <v/>
      </c>
      <c r="BX53" s="112" t="n"/>
      <c r="BY53" s="21" t="n"/>
      <c r="BZ53" s="21" t="n"/>
      <c r="CA53" s="21" t="n"/>
      <c r="CB53" s="21" t="n"/>
      <c r="CC53" s="21" t="n"/>
      <c r="CD53" s="114" t="n"/>
      <c r="CK53" s="114" t="n"/>
      <c r="CL53" s="112" t="n"/>
    </row>
    <row r="54">
      <c r="A54" s="16" t="n">
        <v>48</v>
      </c>
      <c r="B54" s="17">
        <f t="array" ref="B54">INDEX(T,18+INT(MOD(R54-1,7)),lang)</f>
        <v/>
      </c>
      <c r="C54" s="18">
        <f t="array" ref="C54">INDEX(T,24+MONTH(R54),lang) &amp; " " &amp; DAY(R54) &amp; ", " &amp; YEAR(R54)</f>
        <v/>
      </c>
      <c r="D54" s="120">
        <f>TIME(HOUR(R54),MINUTE(R54),0)</f>
        <v/>
      </c>
      <c r="E54" s="78">
        <f>AE71</f>
        <v/>
      </c>
      <c r="F54" s="19" t="n">
        <v>3</v>
      </c>
      <c r="G54" s="20" t="n">
        <v>1</v>
      </c>
      <c r="H54" s="80">
        <f>AE69</f>
        <v/>
      </c>
      <c r="J54" s="35">
        <f>VLOOKUP(4,AD50:AN53,2,FALSE)</f>
        <v/>
      </c>
      <c r="K54" s="36">
        <f>L54+M54+N54</f>
        <v/>
      </c>
      <c r="L54" s="36">
        <f>VLOOKUP(4,AD50:AN53,3,FALSE)</f>
        <v/>
      </c>
      <c r="M54" s="36">
        <f>VLOOKUP(4,AD50:AN53,4,FALSE)</f>
        <v/>
      </c>
      <c r="N54" s="36">
        <f>VLOOKUP(4,AD50:AN53,5,FALSE)</f>
        <v/>
      </c>
      <c r="O54" s="36">
        <f>VLOOKUP(4,AD50:AN53,6,FALSE) &amp; " - " &amp; VLOOKUP(4,AD50:AN53,7,FALSE)</f>
        <v/>
      </c>
      <c r="P54" s="37">
        <f>L54*3+M54</f>
        <v/>
      </c>
      <c r="R54" s="123">
        <f>DATE(2026,6,23)+TIME(15,0,0)+gmt_delta</f>
        <v/>
      </c>
      <c r="S54" s="127">
        <f>IF(OR(F54="",G54=""),"",IF(F54&gt;G54,E54&amp;"_win",IF(F54&lt;G54,E54&amp;"_lose",E54&amp;"_draw")))</f>
        <v/>
      </c>
      <c r="T54" s="127">
        <f>IF(S54="","",IF(F54&lt;G54,H54&amp;"_win",IF(F54&gt;G54,H54&amp;"_lose",H54&amp;"_draw")))</f>
        <v/>
      </c>
      <c r="U54" s="123">
        <f>IF(S54="",0,IF(VLOOKUP(E54,$AE$8:$AN$77,10,FALSE)=VLOOKUP(H54,$AE$8:$AN$77,10,FALSE),1,0))</f>
        <v/>
      </c>
      <c r="V54" s="123">
        <f>U54*F54</f>
        <v/>
      </c>
      <c r="W54" s="123">
        <f>U54*G54</f>
        <v/>
      </c>
      <c r="X54" s="123">
        <f>IF(S54="",0,IF(VLOOKUP(E54,$AE$8:$AO$77,11,FALSE)=VLOOKUP(H54,$AE$8:$AO$77,11,FALSE),1,0))</f>
        <v/>
      </c>
      <c r="Y54" s="123">
        <f>X54*F54</f>
        <v/>
      </c>
      <c r="Z54" s="123">
        <f>X54*G54</f>
        <v/>
      </c>
      <c r="AA54" s="123">
        <f>IF(OR(E54=my_team,H54=my_team),1,IF(INT(MATCH(E54,$AE$8:$AE$78,0)/6)=$AA$6,1,0))</f>
        <v/>
      </c>
      <c r="AB54" s="123">
        <f>IF(OR(F54="",G54=""),"",IF(F54&gt;G54,1,IF(F54&lt;G54,-1,0)))</f>
        <v/>
      </c>
      <c r="AF54" s="123">
        <f>MAX(AF50:AF53)-MIN(AF50:AF53)+1</f>
        <v/>
      </c>
      <c r="AG54" s="123">
        <f>MAX(AG50:AG53)-MIN(AG50:AG53)+1</f>
        <v/>
      </c>
      <c r="AH54" s="123">
        <f>MAX(AH50:AH53)-MIN(AH50:AH53)+1</f>
        <v/>
      </c>
      <c r="AI54" s="123">
        <f>MAX(AI50:AI53)+1</f>
        <v/>
      </c>
      <c r="AL54" s="123">
        <f>MIN(AL50:AL53)</f>
        <v/>
      </c>
      <c r="AM54" s="123">
        <f>MAX(AM50:AM53)+1</f>
        <v/>
      </c>
      <c r="AN54" s="123">
        <f>MAX(AN50:AN53)+1</f>
        <v/>
      </c>
      <c r="AO54" s="123">
        <f>MAX(AO50:AO53)+1</f>
        <v/>
      </c>
      <c r="AP54" s="123">
        <f>MAX(AP50:AP53)+1</f>
        <v/>
      </c>
      <c r="AT54" s="126">
        <f>MAX(AT50:AT53)-MIN(AT50:AT53)+1</f>
        <v/>
      </c>
      <c r="AU54" s="126">
        <f>MAX(AU50:AU53)-MIN(AU50:AU53)+1</f>
        <v/>
      </c>
      <c r="AV54" s="126">
        <f>MAX(AV50:AV53)-MIN(AV50:AV53)+1</f>
        <v/>
      </c>
      <c r="AW54" s="126">
        <f>MAX(AW50:AW53)-MIN(AW50:AW53)+1</f>
        <v/>
      </c>
      <c r="AY54" s="126">
        <f>MAX(AY50:AY53)-MIN(AY50:AY53)+1</f>
        <v/>
      </c>
      <c r="AZ54" s="126">
        <f>MAX(AZ50:AZ53)+1</f>
        <v/>
      </c>
      <c r="BB54" s="126">
        <f>MAX(BB50:BB53)-MIN(BB50:BB53)+1</f>
        <v/>
      </c>
      <c r="BC54" s="126">
        <f>MAX(BC50:BC53)-MIN(BC50:BC53)+1</f>
        <v/>
      </c>
      <c r="BD54" s="126">
        <f>MAX(BD50:BD53)-MIN(BD50:BD53)+1</f>
        <v/>
      </c>
      <c r="BE54" s="126">
        <f>MAX(BE50:BE53)-MIN(BE50:BE53)+1</f>
        <v/>
      </c>
      <c r="BG54" s="126">
        <f>MAX(BG50:BG53)-MIN(BG50:BG53)+1</f>
        <v/>
      </c>
      <c r="BH54" s="126">
        <f>MAX(BH50:BH53)+1</f>
        <v/>
      </c>
      <c r="BK54" s="179" t="n">
        <v>80</v>
      </c>
      <c r="BL54" s="24">
        <f>AS74</f>
        <v/>
      </c>
      <c r="BM54" s="61" t="n">
        <v>2</v>
      </c>
      <c r="BN54" s="63" t="n"/>
      <c r="BO54" s="25" t="n"/>
      <c r="BP54" s="116">
        <f>IF(OR(BM54="",BM55="",AND(BN54="",BN55&lt;&gt;""),AND(BN55="",BN54&lt;&gt;""),AND(BO54="",BO55&lt;&gt;""),AND(BO55="",BO54&lt;&gt;"")),"",BM54*1000+BN54*10+BO54)</f>
        <v/>
      </c>
      <c r="BQ54" s="112" t="n"/>
      <c r="BR54" s="21" t="n"/>
      <c r="BS54" s="21" t="n"/>
      <c r="BT54" s="21" t="n"/>
      <c r="BU54" s="21" t="n"/>
      <c r="BV54" s="21" t="n"/>
      <c r="BW54" s="112" t="n"/>
      <c r="BX54" s="112" t="n"/>
      <c r="BY54" s="21" t="n"/>
      <c r="BZ54" s="21" t="n"/>
      <c r="CA54" s="21" t="n"/>
      <c r="CB54" s="21" t="n"/>
      <c r="CC54" s="21" t="n"/>
      <c r="CD54" s="114" t="n"/>
      <c r="CE54" s="112" t="n"/>
      <c r="CF54" s="21">
        <f t="array" ref="CF54">INDEX(T,24+MONTH(CK54),lang) &amp; " " &amp; DAY(CK54) &amp; ", " &amp; YEAR(CK54) &amp; "   " &amp; (IF(HOUR(CK54)&lt;10,0,"")&amp;HOUR(CK54)) &amp; ":" &amp;  (IF(MINUTE(CK54)&lt;10,0,"")&amp;MINUTE(CK54))</f>
        <v/>
      </c>
      <c r="CG54" s="21" t="n"/>
      <c r="CH54" s="21" t="n"/>
      <c r="CI54" s="21" t="n"/>
      <c r="CJ54" s="28" t="n"/>
      <c r="CK54" s="114">
        <f>DATE(2026,7,15)+TIME(8,0,0)+gmt_delta</f>
        <v/>
      </c>
      <c r="CL54" s="112" t="n"/>
    </row>
    <row r="55">
      <c r="A55" s="16" t="n">
        <v>49</v>
      </c>
      <c r="B55" s="17">
        <f t="array" ref="B55">INDEX(T,18+INT(MOD(R55-1,7)),lang)</f>
        <v/>
      </c>
      <c r="C55" s="18">
        <f t="array" ref="C55">INDEX(T,24+MONTH(R55),lang) &amp; " " &amp; DAY(R55) &amp; ", " &amp; YEAR(R55)</f>
        <v/>
      </c>
      <c r="D55" s="120">
        <f>TIME(HOUR(R55),MINUTE(R55),0)</f>
        <v/>
      </c>
      <c r="E55" s="78">
        <f>AE23</f>
        <v/>
      </c>
      <c r="F55" s="19" t="n">
        <v>1</v>
      </c>
      <c r="G55" s="20" t="n">
        <v>3</v>
      </c>
      <c r="H55" s="80">
        <f>AE20</f>
        <v/>
      </c>
      <c r="I55" s="69" t="n"/>
      <c r="J55" s="72" t="n"/>
      <c r="K55" s="70" t="n"/>
      <c r="L55" s="70" t="n"/>
      <c r="M55" s="70" t="n"/>
      <c r="N55" s="70" t="n"/>
      <c r="O55" s="70" t="n"/>
      <c r="P55" s="70" t="n"/>
      <c r="R55" s="123">
        <f>DATE(2026,6,24)+TIME(11,0,0)+gmt_delta</f>
        <v/>
      </c>
      <c r="S55" s="127">
        <f>IF(OR(F55="",G55=""),"",IF(F55&gt;G55,E55&amp;"_win",IF(F55&lt;G55,E55&amp;"_lose",E55&amp;"_draw")))</f>
        <v/>
      </c>
      <c r="T55" s="127">
        <f>IF(S55="","",IF(F55&lt;G55,H55&amp;"_win",IF(F55&gt;G55,H55&amp;"_lose",H55&amp;"_draw")))</f>
        <v/>
      </c>
      <c r="U55" s="123">
        <f>IF(S55="",0,IF(VLOOKUP(E55,$AE$8:$AN$77,10,FALSE)=VLOOKUP(H55,$AE$8:$AN$77,10,FALSE),1,0))</f>
        <v/>
      </c>
      <c r="V55" s="123">
        <f>U55*F55</f>
        <v/>
      </c>
      <c r="W55" s="123">
        <f>U55*G55</f>
        <v/>
      </c>
      <c r="X55" s="123">
        <f>IF(S55="",0,IF(VLOOKUP(E55,$AE$8:$AO$77,11,FALSE)=VLOOKUP(H55,$AE$8:$AO$77,11,FALSE),1,0))</f>
        <v/>
      </c>
      <c r="Y55" s="123">
        <f>X55*F55</f>
        <v/>
      </c>
      <c r="Z55" s="123">
        <f>X55*G55</f>
        <v/>
      </c>
      <c r="AA55" s="123">
        <f>IF(OR(E55=my_team,H55=my_team),1,IF(INT(MATCH(E55,$AE$8:$AE$78,0)/6)=$AA$6,1,0))</f>
        <v/>
      </c>
      <c r="AB55" s="123">
        <f>IF(OR(F55="",G55=""),"",IF(F55&gt;G55,1,IF(F55&lt;G55,-1,0)))</f>
        <v/>
      </c>
      <c r="BK55" s="180" t="n"/>
      <c r="BL55" s="26">
        <f>IF(group_round_completed,VLOOKUP('3rd places'!K3,AK80:AS91,9,FALSE),"3rd Group E/H/I/J/K")</f>
        <v/>
      </c>
      <c r="BM55" s="62" t="n">
        <v>0</v>
      </c>
      <c r="BN55" s="64" t="n"/>
      <c r="BO55" s="27" t="n"/>
      <c r="BP55" s="112">
        <f>IF(BP54="","",BM55*1000+BN55*10+BO55)</f>
        <v/>
      </c>
      <c r="BQ55" s="112" t="n"/>
      <c r="BR55" s="21" t="n"/>
      <c r="BS55" s="21" t="n"/>
      <c r="BT55" s="21" t="n"/>
      <c r="BU55" s="21" t="n"/>
      <c r="BV55" s="21" t="n"/>
      <c r="BW55" s="112" t="n"/>
      <c r="BX55" s="112" t="n"/>
      <c r="BY55" s="21" t="n"/>
      <c r="BZ55" s="21" t="n"/>
      <c r="CA55" s="21" t="n"/>
      <c r="CB55" s="21" t="n"/>
      <c r="CC55" s="21" t="n"/>
      <c r="CD55" s="114" t="n"/>
      <c r="CE55" s="112" t="n"/>
      <c r="CF55" s="179" t="n">
        <v>102</v>
      </c>
      <c r="CG55" s="24">
        <f>IF(CD48&gt;CD49,BZ48,IF(CD48&lt;CD49,BZ49,""))</f>
        <v/>
      </c>
      <c r="CH55" s="61" t="n">
        <v>1</v>
      </c>
      <c r="CI55" s="63" t="n">
        <v>1</v>
      </c>
      <c r="CJ55" s="25" t="n"/>
      <c r="CK55" s="116">
        <f>IF(OR(CH55="",CH56="",AND(CI55="",CI56&lt;&gt;""),AND(CI56="",CI55&lt;&gt;""),AND(CJ55="",CJ56&lt;&gt;""),AND(CJ56="",CJ55&lt;&gt;"")),"",CH55*1000+CI55*10+CJ55)</f>
        <v/>
      </c>
      <c r="CL55" s="112" t="n"/>
    </row>
    <row r="56">
      <c r="A56" s="16" t="n">
        <v>50</v>
      </c>
      <c r="B56" s="17">
        <f t="array" ref="B56">INDEX(T,18+INT(MOD(R56-1,7)),lang)</f>
        <v/>
      </c>
      <c r="C56" s="18">
        <f t="array" ref="C56">INDEX(T,24+MONTH(R56),lang) &amp; " " &amp; DAY(R56) &amp; ", " &amp; YEAR(R56)</f>
        <v/>
      </c>
      <c r="D56" s="120">
        <f>TIME(HOUR(R56),MINUTE(R56),0)</f>
        <v/>
      </c>
      <c r="E56" s="78">
        <f>AE21</f>
        <v/>
      </c>
      <c r="F56" s="19" t="n">
        <v>3</v>
      </c>
      <c r="G56" s="20" t="n">
        <v>0</v>
      </c>
      <c r="H56" s="80">
        <f>AE22</f>
        <v/>
      </c>
      <c r="I56" s="69" t="n"/>
      <c r="J56" s="38">
        <f t="array" ref="J56">INDEX(T,9,lang) &amp; " " &amp; "I"</f>
        <v/>
      </c>
      <c r="K56" s="94">
        <f t="array" ref="K56">INDEX(T,10,lang)</f>
        <v/>
      </c>
      <c r="L56" s="94">
        <f t="array" ref="L56">INDEX(T,11,lang)</f>
        <v/>
      </c>
      <c r="M56" s="94">
        <f t="array" ref="M56">INDEX(T,12,lang)</f>
        <v/>
      </c>
      <c r="N56" s="94">
        <f t="array" ref="N56">INDEX(T,13,lang)</f>
        <v/>
      </c>
      <c r="O56" s="94">
        <f t="array" ref="O56">INDEX(T,14,lang)</f>
        <v/>
      </c>
      <c r="P56" s="95">
        <f t="array" ref="P56">INDEX(T,15,lang)</f>
        <v/>
      </c>
      <c r="R56" s="123">
        <f>DATE(2026,6,24)+TIME(11,0,0)+gmt_delta</f>
        <v/>
      </c>
      <c r="S56" s="127">
        <f>IF(OR(F56="",G56=""),"",IF(F56&gt;G56,E56&amp;"_win",IF(F56&lt;G56,E56&amp;"_lose",E56&amp;"_draw")))</f>
        <v/>
      </c>
      <c r="T56" s="127">
        <f>IF(S56="","",IF(F56&lt;G56,H56&amp;"_win",IF(F56&gt;G56,H56&amp;"_lose",H56&amp;"_draw")))</f>
        <v/>
      </c>
      <c r="U56" s="123">
        <f>IF(S56="",0,IF(VLOOKUP(E56,$AE$8:$AN$77,10,FALSE)=VLOOKUP(H56,$AE$8:$AN$77,10,FALSE),1,0))</f>
        <v/>
      </c>
      <c r="V56" s="123">
        <f>U56*F56</f>
        <v/>
      </c>
      <c r="W56" s="123">
        <f>U56*G56</f>
        <v/>
      </c>
      <c r="X56" s="123">
        <f>IF(S56="",0,IF(VLOOKUP(E56,$AE$8:$AO$77,11,FALSE)=VLOOKUP(H56,$AE$8:$AO$77,11,FALSE),1,0))</f>
        <v/>
      </c>
      <c r="Y56" s="123">
        <f>X56*F56</f>
        <v/>
      </c>
      <c r="Z56" s="123">
        <f>X56*G56</f>
        <v/>
      </c>
      <c r="AA56" s="123">
        <f>IF(OR(E56=my_team,H56=my_team),1,IF(INT(MATCH(E56,$AE$8:$AE$78,0)/6)=$AA$6,1,0))</f>
        <v/>
      </c>
      <c r="AB56" s="123">
        <f>IF(OR(F56="",G56=""),"",IF(F56&gt;G56,1,IF(F56&lt;G56,-1,0)))</f>
        <v/>
      </c>
      <c r="AD56" s="123">
        <f>COUNTIF(AR56:AR59,CONCATENATE("&gt;=",AR56))</f>
        <v/>
      </c>
      <c r="AE56" s="124">
        <f>VLOOKUP("France",T,lang,FALSE)</f>
        <v/>
      </c>
      <c r="AF56" s="123">
        <f>COUNTIF($S$7:$T$78,"=" &amp; AE56 &amp; "_win")</f>
        <v/>
      </c>
      <c r="AG56" s="123">
        <f>COUNTIF($S$7:$T$78,"=" &amp; AE56 &amp; "_draw")</f>
        <v/>
      </c>
      <c r="AH56" s="123">
        <f>COUNTIF($S$7:$T$78,"=" &amp; AE56 &amp; "_lose")</f>
        <v/>
      </c>
      <c r="AI56" s="123">
        <f>SUMIF($E$7:$E$78,$AE56,$F$7:$F$78) + SUMIF($H$7:$H$78,$AE56,$G$7:$G$78)</f>
        <v/>
      </c>
      <c r="AJ56" s="123">
        <f>SUMIF($E$7:$E$78,$AE56,$G$7:$G$78) + SUMIF($H$7:$H$78,$AE56,$F$7:$F$78)</f>
        <v/>
      </c>
      <c r="AL56" s="123">
        <f>AI56-AJ56</f>
        <v/>
      </c>
      <c r="AM56" s="123">
        <f>AL56-AL60</f>
        <v/>
      </c>
      <c r="AN56" s="123">
        <f>AF56*3+AG56</f>
        <v/>
      </c>
      <c r="AO56" s="123">
        <f>AN56/AN60*10+BA56</f>
        <v/>
      </c>
      <c r="AP56" s="123">
        <f>AO56*10000000+BI56*100+AM56/AM60*10+AI56/AI60*1++IF(AQ56=0,ROW(),AQ56)/2000000</f>
        <v/>
      </c>
      <c r="AQ56" s="126">
        <f>VLOOKUP(AE56,db_fifarank,2,FALSE)</f>
        <v/>
      </c>
      <c r="AR56" s="125">
        <f>AP56/AP60</f>
        <v/>
      </c>
      <c r="AS56" s="125">
        <f>IF(SUM(AF56:AH59)=12,J57,"1I")</f>
        <v/>
      </c>
      <c r="AT56" s="126">
        <f t="array" ref="AT56">SUMPRODUCT(($S$7:$S$78=AE56&amp;"_win")*($U$7:$U$78))+SUMPRODUCT(($T$7:$T$78=AE56&amp;"_win")*($U$7:$U$78))</f>
        <v/>
      </c>
      <c r="AU56" s="126">
        <f t="array" ref="AU56">SUMPRODUCT(($S$7:$S$78=AE56&amp;"_draw")*($U$7:$U$78))+SUMPRODUCT(($T$7:$T$78=AE56&amp;"_draw")*($U$7:$U$78))</f>
        <v/>
      </c>
      <c r="AV56" s="126">
        <f t="array" ref="AV56">SUMPRODUCT(($E$7:$E$78=AE56)*($U$7:$U$78)*($F$7:$F$78))+SUMPRODUCT(($H$7:$H$78=AE56)*($U$7:$U$78)*($G$7:$G$78))</f>
        <v/>
      </c>
      <c r="AW56" s="126">
        <f t="array" ref="AW56">SUMPRODUCT(($E$7:$E$78=AE56)*($U$7:$U$78)*($G$7:$G$78))+SUMPRODUCT(($H$7:$H$78=AE56)*($U$7:$U$78)*($F$7:$F$78))</f>
        <v/>
      </c>
      <c r="AX56" s="126">
        <f>AV56-AW56</f>
        <v/>
      </c>
      <c r="AY56" s="126">
        <f>AX56-MIN(AX56:AX59)</f>
        <v/>
      </c>
      <c r="AZ56" s="126">
        <f>AT56/AT60*1000+AU56/AU60*100+AY56/AY60*10+AV56/AV60</f>
        <v/>
      </c>
      <c r="BA56" s="126">
        <f>AZ56/AZ60</f>
        <v/>
      </c>
      <c r="BB56" s="126">
        <f t="array" ref="BB56">SUMPRODUCT(($S$7:$S$78=AE56&amp;"_win")*($X$7:$X$78))+SUMPRODUCT(($T$7:$T$78=AE56&amp;"_win")*($X$7:$X$78))</f>
        <v/>
      </c>
      <c r="BC56" s="126">
        <f t="array" ref="BC56">SUMPRODUCT(($S$7:$S$78=AE56&amp;"_draw")*($X$7:$X$78))+SUMPRODUCT(($T$7:$T$78=AE56&amp;"_draw")*($X$7:$X$78))</f>
        <v/>
      </c>
      <c r="BD56" s="126">
        <f t="array" ref="BD56">SUMPRODUCT(($E$7:$E$78=AE56)*($X$7:$X$78)*($F$7:$F$78))+SUMPRODUCT(($H$7:$H$78=AE56)*($X$7:$X$78)*($G$7:$G$78))</f>
        <v/>
      </c>
      <c r="BE56" s="126">
        <f t="array" ref="BE56">SUMPRODUCT(($E$7:$E$78=AE56)*($X$7:$X$78)*($G$7:$G$78))+SUMPRODUCT(($H$7:$H$78=AE56)*($X$7:$X$78)*($F$7:$F$78))</f>
        <v/>
      </c>
      <c r="BF56" s="126">
        <f>BD56-BE56</f>
        <v/>
      </c>
      <c r="BG56" s="126">
        <f>BF56-MIN(BF56:BF59)</f>
        <v/>
      </c>
      <c r="BH56" s="126">
        <f>IF(SUM(BB56:BF56)=0,0,BB56/$BB$60*1000+BC56/$BC$60*100+BG56/$BG$60*10+BD56/$BD$60)</f>
        <v/>
      </c>
      <c r="BI56" s="126">
        <f>BH56/BH60</f>
        <v/>
      </c>
      <c r="BL56" s="21" t="n"/>
      <c r="BM56" s="21" t="n"/>
      <c r="BN56" s="21" t="n"/>
      <c r="BO56" s="21" t="n"/>
      <c r="BP56" s="112" t="n"/>
      <c r="BQ56" s="112" t="n"/>
      <c r="BR56" s="21" t="n"/>
      <c r="BS56" s="21" t="n"/>
      <c r="BT56" s="21" t="n"/>
      <c r="BU56" s="21" t="n"/>
      <c r="BV56" s="21" t="n"/>
      <c r="BW56" s="112" t="n"/>
      <c r="BX56" s="112" t="n"/>
      <c r="BY56" s="21" t="n"/>
      <c r="BZ56" s="21" t="n"/>
      <c r="CA56" s="21" t="n"/>
      <c r="CB56" s="21" t="n"/>
      <c r="CC56" s="21" t="n"/>
      <c r="CD56" s="114" t="n"/>
      <c r="CE56" s="115" t="n"/>
      <c r="CF56" s="180" t="n"/>
      <c r="CG56" s="26">
        <f>IF(CD64&gt;CD65,BZ64,IF(CD64&lt;CD65,BZ65,""))</f>
        <v/>
      </c>
      <c r="CH56" s="62" t="n">
        <v>1</v>
      </c>
      <c r="CI56" s="64" t="n">
        <v>0</v>
      </c>
      <c r="CJ56" s="27" t="n"/>
      <c r="CK56" s="112">
        <f>IF(CK55="","",CH56*1000+CI56*10+CJ56)</f>
        <v/>
      </c>
      <c r="CL56" s="112" t="n"/>
    </row>
    <row r="57">
      <c r="A57" s="16" t="n">
        <v>51</v>
      </c>
      <c r="B57" s="17">
        <f t="array" ref="B57">INDEX(T,18+INT(MOD(R57-1,7)),lang)</f>
        <v/>
      </c>
      <c r="C57" s="18">
        <f t="array" ref="C57">INDEX(T,24+MONTH(R57),lang) &amp; " " &amp; DAY(R57) &amp; ", " &amp; YEAR(R57)</f>
        <v/>
      </c>
      <c r="D57" s="120">
        <f>TIME(HOUR(R57),MINUTE(R57),0)</f>
        <v/>
      </c>
      <c r="E57" s="78">
        <f>AE17</f>
        <v/>
      </c>
      <c r="F57" s="19" t="n">
        <v>2</v>
      </c>
      <c r="G57" s="20" t="n">
        <v>1</v>
      </c>
      <c r="H57" s="80">
        <f>AE14</f>
        <v/>
      </c>
      <c r="I57" s="69" t="n"/>
      <c r="J57" s="30">
        <f>VLOOKUP(1,AD56:AN59,2,FALSE)</f>
        <v/>
      </c>
      <c r="K57" s="31">
        <f>L57+M57+N57</f>
        <v/>
      </c>
      <c r="L57" s="31">
        <f>VLOOKUP(1,AD56:AN59,3,FALSE)</f>
        <v/>
      </c>
      <c r="M57" s="31">
        <f>VLOOKUP(1,AD56:AN59,4,FALSE)</f>
        <v/>
      </c>
      <c r="N57" s="31">
        <f>VLOOKUP(1,AD56:AN59,5,FALSE)</f>
        <v/>
      </c>
      <c r="O57" s="31">
        <f>VLOOKUP(1,AD56:AN59,6,FALSE) &amp; " - " &amp; VLOOKUP(1,AD56:AN59,7,FALSE)</f>
        <v/>
      </c>
      <c r="P57" s="32">
        <f>L57*3+M57</f>
        <v/>
      </c>
      <c r="R57" s="123">
        <f>DATE(2026,6,24)+TIME(8,0,0)+gmt_delta</f>
        <v/>
      </c>
      <c r="S57" s="127">
        <f>IF(OR(F57="",G57=""),"",IF(F57&gt;G57,E57&amp;"_win",IF(F57&lt;G57,E57&amp;"_lose",E57&amp;"_draw")))</f>
        <v/>
      </c>
      <c r="T57" s="127">
        <f>IF(S57="","",IF(F57&lt;G57,H57&amp;"_win",IF(F57&gt;G57,H57&amp;"_lose",H57&amp;"_draw")))</f>
        <v/>
      </c>
      <c r="U57" s="123">
        <f>IF(S57="",0,IF(VLOOKUP(E57,$AE$8:$AN$77,10,FALSE)=VLOOKUP(H57,$AE$8:$AN$77,10,FALSE),1,0))</f>
        <v/>
      </c>
      <c r="V57" s="123">
        <f>U57*F57</f>
        <v/>
      </c>
      <c r="W57" s="123">
        <f>U57*G57</f>
        <v/>
      </c>
      <c r="X57" s="123">
        <f>IF(S57="",0,IF(VLOOKUP(E57,$AE$8:$AO$77,11,FALSE)=VLOOKUP(H57,$AE$8:$AO$77,11,FALSE),1,0))</f>
        <v/>
      </c>
      <c r="Y57" s="123">
        <f>X57*F57</f>
        <v/>
      </c>
      <c r="Z57" s="123">
        <f>X57*G57</f>
        <v/>
      </c>
      <c r="AA57" s="123">
        <f>IF(OR(E57=my_team,H57=my_team),1,IF(INT(MATCH(E57,$AE$8:$AE$78,0)/6)=$AA$6,1,0))</f>
        <v/>
      </c>
      <c r="AB57" s="123">
        <f>IF(OR(F57="",G57=""),"",IF(F57&gt;G57,1,IF(F57&lt;G57,-1,0)))</f>
        <v/>
      </c>
      <c r="AD57" s="123">
        <f>COUNTIF(AR56:AR59,CONCATENATE("&gt;=",AR57))</f>
        <v/>
      </c>
      <c r="AE57" s="124">
        <f>VLOOKUP("Senegal",T,lang,FALSE)</f>
        <v/>
      </c>
      <c r="AF57" s="123">
        <f>COUNTIF($S$7:$T$78,"=" &amp; AE57 &amp; "_win")</f>
        <v/>
      </c>
      <c r="AG57" s="123">
        <f>COUNTIF($S$7:$T$78,"=" &amp; AE57 &amp; "_draw")</f>
        <v/>
      </c>
      <c r="AH57" s="123">
        <f>COUNTIF($S$7:$T$78,"=" &amp; AE57 &amp; "_lose")</f>
        <v/>
      </c>
      <c r="AI57" s="123">
        <f>SUMIF($E$7:$E$78,$AE57,$F$7:$F$78) + SUMIF($H$7:$H$78,$AE57,$G$7:$G$78)</f>
        <v/>
      </c>
      <c r="AJ57" s="123">
        <f>SUMIF($E$7:$E$78,$AE57,$G$7:$G$78) + SUMIF($H$7:$H$78,$AE57,$F$7:$F$78)</f>
        <v/>
      </c>
      <c r="AL57" s="123">
        <f>AI57-AJ57</f>
        <v/>
      </c>
      <c r="AM57" s="123">
        <f>AL57-AL60</f>
        <v/>
      </c>
      <c r="AN57" s="123">
        <f>AF57*3+AG57</f>
        <v/>
      </c>
      <c r="AO57" s="123">
        <f>AN57/AN60*10+BA57</f>
        <v/>
      </c>
      <c r="AP57" s="123">
        <f>AO57*10000000+BI57*100+AM57/AM60*10+AI57/AI60*1++IF(AQ57=0,ROW(),AQ57)/2000000</f>
        <v/>
      </c>
      <c r="AQ57" s="126">
        <f>VLOOKUP(AE57,db_fifarank,2,FALSE)</f>
        <v/>
      </c>
      <c r="AR57" s="125">
        <f>AP57/AP60</f>
        <v/>
      </c>
      <c r="AS57" s="125">
        <f>IF(SUM(AF56:AH59)=12,J58,"2I")</f>
        <v/>
      </c>
      <c r="AT57" s="126">
        <f t="array" ref="AT57">SUMPRODUCT(($S$7:$S$78=AE57&amp;"_win")*($U$7:$U$78))+SUMPRODUCT(($T$7:$T$78=AE57&amp;"_win")*($U$7:$U$78))</f>
        <v/>
      </c>
      <c r="AU57" s="126">
        <f t="array" ref="AU57">SUMPRODUCT(($S$7:$S$78=AE57&amp;"_draw")*($U$7:$U$78))+SUMPRODUCT(($T$7:$T$78=AE57&amp;"_draw")*($U$7:$U$78))</f>
        <v/>
      </c>
      <c r="AV57" s="126">
        <f t="array" ref="AV57">SUMPRODUCT(($E$7:$E$78=AE57)*($U$7:$U$78)*($F$7:$F$78))+SUMPRODUCT(($H$7:$H$78=AE57)*($U$7:$U$78)*($G$7:$G$78))</f>
        <v/>
      </c>
      <c r="AW57" s="126">
        <f t="array" ref="AW57">SUMPRODUCT(($E$7:$E$78=AE57)*($U$7:$U$78)*($G$7:$G$78))+SUMPRODUCT(($H$7:$H$78=AE57)*($U$7:$U$78)*($F$7:$F$78))</f>
        <v/>
      </c>
      <c r="AX57" s="126">
        <f>AV57-AW57</f>
        <v/>
      </c>
      <c r="AY57" s="126">
        <f>AX57-MIN(AX56:AX59)</f>
        <v/>
      </c>
      <c r="AZ57" s="126">
        <f>AT57/AT60*1000+AU57/AU60*100+AY57/AY60*10+AV57/AV60</f>
        <v/>
      </c>
      <c r="BA57" s="126">
        <f>AZ57/AZ60</f>
        <v/>
      </c>
      <c r="BB57" s="126">
        <f t="array" ref="BB57">SUMPRODUCT(($S$7:$S$78=AE57&amp;"_win")*($X$7:$X$78))+SUMPRODUCT(($T$7:$T$78=AE57&amp;"_win")*($X$7:$X$78))</f>
        <v/>
      </c>
      <c r="BC57" s="126">
        <f t="array" ref="BC57">SUMPRODUCT(($S$7:$S$78=AE57&amp;"_draw")*($X$7:$X$78))+SUMPRODUCT(($T$7:$T$78=AE57&amp;"_draw")*($X$7:$X$78))</f>
        <v/>
      </c>
      <c r="BD57" s="126">
        <f t="array" ref="BD57">SUMPRODUCT(($E$7:$E$78=AE57)*($X$7:$X$78)*($F$7:$F$78))+SUMPRODUCT(($H$7:$H$78=AE57)*($X$7:$X$78)*($G$7:$G$78))</f>
        <v/>
      </c>
      <c r="BE57" s="126">
        <f t="array" ref="BE57">SUMPRODUCT(($E$7:$E$78=AE57)*($X$7:$X$78)*($G$7:$G$78))+SUMPRODUCT(($H$7:$H$78=AE57)*($X$7:$X$78)*($F$7:$F$78))</f>
        <v/>
      </c>
      <c r="BF57" s="126">
        <f>BD57-BE57</f>
        <v/>
      </c>
      <c r="BG57" s="126">
        <f>BF57-MIN(BF56:BF59)</f>
        <v/>
      </c>
      <c r="BH57" s="126">
        <f>IF(SUM(BB57:BF57)=0,0,BB57/$BB$60*1000+BC57/$BC$60*100+BG57/$BG$60*10+BD57/$BD$60)</f>
        <v/>
      </c>
      <c r="BI57" s="126">
        <f>BH57/BH60</f>
        <v/>
      </c>
      <c r="BK57" s="21">
        <f t="array" ref="BK57">INDEX(T,24+MONTH(BP57),lang) &amp; " " &amp; DAY(BP57) &amp; ", " &amp; YEAR(BP57) &amp; "   " &amp; (IF(HOUR(BP57)&lt;10,0,"")&amp;HOUR(BP57)) &amp; ":" &amp;  (IF(MINUTE(BP57)&lt;10,0,"")&amp;MINUTE(BP57))</f>
        <v/>
      </c>
      <c r="BL57" s="21" t="n"/>
      <c r="BM57" s="21" t="n"/>
      <c r="BN57" s="21" t="n"/>
      <c r="BO57" s="29" t="n"/>
      <c r="BP57" s="112">
        <f>DATE(2026,7,3)+TIME(11,0,0)+gmt_delta</f>
        <v/>
      </c>
      <c r="BQ57" s="112" t="n"/>
      <c r="BR57" s="21" t="n"/>
      <c r="BS57" s="21" t="n"/>
      <c r="BT57" s="21" t="n"/>
      <c r="BU57" s="21" t="n"/>
      <c r="BV57" s="21" t="n"/>
      <c r="BW57" s="112" t="n"/>
      <c r="BX57" s="112" t="n"/>
      <c r="BY57" s="21" t="n"/>
      <c r="BZ57" s="21" t="n"/>
      <c r="CA57" s="21" t="n"/>
      <c r="CB57" s="21" t="n"/>
      <c r="CC57" s="21" t="n"/>
      <c r="CD57" s="114" t="n"/>
    </row>
    <row r="58">
      <c r="A58" s="16" t="n">
        <v>52</v>
      </c>
      <c r="B58" s="17">
        <f t="array" ref="B58">INDEX(T,18+INT(MOD(R58-1,7)),lang)</f>
        <v/>
      </c>
      <c r="C58" s="18">
        <f t="array" ref="C58">INDEX(T,24+MONTH(R58),lang) &amp; " " &amp; DAY(R58) &amp; ", " &amp; YEAR(R58)</f>
        <v/>
      </c>
      <c r="D58" s="120">
        <f>TIME(HOUR(R58),MINUTE(R58),0)</f>
        <v/>
      </c>
      <c r="E58" s="78">
        <f>AE15</f>
        <v/>
      </c>
      <c r="F58" s="19" t="n">
        <v>0</v>
      </c>
      <c r="G58" s="20" t="n">
        <v>0</v>
      </c>
      <c r="H58" s="80">
        <f>AE16</f>
        <v/>
      </c>
      <c r="I58" s="69" t="n"/>
      <c r="J58" s="33">
        <f>VLOOKUP(2,AD56:AN59,2,FALSE)</f>
        <v/>
      </c>
      <c r="K58" s="23">
        <f>L58+M58+N58</f>
        <v/>
      </c>
      <c r="L58" s="23">
        <f>VLOOKUP(2,AD56:AN59,3,FALSE)</f>
        <v/>
      </c>
      <c r="M58" s="23">
        <f>VLOOKUP(2,AD56:AN59,4,FALSE)</f>
        <v/>
      </c>
      <c r="N58" s="23">
        <f>VLOOKUP(2,AD56:AN59,5,FALSE)</f>
        <v/>
      </c>
      <c r="O58" s="23">
        <f>VLOOKUP(2,AD56:AN59,6,FALSE) &amp; " - " &amp; VLOOKUP(2,AD56:AN59,7,FALSE)</f>
        <v/>
      </c>
      <c r="P58" s="34">
        <f>L58*3+M58</f>
        <v/>
      </c>
      <c r="R58" s="123">
        <f>DATE(2026,6,24)+TIME(8,0,0)+gmt_delta</f>
        <v/>
      </c>
      <c r="S58" s="127">
        <f>IF(OR(F58="",G58=""),"",IF(F58&gt;G58,E58&amp;"_win",IF(F58&lt;G58,E58&amp;"_lose",E58&amp;"_draw")))</f>
        <v/>
      </c>
      <c r="T58" s="127">
        <f>IF(S58="","",IF(F58&lt;G58,H58&amp;"_win",IF(F58&gt;G58,H58&amp;"_lose",H58&amp;"_draw")))</f>
        <v/>
      </c>
      <c r="U58" s="123">
        <f>IF(S58="",0,IF(VLOOKUP(E58,$AE$8:$AN$77,10,FALSE)=VLOOKUP(H58,$AE$8:$AN$77,10,FALSE),1,0))</f>
        <v/>
      </c>
      <c r="V58" s="123">
        <f>U58*F58</f>
        <v/>
      </c>
      <c r="W58" s="123">
        <f>U58*G58</f>
        <v/>
      </c>
      <c r="X58" s="123">
        <f>IF(S58="",0,IF(VLOOKUP(E58,$AE$8:$AO$77,11,FALSE)=VLOOKUP(H58,$AE$8:$AO$77,11,FALSE),1,0))</f>
        <v/>
      </c>
      <c r="Y58" s="123">
        <f>X58*F58</f>
        <v/>
      </c>
      <c r="Z58" s="123">
        <f>X58*G58</f>
        <v/>
      </c>
      <c r="AA58" s="123">
        <f>IF(OR(E58=my_team,H58=my_team),1,IF(INT(MATCH(E58,$AE$8:$AE$78,0)/6)=$AA$6,1,0))</f>
        <v/>
      </c>
      <c r="AB58" s="123">
        <f>IF(OR(F58="",G58=""),"",IF(F58&gt;G58,1,IF(F58&lt;G58,-1,0)))</f>
        <v/>
      </c>
      <c r="AD58" s="123">
        <f>COUNTIF(AR56:AR59,CONCATENATE("&gt;=",AR58))</f>
        <v/>
      </c>
      <c r="AE58" s="124">
        <f>VLOOKUP("Iraq",T,lang,FALSE)</f>
        <v/>
      </c>
      <c r="AF58" s="123">
        <f>COUNTIF($S$7:$T$78,"=" &amp; AE58 &amp; "_win")</f>
        <v/>
      </c>
      <c r="AG58" s="123">
        <f>COUNTIF($S$7:$T$78,"=" &amp; AE58 &amp; "_draw")</f>
        <v/>
      </c>
      <c r="AH58" s="123">
        <f>COUNTIF($S$7:$T$78,"=" &amp; AE58 &amp; "_lose")</f>
        <v/>
      </c>
      <c r="AI58" s="123">
        <f>SUMIF($E$7:$E$78,$AE58,$F$7:$F$78) + SUMIF($H$7:$H$78,$AE58,$G$7:$G$78)</f>
        <v/>
      </c>
      <c r="AJ58" s="123">
        <f>SUMIF($E$7:$E$78,$AE58,$G$7:$G$78) + SUMIF($H$7:$H$78,$AE58,$F$7:$F$78)</f>
        <v/>
      </c>
      <c r="AL58" s="123">
        <f>AI58-AJ58</f>
        <v/>
      </c>
      <c r="AM58" s="123">
        <f>AL58-AL60</f>
        <v/>
      </c>
      <c r="AN58" s="123">
        <f>AF58*3+AG58</f>
        <v/>
      </c>
      <c r="AO58" s="123">
        <f>AN58/AN60*10+BA58</f>
        <v/>
      </c>
      <c r="AP58" s="123">
        <f>AO58*10000000+BI58*100+AM58/AM60*10+AI58/AI60*1++IF(AQ58=0,ROW(),AQ58)/2000000</f>
        <v/>
      </c>
      <c r="AQ58" s="126">
        <f>VLOOKUP(AE58,db_fifarank,2,FALSE)</f>
        <v/>
      </c>
      <c r="AR58" s="125">
        <f>AP58/AP60</f>
        <v/>
      </c>
      <c r="AT58" s="126">
        <f t="array" ref="AT58">SUMPRODUCT(($S$7:$S$78=AE58&amp;"_win")*($U$7:$U$78))+SUMPRODUCT(($T$7:$T$78=AE58&amp;"_win")*($U$7:$U$78))</f>
        <v/>
      </c>
      <c r="AU58" s="126">
        <f t="array" ref="AU58">SUMPRODUCT(($S$7:$S$78=AE58&amp;"_draw")*($U$7:$U$78))+SUMPRODUCT(($T$7:$T$78=AE58&amp;"_draw")*($U$7:$U$78))</f>
        <v/>
      </c>
      <c r="AV58" s="126">
        <f t="array" ref="AV58">SUMPRODUCT(($E$7:$E$78=AE58)*($U$7:$U$78)*($F$7:$F$78))+SUMPRODUCT(($H$7:$H$78=AE58)*($U$7:$U$78)*($G$7:$G$78))</f>
        <v/>
      </c>
      <c r="AW58" s="126">
        <f t="array" ref="AW58">SUMPRODUCT(($E$7:$E$78=AE58)*($U$7:$U$78)*($G$7:$G$78))+SUMPRODUCT(($H$7:$H$78=AE58)*($U$7:$U$78)*($F$7:$F$78))</f>
        <v/>
      </c>
      <c r="AX58" s="126">
        <f>AV58-AW58</f>
        <v/>
      </c>
      <c r="AY58" s="126">
        <f>AX58-MIN(AX56:AX59)</f>
        <v/>
      </c>
      <c r="AZ58" s="126">
        <f>AT58/AT60*1000+AU58/AU60*100+AY58/AY60*10+AV58/AV60</f>
        <v/>
      </c>
      <c r="BA58" s="126">
        <f>AZ58/AZ60</f>
        <v/>
      </c>
      <c r="BB58" s="126">
        <f t="array" ref="BB58">SUMPRODUCT(($S$7:$S$78=AE58&amp;"_win")*($X$7:$X$78))+SUMPRODUCT(($T$7:$T$78=AE58&amp;"_win")*($X$7:$X$78))</f>
        <v/>
      </c>
      <c r="BC58" s="126">
        <f t="array" ref="BC58">SUMPRODUCT(($S$7:$S$78=AE58&amp;"_draw")*($X$7:$X$78))+SUMPRODUCT(($T$7:$T$78=AE58&amp;"_draw")*($X$7:$X$78))</f>
        <v/>
      </c>
      <c r="BD58" s="126">
        <f t="array" ref="BD58">SUMPRODUCT(($E$7:$E$78=AE58)*($X$7:$X$78)*($F$7:$F$78))+SUMPRODUCT(($H$7:$H$78=AE58)*($X$7:$X$78)*($G$7:$G$78))</f>
        <v/>
      </c>
      <c r="BE58" s="126">
        <f t="array" ref="BE58">SUMPRODUCT(($E$7:$E$78=AE58)*($X$7:$X$78)*($G$7:$G$78))+SUMPRODUCT(($H$7:$H$78=AE58)*($X$7:$X$78)*($F$7:$F$78))</f>
        <v/>
      </c>
      <c r="BF58" s="126">
        <f>BD58-BE58</f>
        <v/>
      </c>
      <c r="BG58" s="126">
        <f>BF58-MIN(BF56:BF59)</f>
        <v/>
      </c>
      <c r="BH58" s="126">
        <f>IF(SUM(BB58:BF58)=0,0,BB58/$BB$60*1000+BC58/$BC$60*100+BG58/$BG$60*10+BD58/$BD$60)</f>
        <v/>
      </c>
      <c r="BI58" s="126">
        <f>BH58/BH60</f>
        <v/>
      </c>
      <c r="BK58" s="179" t="n">
        <v>86</v>
      </c>
      <c r="BL58" s="24">
        <f>AS62</f>
        <v/>
      </c>
      <c r="BM58" s="61" t="n">
        <v>3</v>
      </c>
      <c r="BN58" s="63" t="n"/>
      <c r="BO58" s="25" t="n"/>
      <c r="BP58" s="112">
        <f>IF(OR(BM58="",BM59="",AND(BN58="",BN59&lt;&gt;""),AND(BN59="",BN58&lt;&gt;""),AND(BO58="",BO59&lt;&gt;""),AND(BO59="",BO58&lt;&gt;"")),"",BM58*1000+BN58*10+BO58)</f>
        <v/>
      </c>
      <c r="BQ58" s="112" t="n"/>
      <c r="BR58" s="21" t="n"/>
      <c r="BS58" s="21" t="n"/>
      <c r="BT58" s="21" t="n"/>
      <c r="BU58" s="21" t="n"/>
      <c r="BV58" s="21" t="n"/>
      <c r="BW58" s="112" t="n"/>
      <c r="BX58" s="112" t="n"/>
      <c r="BY58" s="21" t="n"/>
      <c r="BZ58" s="21" t="n"/>
      <c r="CA58" s="21" t="n"/>
      <c r="CB58" s="21" t="n"/>
      <c r="CC58" s="21" t="n"/>
      <c r="CD58" s="114" t="n"/>
    </row>
    <row r="59">
      <c r="A59" s="16" t="n">
        <v>53</v>
      </c>
      <c r="B59" s="17">
        <f t="array" ref="B59">INDEX(T,18+INT(MOD(R59-1,7)),lang)</f>
        <v/>
      </c>
      <c r="C59" s="18">
        <f t="array" ref="C59">INDEX(T,24+MONTH(R59),lang) &amp; " " &amp; DAY(R59) &amp; ", " &amp; YEAR(R59)</f>
        <v/>
      </c>
      <c r="D59" s="120">
        <f>TIME(HOUR(R59),MINUTE(R59),0)</f>
        <v/>
      </c>
      <c r="E59" s="78">
        <f>AE11</f>
        <v/>
      </c>
      <c r="F59" s="19" t="n">
        <v>0</v>
      </c>
      <c r="G59" s="20" t="n">
        <v>2</v>
      </c>
      <c r="H59" s="80">
        <f>AE8</f>
        <v/>
      </c>
      <c r="I59" s="69" t="n"/>
      <c r="J59" s="33">
        <f>VLOOKUP(3,AD56:AN59,2,FALSE)</f>
        <v/>
      </c>
      <c r="K59" s="23">
        <f>L59+M59+N59</f>
        <v/>
      </c>
      <c r="L59" s="23">
        <f>VLOOKUP(3,AD56:AN59,3,FALSE)</f>
        <v/>
      </c>
      <c r="M59" s="23">
        <f>VLOOKUP(3,AD56:AN59,4,FALSE)</f>
        <v/>
      </c>
      <c r="N59" s="23">
        <f>VLOOKUP(3,AD56:AN59,5,FALSE)</f>
        <v/>
      </c>
      <c r="O59" s="23">
        <f>VLOOKUP(3,AD56:AN59,6,FALSE) &amp; " - " &amp; VLOOKUP(3,AD56:AN59,7,FALSE)</f>
        <v/>
      </c>
      <c r="P59" s="34">
        <f>L59*3+M59</f>
        <v/>
      </c>
      <c r="R59" s="123">
        <f>DATE(2026,6,24)+TIME(14,0,0)+gmt_delta</f>
        <v/>
      </c>
      <c r="S59" s="127">
        <f>IF(OR(F59="",G59=""),"",IF(F59&gt;G59,E59&amp;"_win",IF(F59&lt;G59,E59&amp;"_lose",E59&amp;"_draw")))</f>
        <v/>
      </c>
      <c r="T59" s="127">
        <f>IF(S59="","",IF(F59&lt;G59,H59&amp;"_win",IF(F59&gt;G59,H59&amp;"_lose",H59&amp;"_draw")))</f>
        <v/>
      </c>
      <c r="U59" s="123">
        <f>IF(S59="",0,IF(VLOOKUP(E59,$AE$8:$AN$77,10,FALSE)=VLOOKUP(H59,$AE$8:$AN$77,10,FALSE),1,0))</f>
        <v/>
      </c>
      <c r="V59" s="123">
        <f>U59*F59</f>
        <v/>
      </c>
      <c r="W59" s="123">
        <f>U59*G59</f>
        <v/>
      </c>
      <c r="X59" s="123">
        <f>IF(S59="",0,IF(VLOOKUP(E59,$AE$8:$AO$77,11,FALSE)=VLOOKUP(H59,$AE$8:$AO$77,11,FALSE),1,0))</f>
        <v/>
      </c>
      <c r="Y59" s="123">
        <f>X59*F59</f>
        <v/>
      </c>
      <c r="Z59" s="123">
        <f>X59*G59</f>
        <v/>
      </c>
      <c r="AA59" s="123">
        <f>IF(OR(E59=my_team,H59=my_team),1,IF(INT(MATCH(E59,$AE$8:$AE$78,0)/6)=$AA$6,1,0))</f>
        <v/>
      </c>
      <c r="AB59" s="123">
        <f>IF(OR(F59="",G59=""),"",IF(F59&gt;G59,1,IF(F59&lt;G59,-1,0)))</f>
        <v/>
      </c>
      <c r="AD59" s="123">
        <f>COUNTIF(AR56:AR59,CONCATENATE("&gt;=",AR59))</f>
        <v/>
      </c>
      <c r="AE59" s="124">
        <f>VLOOKUP("Norway",T,lang,FALSE)</f>
        <v/>
      </c>
      <c r="AF59" s="123">
        <f>COUNTIF($S$7:$T$78,"=" &amp; AE59 &amp; "_win")</f>
        <v/>
      </c>
      <c r="AG59" s="123">
        <f>COUNTIF($S$7:$T$78,"=" &amp; AE59 &amp; "_draw")</f>
        <v/>
      </c>
      <c r="AH59" s="123">
        <f>COUNTIF($S$7:$T$78,"=" &amp; AE59 &amp; "_lose")</f>
        <v/>
      </c>
      <c r="AI59" s="123">
        <f>SUMIF($E$7:$E$78,$AE59,$F$7:$F$78) + SUMIF($H$7:$H$78,$AE59,$G$7:$G$78)</f>
        <v/>
      </c>
      <c r="AJ59" s="123">
        <f>SUMIF($E$7:$E$78,$AE59,$G$7:$G$78) + SUMIF($H$7:$H$78,$AE59,$F$7:$F$78)</f>
        <v/>
      </c>
      <c r="AL59" s="123">
        <f>AI59-AJ59</f>
        <v/>
      </c>
      <c r="AM59" s="123">
        <f>AL59-AL60</f>
        <v/>
      </c>
      <c r="AN59" s="123">
        <f>AF59*3+AG59</f>
        <v/>
      </c>
      <c r="AO59" s="123">
        <f>AN59/AN60*10+BA59</f>
        <v/>
      </c>
      <c r="AP59" s="123">
        <f>AO59*10000000+BI59*100+AM59/AM60*10+AI59/AI60*1++IF(AQ59=0,ROW(),AQ59)/2000000</f>
        <v/>
      </c>
      <c r="AQ59" s="126">
        <f>VLOOKUP(AE59,db_fifarank,2,FALSE)</f>
        <v/>
      </c>
      <c r="AR59" s="125">
        <f>AP59/AP60</f>
        <v/>
      </c>
      <c r="AT59" s="126">
        <f t="array" ref="AT59">SUMPRODUCT(($S$7:$S$78=AE59&amp;"_win")*($U$7:$U$78))+SUMPRODUCT(($T$7:$T$78=AE59&amp;"_win")*($U$7:$U$78))</f>
        <v/>
      </c>
      <c r="AU59" s="126">
        <f t="array" ref="AU59">SUMPRODUCT(($S$7:$S$78=AE59&amp;"_draw")*($U$7:$U$78))+SUMPRODUCT(($T$7:$T$78=AE59&amp;"_draw")*($U$7:$U$78))</f>
        <v/>
      </c>
      <c r="AV59" s="126">
        <f t="array" ref="AV59">SUMPRODUCT(($E$7:$E$78=AE59)*($U$7:$U$78)*($F$7:$F$78))+SUMPRODUCT(($H$7:$H$78=AE59)*($U$7:$U$78)*($G$7:$G$78))</f>
        <v/>
      </c>
      <c r="AW59" s="126">
        <f t="array" ref="AW59">SUMPRODUCT(($E$7:$E$78=AE59)*($U$7:$U$78)*($G$7:$G$78))+SUMPRODUCT(($H$7:$H$78=AE59)*($U$7:$U$78)*($F$7:$F$78))</f>
        <v/>
      </c>
      <c r="AX59" s="126">
        <f>AV59-AW59</f>
        <v/>
      </c>
      <c r="AY59" s="126">
        <f>AX59-MIN(AX56:AX59)</f>
        <v/>
      </c>
      <c r="AZ59" s="126">
        <f>AT59/AT60*1000+AU59/AU60*100+AY59/AY60*10+AV59/AV60</f>
        <v/>
      </c>
      <c r="BA59" s="126">
        <f>AZ59/AZ60</f>
        <v/>
      </c>
      <c r="BB59" s="126">
        <f t="array" ref="BB59">SUMPRODUCT(($S$7:$S$78=AE59&amp;"_win")*($X$7:$X$78))+SUMPRODUCT(($T$7:$T$78=AE59&amp;"_win")*($X$7:$X$78))</f>
        <v/>
      </c>
      <c r="BC59" s="126">
        <f t="array" ref="BC59">SUMPRODUCT(($S$7:$S$78=AE59&amp;"_draw")*($X$7:$X$78))+SUMPRODUCT(($T$7:$T$78=AE59&amp;"_draw")*($X$7:$X$78))</f>
        <v/>
      </c>
      <c r="BD59" s="126">
        <f t="array" ref="BD59">SUMPRODUCT(($E$7:$E$78=AE59)*($X$7:$X$78)*($F$7:$F$78))+SUMPRODUCT(($H$7:$H$78=AE59)*($X$7:$X$78)*($G$7:$G$78))</f>
        <v/>
      </c>
      <c r="BE59" s="126">
        <f t="array" ref="BE59">SUMPRODUCT(($E$7:$E$78=AE59)*($X$7:$X$78)*($G$7:$G$78))+SUMPRODUCT(($H$7:$H$78=AE59)*($X$7:$X$78)*($F$7:$F$78))</f>
        <v/>
      </c>
      <c r="BF59" s="126">
        <f>BD59-BE59</f>
        <v/>
      </c>
      <c r="BG59" s="126">
        <f>BF59-MIN(BF56:BF59)</f>
        <v/>
      </c>
      <c r="BH59" s="126">
        <f>IF(SUM(BB59:BF59)=0,0,BB59/$BB$60*1000+BC59/$BC$60*100+BG59/$BG$60*10+BD59/$BD$60)</f>
        <v/>
      </c>
      <c r="BI59" s="126">
        <f>BH59/BH60</f>
        <v/>
      </c>
      <c r="BK59" s="180" t="n"/>
      <c r="BL59" s="26">
        <f>AS51</f>
        <v/>
      </c>
      <c r="BM59" s="62" t="n">
        <v>1</v>
      </c>
      <c r="BN59" s="64" t="n"/>
      <c r="BO59" s="27" t="n"/>
      <c r="BP59" s="113">
        <f>IF(BP58="","",BM59*1000+BN59*10+BO59)</f>
        <v/>
      </c>
      <c r="BQ59" s="112" t="n"/>
      <c r="BR59" s="21">
        <f t="array" ref="BR59">INDEX(T,24+MONTH(BW59),lang) &amp; " " &amp; DAY(BW59) &amp; ", " &amp; YEAR(BW59) &amp; "   " &amp; (IF(HOUR(BW59)&lt;10,0,"")&amp;HOUR(BW59)) &amp; ":" &amp;  (IF(MINUTE(BW59)&lt;10,0,"")&amp;MINUTE(BW59))</f>
        <v/>
      </c>
      <c r="BS59" s="21" t="n"/>
      <c r="BT59" s="21" t="n"/>
      <c r="BU59" s="21" t="n"/>
      <c r="BV59" s="28" t="n"/>
      <c r="BW59" s="112">
        <f>DATE(2026,7,7)+TIME(5,0,0)+gmt_delta</f>
        <v/>
      </c>
      <c r="BX59" s="112" t="n"/>
      <c r="BY59" s="21" t="n"/>
      <c r="BZ59" s="21" t="n"/>
      <c r="CA59" s="21" t="n"/>
      <c r="CB59" s="21" t="n"/>
      <c r="CC59" s="21" t="n"/>
      <c r="CD59" s="114" t="n"/>
    </row>
    <row r="60">
      <c r="A60" s="16" t="n">
        <v>54</v>
      </c>
      <c r="B60" s="17">
        <f t="array" ref="B60">INDEX(T,18+INT(MOD(R60-1,7)),lang)</f>
        <v/>
      </c>
      <c r="C60" s="18">
        <f t="array" ref="C60">INDEX(T,24+MONTH(R60),lang) &amp; " " &amp; DAY(R60) &amp; ", " &amp; YEAR(R60)</f>
        <v/>
      </c>
      <c r="D60" s="120">
        <f>TIME(HOUR(R60),MINUTE(R60),0)</f>
        <v/>
      </c>
      <c r="E60" s="78">
        <f>AE9</f>
        <v/>
      </c>
      <c r="F60" s="19" t="n">
        <v>0</v>
      </c>
      <c r="G60" s="20" t="n">
        <v>2</v>
      </c>
      <c r="H60" s="80">
        <f>AE10</f>
        <v/>
      </c>
      <c r="I60" s="69" t="n"/>
      <c r="J60" s="35">
        <f>VLOOKUP(4,AD56:AN59,2,FALSE)</f>
        <v/>
      </c>
      <c r="K60" s="36">
        <f>L60+M60+N60</f>
        <v/>
      </c>
      <c r="L60" s="36">
        <f>VLOOKUP(4,AD56:AN59,3,FALSE)</f>
        <v/>
      </c>
      <c r="M60" s="36">
        <f>VLOOKUP(4,AD56:AN59,4,FALSE)</f>
        <v/>
      </c>
      <c r="N60" s="36">
        <f>VLOOKUP(4,AD56:AN59,5,FALSE)</f>
        <v/>
      </c>
      <c r="O60" s="36">
        <f>VLOOKUP(4,AD56:AN59,6,FALSE) &amp; " - " &amp; VLOOKUP(4,AD56:AN59,7,FALSE)</f>
        <v/>
      </c>
      <c r="P60" s="37">
        <f>L60*3+M60</f>
        <v/>
      </c>
      <c r="R60" s="123">
        <f>DATE(2026,6,24)+TIME(14,0,0)+gmt_delta</f>
        <v/>
      </c>
      <c r="S60" s="127">
        <f>IF(OR(F60="",G60=""),"",IF(F60&gt;G60,E60&amp;"_win",IF(F60&lt;G60,E60&amp;"_lose",E60&amp;"_draw")))</f>
        <v/>
      </c>
      <c r="T60" s="127">
        <f>IF(S60="","",IF(F60&lt;G60,H60&amp;"_win",IF(F60&gt;G60,H60&amp;"_lose",H60&amp;"_draw")))</f>
        <v/>
      </c>
      <c r="U60" s="123">
        <f>IF(S60="",0,IF(VLOOKUP(E60,$AE$8:$AN$77,10,FALSE)=VLOOKUP(H60,$AE$8:$AN$77,10,FALSE),1,0))</f>
        <v/>
      </c>
      <c r="V60" s="123">
        <f>U60*F60</f>
        <v/>
      </c>
      <c r="W60" s="123">
        <f>U60*G60</f>
        <v/>
      </c>
      <c r="X60" s="123">
        <f>IF(S60="",0,IF(VLOOKUP(E60,$AE$8:$AO$77,11,FALSE)=VLOOKUP(H60,$AE$8:$AO$77,11,FALSE),1,0))</f>
        <v/>
      </c>
      <c r="Y60" s="123">
        <f>X60*F60</f>
        <v/>
      </c>
      <c r="Z60" s="123">
        <f>X60*G60</f>
        <v/>
      </c>
      <c r="AA60" s="123">
        <f>IF(OR(E60=my_team,H60=my_team),1,IF(INT(MATCH(E60,$AE$8:$AE$78,0)/6)=$AA$6,1,0))</f>
        <v/>
      </c>
      <c r="AB60" s="123">
        <f>IF(OR(F60="",G60=""),"",IF(F60&gt;G60,1,IF(F60&lt;G60,-1,0)))</f>
        <v/>
      </c>
      <c r="AF60" s="123">
        <f>MAX(AF56:AF59)-MIN(AF56:AF59)+1</f>
        <v/>
      </c>
      <c r="AG60" s="123">
        <f>MAX(AG56:AG59)-MIN(AG56:AG59)+1</f>
        <v/>
      </c>
      <c r="AH60" s="123">
        <f>MAX(AH56:AH59)-MIN(AH56:AH59)+1</f>
        <v/>
      </c>
      <c r="AI60" s="123">
        <f>MAX(AI56:AI59)+1</f>
        <v/>
      </c>
      <c r="AL60" s="123">
        <f>MIN(AL56:AL59)</f>
        <v/>
      </c>
      <c r="AM60" s="123">
        <f>MAX(AM56:AM59)+1</f>
        <v/>
      </c>
      <c r="AN60" s="123">
        <f>MAX(AN56:AN59)+1</f>
        <v/>
      </c>
      <c r="AO60" s="123">
        <f>MAX(AO56:AO59)+1</f>
        <v/>
      </c>
      <c r="AP60" s="123">
        <f>MAX(AP56:AP59)+1</f>
        <v/>
      </c>
      <c r="AT60" s="126">
        <f>MAX(AT56:AT59)-MIN(AT56:AT59)+1</f>
        <v/>
      </c>
      <c r="AU60" s="126">
        <f>MAX(AU56:AU59)-MIN(AU56:AU59)+1</f>
        <v/>
      </c>
      <c r="AV60" s="126">
        <f>MAX(AV56:AV59)-MIN(AV56:AV59)+1</f>
        <v/>
      </c>
      <c r="AW60" s="126">
        <f>MAX(AW56:AW59)-MIN(AW56:AW59)+1</f>
        <v/>
      </c>
      <c r="AY60" s="126">
        <f>MAX(AY56:AY59)-MIN(AY56:AY59)+1</f>
        <v/>
      </c>
      <c r="AZ60" s="126">
        <f>MAX(AZ56:AZ59)+1</f>
        <v/>
      </c>
      <c r="BB60" s="126">
        <f>MAX(BB56:BB59)-MIN(BB56:BB59)+1</f>
        <v/>
      </c>
      <c r="BC60" s="126">
        <f>MAX(BC56:BC59)-MIN(BC56:BC59)+1</f>
        <v/>
      </c>
      <c r="BD60" s="126">
        <f>MAX(BD56:BD59)-MIN(BD56:BD59)+1</f>
        <v/>
      </c>
      <c r="BE60" s="126">
        <f>MAX(BE56:BE59)-MIN(BE56:BE59)+1</f>
        <v/>
      </c>
      <c r="BG60" s="126">
        <f>MAX(BG56:BG59)-MIN(BG56:BG59)+1</f>
        <v/>
      </c>
      <c r="BH60" s="126">
        <f>MAX(BH56:BH59)+1</f>
        <v/>
      </c>
      <c r="BK60" s="21" t="n"/>
      <c r="BL60" s="21" t="n"/>
      <c r="BM60" s="21" t="n"/>
      <c r="BN60" s="21" t="n"/>
      <c r="BO60" s="21" t="n"/>
      <c r="BP60" s="114" t="n"/>
      <c r="BQ60" s="112" t="n"/>
      <c r="BR60" s="179" t="n">
        <v>95</v>
      </c>
      <c r="BS60" s="24">
        <f>IF(BP58&gt;BP59,BL58,IF(BP58&lt;BP59,BL59,""))</f>
        <v/>
      </c>
      <c r="BT60" s="61" t="n">
        <v>3</v>
      </c>
      <c r="BU60" s="63" t="n"/>
      <c r="BV60" s="25" t="n"/>
      <c r="BW60" s="112">
        <f>IF(OR(BT60="",BT61="",AND(BU60="",BU61&lt;&gt;""),AND(BU61="",BU60&lt;&gt;""),AND(BV60="",BV61&lt;&gt;""),AND(BV61="",BV60&lt;&gt;"")),"",BT60*1000+BU60*10+BV60)</f>
        <v/>
      </c>
      <c r="BX60" s="112" t="n"/>
      <c r="BY60" s="21" t="n"/>
      <c r="BZ60" s="21" t="n"/>
      <c r="CA60" s="21" t="n"/>
      <c r="CB60" s="21" t="n"/>
      <c r="CC60" s="21" t="n"/>
      <c r="CD60" s="114" t="n"/>
    </row>
    <row r="61">
      <c r="A61" s="16" t="n">
        <v>55</v>
      </c>
      <c r="B61" s="17">
        <f t="array" ref="B61">INDEX(T,18+INT(MOD(R61-1,7)),lang)</f>
        <v/>
      </c>
      <c r="C61" s="18">
        <f t="array" ref="C61">INDEX(T,24+MONTH(R61),lang) &amp; " " &amp; DAY(R61) &amp; ", " &amp; YEAR(R61)</f>
        <v/>
      </c>
      <c r="D61" s="120">
        <f>TIME(HOUR(R61),MINUTE(R61),0)</f>
        <v/>
      </c>
      <c r="E61" s="78">
        <f>AE33</f>
        <v/>
      </c>
      <c r="F61" s="19" t="n">
        <v>1</v>
      </c>
      <c r="G61" s="20" t="n">
        <v>3</v>
      </c>
      <c r="H61" s="80">
        <f>AE34</f>
        <v/>
      </c>
      <c r="I61" s="69" t="n"/>
      <c r="J61" s="72" t="n"/>
      <c r="K61" s="70" t="n"/>
      <c r="L61" s="70" t="n"/>
      <c r="M61" s="70" t="n"/>
      <c r="N61" s="70" t="n"/>
      <c r="O61" s="70" t="n"/>
      <c r="P61" s="70" t="n"/>
      <c r="R61" s="123">
        <f>DATE(2026,6,25)+TIME(9,0,0)+gmt_delta</f>
        <v/>
      </c>
      <c r="S61" s="127">
        <f>IF(OR(F61="",G61=""),"",IF(F61&gt;G61,E61&amp;"_win",IF(F61&lt;G61,E61&amp;"_lose",E61&amp;"_draw")))</f>
        <v/>
      </c>
      <c r="T61" s="127">
        <f>IF(S61="","",IF(F61&lt;G61,H61&amp;"_win",IF(F61&gt;G61,H61&amp;"_lose",H61&amp;"_draw")))</f>
        <v/>
      </c>
      <c r="U61" s="123">
        <f>IF(S61="",0,IF(VLOOKUP(E61,$AE$8:$AN$77,10,FALSE)=VLOOKUP(H61,$AE$8:$AN$77,10,FALSE),1,0))</f>
        <v/>
      </c>
      <c r="V61" s="123">
        <f>U61*F61</f>
        <v/>
      </c>
      <c r="W61" s="123">
        <f>U61*G61</f>
        <v/>
      </c>
      <c r="X61" s="123">
        <f>IF(S61="",0,IF(VLOOKUP(E61,$AE$8:$AO$77,11,FALSE)=VLOOKUP(H61,$AE$8:$AO$77,11,FALSE),1,0))</f>
        <v/>
      </c>
      <c r="Y61" s="123">
        <f>X61*F61</f>
        <v/>
      </c>
      <c r="Z61" s="123">
        <f>X61*G61</f>
        <v/>
      </c>
      <c r="AA61" s="123">
        <f>IF(OR(E61=my_team,H61=my_team),1,IF(INT(MATCH(E61,$AE$8:$AE$78,0)/6)=$AA$6,1,0))</f>
        <v/>
      </c>
      <c r="AB61" s="123">
        <f>IF(OR(F61="",G61=""),"",IF(F61&gt;G61,1,IF(F61&lt;G61,-1,0)))</f>
        <v/>
      </c>
      <c r="BK61" s="21">
        <f t="array" ref="BK61">INDEX(T,24+MONTH(BP61),lang) &amp; " " &amp; DAY(BP61) &amp; ", " &amp; YEAR(BP61) &amp; "   " &amp; (IF(HOUR(BP61)&lt;10,0,"")&amp;HOUR(BP61)) &amp; ":" &amp;  (IF(MINUTE(BP61)&lt;10,0,"")&amp;MINUTE(BP61))</f>
        <v/>
      </c>
      <c r="BL61" s="21" t="n"/>
      <c r="BM61" s="21" t="n"/>
      <c r="BN61" s="21" t="n"/>
      <c r="BO61" s="28" t="n"/>
      <c r="BP61" s="114">
        <f>DATE(2026,7,3)+TIME(7,0,0)+gmt_delta</f>
        <v/>
      </c>
      <c r="BQ61" s="115" t="n"/>
      <c r="BR61" s="180" t="n"/>
      <c r="BS61" s="26">
        <f>IF(BP62&gt;BP63,BL62,IF(BP62&lt;BP63,BL63,""))</f>
        <v/>
      </c>
      <c r="BT61" s="62" t="n">
        <v>1</v>
      </c>
      <c r="BU61" s="64" t="n"/>
      <c r="BV61" s="27" t="n"/>
      <c r="BW61" s="113">
        <f>IF(BW60="","",BT61*1000+BU61*10+BV61)</f>
        <v/>
      </c>
      <c r="BX61" s="112" t="n"/>
      <c r="BY61" s="21" t="n"/>
      <c r="BZ61" s="21" t="n"/>
      <c r="CA61" s="21" t="n"/>
      <c r="CB61" s="21" t="n"/>
      <c r="CC61" s="21" t="n"/>
      <c r="CD61" s="114" t="n"/>
    </row>
    <row r="62">
      <c r="A62" s="16" t="n">
        <v>56</v>
      </c>
      <c r="B62" s="17">
        <f t="array" ref="B62">INDEX(T,18+INT(MOD(R62-1,7)),lang)</f>
        <v/>
      </c>
      <c r="C62" s="18">
        <f t="array" ref="C62">INDEX(T,24+MONTH(R62),lang) &amp; " " &amp; DAY(R62) &amp; ", " &amp; YEAR(R62)</f>
        <v/>
      </c>
      <c r="D62" s="120">
        <f>TIME(HOUR(R62),MINUTE(R62),0)</f>
        <v/>
      </c>
      <c r="E62" s="78">
        <f>AE35</f>
        <v/>
      </c>
      <c r="F62" s="19" t="n">
        <v>0</v>
      </c>
      <c r="G62" s="20" t="n">
        <v>2</v>
      </c>
      <c r="H62" s="80">
        <f>AE32</f>
        <v/>
      </c>
      <c r="I62" s="69" t="n"/>
      <c r="J62" s="38">
        <f t="array" ref="J62">INDEX(T,9,lang) &amp; " " &amp; "J"</f>
        <v/>
      </c>
      <c r="K62" s="94">
        <f t="array" ref="K62">INDEX(T,10,lang)</f>
        <v/>
      </c>
      <c r="L62" s="94">
        <f t="array" ref="L62">INDEX(T,11,lang)</f>
        <v/>
      </c>
      <c r="M62" s="94">
        <f t="array" ref="M62">INDEX(T,12,lang)</f>
        <v/>
      </c>
      <c r="N62" s="94">
        <f t="array" ref="N62">INDEX(T,13,lang)</f>
        <v/>
      </c>
      <c r="O62" s="94">
        <f t="array" ref="O62">INDEX(T,14,lang)</f>
        <v/>
      </c>
      <c r="P62" s="95">
        <f t="array" ref="P62">INDEX(T,15,lang)</f>
        <v/>
      </c>
      <c r="R62" s="123">
        <f>DATE(2026,6,25)+TIME(9,0,0)+gmt_delta</f>
        <v/>
      </c>
      <c r="S62" s="127">
        <f>IF(OR(F62="",G62=""),"",IF(F62&gt;G62,E62&amp;"_win",IF(F62&lt;G62,E62&amp;"_lose",E62&amp;"_draw")))</f>
        <v/>
      </c>
      <c r="T62" s="127">
        <f>IF(S62="","",IF(F62&lt;G62,H62&amp;"_win",IF(F62&gt;G62,H62&amp;"_lose",H62&amp;"_draw")))</f>
        <v/>
      </c>
      <c r="U62" s="123">
        <f>IF(S62="",0,IF(VLOOKUP(E62,$AE$8:$AN$77,10,FALSE)=VLOOKUP(H62,$AE$8:$AN$77,10,FALSE),1,0))</f>
        <v/>
      </c>
      <c r="V62" s="123">
        <f>U62*F62</f>
        <v/>
      </c>
      <c r="W62" s="123">
        <f>U62*G62</f>
        <v/>
      </c>
      <c r="X62" s="123">
        <f>IF(S62="",0,IF(VLOOKUP(E62,$AE$8:$AO$77,11,FALSE)=VLOOKUP(H62,$AE$8:$AO$77,11,FALSE),1,0))</f>
        <v/>
      </c>
      <c r="Y62" s="123">
        <f>X62*F62</f>
        <v/>
      </c>
      <c r="Z62" s="123">
        <f>X62*G62</f>
        <v/>
      </c>
      <c r="AA62" s="123">
        <f>IF(OR(E62=my_team,H62=my_team),1,IF(INT(MATCH(E62,$AE$8:$AE$78,0)/6)=$AA$6,1,0))</f>
        <v/>
      </c>
      <c r="AB62" s="123">
        <f>IF(OR(F62="",G62=""),"",IF(F62&gt;G62,1,IF(F62&lt;G62,-1,0)))</f>
        <v/>
      </c>
      <c r="AD62" s="123">
        <f>COUNTIF(AR62:AR65,CONCATENATE("&gt;=",AR62))</f>
        <v/>
      </c>
      <c r="AE62" s="124">
        <f>VLOOKUP("Argentina",T,lang,FALSE)</f>
        <v/>
      </c>
      <c r="AF62" s="123">
        <f>COUNTIF($S$7:$T$78,"=" &amp; AE62 &amp; "_win")</f>
        <v/>
      </c>
      <c r="AG62" s="123">
        <f>COUNTIF($S$7:$T$78,"=" &amp; AE62 &amp; "_draw")</f>
        <v/>
      </c>
      <c r="AH62" s="123">
        <f>COUNTIF($S$7:$T$78,"=" &amp; AE62 &amp; "_lose")</f>
        <v/>
      </c>
      <c r="AI62" s="123">
        <f>SUMIF($E$7:$E$78,$AE62,$F$7:$F$78) + SUMIF($H$7:$H$78,$AE62,$G$7:$G$78)</f>
        <v/>
      </c>
      <c r="AJ62" s="123">
        <f>SUMIF($E$7:$E$78,$AE62,$G$7:$G$78) + SUMIF($H$7:$H$78,$AE62,$F$7:$F$78)</f>
        <v/>
      </c>
      <c r="AL62" s="123">
        <f>AI62-AJ62</f>
        <v/>
      </c>
      <c r="AM62" s="123">
        <f>AL62-AL66</f>
        <v/>
      </c>
      <c r="AN62" s="123">
        <f>AF62*3+AG62</f>
        <v/>
      </c>
      <c r="AO62" s="123">
        <f>AN62/AN66*10+BA62</f>
        <v/>
      </c>
      <c r="AP62" s="123">
        <f>AO62*10000000+BI62*100+AM62/AM66*10+AI62/AI66*1++IF(AQ62=0,ROW(),AQ62)/2000000</f>
        <v/>
      </c>
      <c r="AQ62" s="126">
        <f>VLOOKUP(AE62,db_fifarank,2,FALSE)</f>
        <v/>
      </c>
      <c r="AR62" s="125">
        <f>AP62/AP66</f>
        <v/>
      </c>
      <c r="AS62" s="125">
        <f>IF(SUM(AF62:AH65)=12,J63,"1J")</f>
        <v/>
      </c>
      <c r="AT62" s="126">
        <f t="array" ref="AT62">SUMPRODUCT(($S$7:$S$78=AE62&amp;"_win")*($U$7:$U$78))+SUMPRODUCT(($T$7:$T$78=AE62&amp;"_win")*($U$7:$U$78))</f>
        <v/>
      </c>
      <c r="AU62" s="126">
        <f t="array" ref="AU62">SUMPRODUCT(($S$7:$S$78=AE62&amp;"_draw")*($U$7:$U$78))+SUMPRODUCT(($T$7:$T$78=AE62&amp;"_draw")*($U$7:$U$78))</f>
        <v/>
      </c>
      <c r="AV62" s="126">
        <f t="array" ref="AV62">SUMPRODUCT(($E$7:$E$78=AE62)*($U$7:$U$78)*($F$7:$F$78))+SUMPRODUCT(($H$7:$H$78=AE62)*($U$7:$U$78)*($G$7:$G$78))</f>
        <v/>
      </c>
      <c r="AW62" s="126">
        <f t="array" ref="AW62">SUMPRODUCT(($E$7:$E$78=AE62)*($U$7:$U$78)*($G$7:$G$78))+SUMPRODUCT(($H$7:$H$78=AE62)*($U$7:$U$78)*($F$7:$F$78))</f>
        <v/>
      </c>
      <c r="AX62" s="126">
        <f>AV62-AW62</f>
        <v/>
      </c>
      <c r="AY62" s="126">
        <f>AX62-MIN(AX62:AX65)</f>
        <v/>
      </c>
      <c r="AZ62" s="126">
        <f>AT62/AT66*1000+AU62/AU66*100+AY62/AY66*10+AV62/AV66</f>
        <v/>
      </c>
      <c r="BA62" s="126">
        <f>AZ62/AZ66</f>
        <v/>
      </c>
      <c r="BB62" s="126">
        <f t="array" ref="BB62">SUMPRODUCT(($S$7:$S$78=AE62&amp;"_win")*($X$7:$X$78))+SUMPRODUCT(($T$7:$T$78=AE62&amp;"_win")*($X$7:$X$78))</f>
        <v/>
      </c>
      <c r="BC62" s="126">
        <f t="array" ref="BC62">SUMPRODUCT(($S$7:$S$78=AE62&amp;"_draw")*($X$7:$X$78))+SUMPRODUCT(($T$7:$T$78=AE62&amp;"_draw")*($X$7:$X$78))</f>
        <v/>
      </c>
      <c r="BD62" s="126">
        <f t="array" ref="BD62">SUMPRODUCT(($E$7:$E$78=AE62)*($X$7:$X$78)*($F$7:$F$78))+SUMPRODUCT(($H$7:$H$78=AE62)*($X$7:$X$78)*($G$7:$G$78))</f>
        <v/>
      </c>
      <c r="BE62" s="126">
        <f t="array" ref="BE62">SUMPRODUCT(($E$7:$E$78=AE62)*($X$7:$X$78)*($G$7:$G$78))+SUMPRODUCT(($H$7:$H$78=AE62)*($X$7:$X$78)*($F$7:$F$78))</f>
        <v/>
      </c>
      <c r="BF62" s="126">
        <f>BD62-BE62</f>
        <v/>
      </c>
      <c r="BG62" s="126">
        <f>BF62-MIN(BF62:BF65)</f>
        <v/>
      </c>
      <c r="BH62" s="126">
        <f>BB62/BB66*1000+BC62/BC66*100+BG62/BG66*10+BD62/BD66</f>
        <v/>
      </c>
      <c r="BI62" s="126">
        <f>BH62/BH66</f>
        <v/>
      </c>
      <c r="BK62" s="179" t="n">
        <v>88</v>
      </c>
      <c r="BL62" s="24">
        <f>AS27</f>
        <v/>
      </c>
      <c r="BM62" s="61" t="n">
        <v>1</v>
      </c>
      <c r="BN62" s="63" t="n"/>
      <c r="BO62" s="25" t="n">
        <v>4</v>
      </c>
      <c r="BP62" s="116">
        <f>IF(OR(BM62="",BM63="",AND(BN62="",BN63&lt;&gt;""),AND(BN63="",BN62&lt;&gt;""),AND(BO62="",BO63&lt;&gt;""),AND(BO63="",BO62&lt;&gt;"")),"",BM62*1000+BN62*10+BO62)</f>
        <v/>
      </c>
      <c r="BQ62" s="112" t="n"/>
      <c r="BR62" s="21" t="n"/>
      <c r="BS62" s="21" t="n"/>
      <c r="BT62" s="21" t="n"/>
      <c r="BU62" s="21" t="n"/>
      <c r="BV62" s="21" t="n"/>
      <c r="BW62" s="114" t="n"/>
      <c r="BX62" s="112" t="n"/>
      <c r="BY62" s="21" t="n"/>
      <c r="BZ62" s="21" t="n"/>
      <c r="CA62" s="21" t="n"/>
      <c r="CB62" s="21" t="n"/>
      <c r="CC62" s="21" t="n"/>
      <c r="CD62" s="114" t="n"/>
    </row>
    <row r="63">
      <c r="A63" s="16" t="n">
        <v>57</v>
      </c>
      <c r="B63" s="17">
        <f t="array" ref="B63">INDEX(T,18+INT(MOD(R63-1,7)),lang)</f>
        <v/>
      </c>
      <c r="C63" s="18">
        <f t="array" ref="C63">INDEX(T,24+MONTH(R63),lang) &amp; " " &amp; DAY(R63) &amp; ", " &amp; YEAR(R63)</f>
        <v/>
      </c>
      <c r="D63" s="120">
        <f>TIME(HOUR(R63),MINUTE(R63),0)</f>
        <v/>
      </c>
      <c r="E63" s="78">
        <f>AE39</f>
        <v/>
      </c>
      <c r="F63" s="19" t="n">
        <v>2</v>
      </c>
      <c r="G63" s="20" t="n">
        <v>0</v>
      </c>
      <c r="H63" s="80">
        <f>AE40</f>
        <v/>
      </c>
      <c r="I63" s="69" t="n"/>
      <c r="J63" s="30">
        <f>VLOOKUP(1,AD62:AN65,2,FALSE)</f>
        <v/>
      </c>
      <c r="K63" s="31">
        <f>L63+M63+N63</f>
        <v/>
      </c>
      <c r="L63" s="31">
        <f>VLOOKUP(1,AD62:AN65,3,FALSE)</f>
        <v/>
      </c>
      <c r="M63" s="31">
        <f>VLOOKUP(1,AD62:AN65,4,FALSE)</f>
        <v/>
      </c>
      <c r="N63" s="31">
        <f>VLOOKUP(1,AD62:AN65,5,FALSE)</f>
        <v/>
      </c>
      <c r="O63" s="31">
        <f>VLOOKUP(1,AD62:AN65,6,FALSE) &amp; " - " &amp; VLOOKUP(1,AD62:AN65,7,FALSE)</f>
        <v/>
      </c>
      <c r="P63" s="32">
        <f>L63*3+M63</f>
        <v/>
      </c>
      <c r="R63" s="123">
        <f>DATE(2026,6,25)+TIME(12,0,0)+gmt_delta</f>
        <v/>
      </c>
      <c r="S63" s="127">
        <f>IF(OR(F63="",G63=""),"",IF(F63&gt;G63,E63&amp;"_win",IF(F63&lt;G63,E63&amp;"_lose",E63&amp;"_draw")))</f>
        <v/>
      </c>
      <c r="T63" s="127">
        <f>IF(S63="","",IF(F63&lt;G63,H63&amp;"_win",IF(F63&gt;G63,H63&amp;"_lose",H63&amp;"_draw")))</f>
        <v/>
      </c>
      <c r="U63" s="123">
        <f>IF(S63="",0,IF(VLOOKUP(E63,$AE$8:$AN$77,10,FALSE)=VLOOKUP(H63,$AE$8:$AN$77,10,FALSE),1,0))</f>
        <v/>
      </c>
      <c r="V63" s="123">
        <f>U63*F63</f>
        <v/>
      </c>
      <c r="W63" s="123">
        <f>U63*G63</f>
        <v/>
      </c>
      <c r="X63" s="123">
        <f>IF(S63="",0,IF(VLOOKUP(E63,$AE$8:$AO$77,11,FALSE)=VLOOKUP(H63,$AE$8:$AO$77,11,FALSE),1,0))</f>
        <v/>
      </c>
      <c r="Y63" s="123">
        <f>X63*F63</f>
        <v/>
      </c>
      <c r="Z63" s="123">
        <f>X63*G63</f>
        <v/>
      </c>
      <c r="AA63" s="123">
        <f>IF(OR(E63=my_team,H63=my_team),1,IF(INT(MATCH(E63,$AE$8:$AE$78,0)/6)=$AA$6,1,0))</f>
        <v/>
      </c>
      <c r="AB63" s="123">
        <f>IF(OR(F63="",G63=""),"",IF(F63&gt;G63,1,IF(F63&lt;G63,-1,0)))</f>
        <v/>
      </c>
      <c r="AD63" s="123">
        <f>COUNTIF(AR62:AR65,CONCATENATE("&gt;=",AR63))</f>
        <v/>
      </c>
      <c r="AE63" s="124">
        <f>VLOOKUP("Algeria",T,lang,FALSE)</f>
        <v/>
      </c>
      <c r="AF63" s="123">
        <f>COUNTIF($S$7:$T$78,"=" &amp; AE63 &amp; "_win")</f>
        <v/>
      </c>
      <c r="AG63" s="123">
        <f>COUNTIF($S$7:$T$78,"=" &amp; AE63 &amp; "_draw")</f>
        <v/>
      </c>
      <c r="AH63" s="123">
        <f>COUNTIF($S$7:$T$78,"=" &amp; AE63 &amp; "_lose")</f>
        <v/>
      </c>
      <c r="AI63" s="123">
        <f>SUMIF($E$7:$E$78,$AE63,$F$7:$F$78) + SUMIF($H$7:$H$78,$AE63,$G$7:$G$78)</f>
        <v/>
      </c>
      <c r="AJ63" s="123">
        <f>SUMIF($E$7:$E$78,$AE63,$G$7:$G$78) + SUMIF($H$7:$H$78,$AE63,$F$7:$F$78)</f>
        <v/>
      </c>
      <c r="AL63" s="123">
        <f>AI63-AJ63</f>
        <v/>
      </c>
      <c r="AM63" s="123">
        <f>AL63-AL66</f>
        <v/>
      </c>
      <c r="AN63" s="123">
        <f>AF63*3+AG63</f>
        <v/>
      </c>
      <c r="AO63" s="123">
        <f>AN63/AN66*10+BA63</f>
        <v/>
      </c>
      <c r="AP63" s="123">
        <f>AO63*10000000+BI63*100+AM63/AM66*10+AI63/AI66*1++IF(AQ63=0,ROW(),AQ63)/2000000</f>
        <v/>
      </c>
      <c r="AQ63" s="126">
        <f>VLOOKUP(AE63,db_fifarank,2,FALSE)</f>
        <v/>
      </c>
      <c r="AR63" s="125">
        <f>AP63/AP66</f>
        <v/>
      </c>
      <c r="AS63" s="125">
        <f>IF(SUM(AF62:AH65)=12,J64,"2J")</f>
        <v/>
      </c>
      <c r="AT63" s="126">
        <f t="array" ref="AT63">SUMPRODUCT(($S$7:$S$78=AE63&amp;"_win")*($U$7:$U$78))+SUMPRODUCT(($T$7:$T$78=AE63&amp;"_win")*($U$7:$U$78))</f>
        <v/>
      </c>
      <c r="AU63" s="126">
        <f t="array" ref="AU63">SUMPRODUCT(($S$7:$S$78=AE63&amp;"_draw")*($U$7:$U$78))+SUMPRODUCT(($T$7:$T$78=AE63&amp;"_draw")*($U$7:$U$78))</f>
        <v/>
      </c>
      <c r="AV63" s="126">
        <f t="array" ref="AV63">SUMPRODUCT(($E$7:$E$78=AE63)*($U$7:$U$78)*($F$7:$F$78))+SUMPRODUCT(($H$7:$H$78=AE63)*($U$7:$U$78)*($G$7:$G$78))</f>
        <v/>
      </c>
      <c r="AW63" s="126">
        <f t="array" ref="AW63">SUMPRODUCT(($E$7:$E$78=AE63)*($U$7:$U$78)*($G$7:$G$78))+SUMPRODUCT(($H$7:$H$78=AE63)*($U$7:$U$78)*($F$7:$F$78))</f>
        <v/>
      </c>
      <c r="AX63" s="126">
        <f>AV63-AW63</f>
        <v/>
      </c>
      <c r="AY63" s="126">
        <f>AX63-MIN(AX62:AX65)</f>
        <v/>
      </c>
      <c r="AZ63" s="126">
        <f>AT63/AT66*1000+AU63/AU66*100+AY63/AY66*10+AV63/AV66</f>
        <v/>
      </c>
      <c r="BA63" s="126">
        <f>AZ63/AZ66</f>
        <v/>
      </c>
      <c r="BB63" s="126">
        <f t="array" ref="BB63">SUMPRODUCT(($S$7:$S$78=AE63&amp;"_win")*($X$7:$X$78))+SUMPRODUCT(($T$7:$T$78=AE63&amp;"_win")*($X$7:$X$78))</f>
        <v/>
      </c>
      <c r="BC63" s="126">
        <f t="array" ref="BC63">SUMPRODUCT(($S$7:$S$78=AE63&amp;"_draw")*($X$7:$X$78))+SUMPRODUCT(($T$7:$T$78=AE63&amp;"_draw")*($X$7:$X$78))</f>
        <v/>
      </c>
      <c r="BD63" s="126">
        <f t="array" ref="BD63">SUMPRODUCT(($E$7:$E$78=AE63)*($X$7:$X$78)*($F$7:$F$78))+SUMPRODUCT(($H$7:$H$78=AE63)*($X$7:$X$78)*($G$7:$G$78))</f>
        <v/>
      </c>
      <c r="BE63" s="126">
        <f t="array" ref="BE63">SUMPRODUCT(($E$7:$E$78=AE63)*($X$7:$X$78)*($G$7:$G$78))+SUMPRODUCT(($H$7:$H$78=AE63)*($X$7:$X$78)*($F$7:$F$78))</f>
        <v/>
      </c>
      <c r="BF63" s="126">
        <f>BD63-BE63</f>
        <v/>
      </c>
      <c r="BG63" s="126">
        <f>BF63-MIN(BF62:BF65)</f>
        <v/>
      </c>
      <c r="BH63" s="126">
        <f>BB63/BB66*1000+BC63/BC66*100+BG63/BG66*10+BD63/BD66</f>
        <v/>
      </c>
      <c r="BI63" s="126">
        <f>BH63/BH66</f>
        <v/>
      </c>
      <c r="BK63" s="180" t="n"/>
      <c r="BL63" s="26">
        <f>AS45</f>
        <v/>
      </c>
      <c r="BM63" s="62" t="n">
        <v>1</v>
      </c>
      <c r="BN63" s="64" t="n"/>
      <c r="BO63" s="27" t="n">
        <v>2</v>
      </c>
      <c r="BP63" s="112">
        <f>IF(BP62="","",BM63*1000+BN63*10+BO63)</f>
        <v/>
      </c>
      <c r="BQ63" s="112" t="n"/>
      <c r="BR63" s="21" t="n"/>
      <c r="BS63" s="21" t="n"/>
      <c r="BT63" s="21" t="n"/>
      <c r="BU63" s="21" t="n"/>
      <c r="BV63" s="21" t="n"/>
      <c r="BW63" s="114" t="n"/>
      <c r="BX63" s="112" t="n"/>
      <c r="BY63" s="21">
        <f t="array" ref="BY63">INDEX(T,24+MONTH(CD63),lang) &amp; " " &amp; DAY(CD63) &amp; ", " &amp; YEAR(CD63) &amp; "   " &amp; (IF(HOUR(CD63)&lt;10,0,"")&amp;HOUR(CD63)) &amp; ":" &amp;  (IF(MINUTE(CD63)&lt;10,0,"")&amp;MINUTE(CD63))</f>
        <v/>
      </c>
      <c r="BZ63" s="21" t="n"/>
      <c r="CA63" s="21" t="n"/>
      <c r="CB63" s="21" t="n"/>
      <c r="CC63" s="28" t="n"/>
      <c r="CD63" s="114">
        <f>DATE(2026,7,11)+TIME(14,0,0)+gmt_delta</f>
        <v/>
      </c>
    </row>
    <row r="64">
      <c r="A64" s="16" t="n">
        <v>58</v>
      </c>
      <c r="B64" s="17">
        <f t="array" ref="B64">INDEX(T,18+INT(MOD(R64-1,7)),lang)</f>
        <v/>
      </c>
      <c r="C64" s="18">
        <f t="array" ref="C64">INDEX(T,24+MONTH(R64),lang) &amp; " " &amp; DAY(R64) &amp; ", " &amp; YEAR(R64)</f>
        <v/>
      </c>
      <c r="D64" s="120">
        <f>TIME(HOUR(R64),MINUTE(R64),0)</f>
        <v/>
      </c>
      <c r="E64" s="78">
        <f>AE41</f>
        <v/>
      </c>
      <c r="F64" s="19" t="n">
        <v>0</v>
      </c>
      <c r="G64" s="20" t="n">
        <v>3</v>
      </c>
      <c r="H64" s="80">
        <f>AE38</f>
        <v/>
      </c>
      <c r="I64" s="69" t="n"/>
      <c r="J64" s="33">
        <f>VLOOKUP(2,AD62:AN65,2,FALSE)</f>
        <v/>
      </c>
      <c r="K64" s="23">
        <f>L64+M64+N64</f>
        <v/>
      </c>
      <c r="L64" s="23">
        <f>VLOOKUP(2,AD62:AN65,3,FALSE)</f>
        <v/>
      </c>
      <c r="M64" s="23">
        <f>VLOOKUP(2,AD62:AN65,4,FALSE)</f>
        <v/>
      </c>
      <c r="N64" s="23">
        <f>VLOOKUP(2,AD62:AN65,5,FALSE)</f>
        <v/>
      </c>
      <c r="O64" s="23">
        <f>VLOOKUP(2,AD62:AN65,6,FALSE) &amp; " - " &amp; VLOOKUP(2,AD62:AN65,7,FALSE)</f>
        <v/>
      </c>
      <c r="P64" s="34">
        <f>L64*3+M64</f>
        <v/>
      </c>
      <c r="R64" s="123">
        <f>DATE(2026,6,25)+TIME(12,0,0)+gmt_delta</f>
        <v/>
      </c>
      <c r="S64" s="127">
        <f>IF(OR(F64="",G64=""),"",IF(F64&gt;G64,E64&amp;"_win",IF(F64&lt;G64,E64&amp;"_lose",E64&amp;"_draw")))</f>
        <v/>
      </c>
      <c r="T64" s="127">
        <f>IF(S64="","",IF(F64&lt;G64,H64&amp;"_win",IF(F64&gt;G64,H64&amp;"_lose",H64&amp;"_draw")))</f>
        <v/>
      </c>
      <c r="U64" s="123">
        <f>IF(S64="",0,IF(VLOOKUP(E64,$AE$8:$AN$77,10,FALSE)=VLOOKUP(H64,$AE$8:$AN$77,10,FALSE),1,0))</f>
        <v/>
      </c>
      <c r="V64" s="123">
        <f>U64*F64</f>
        <v/>
      </c>
      <c r="W64" s="123">
        <f>U64*G64</f>
        <v/>
      </c>
      <c r="X64" s="123">
        <f>IF(S64="",0,IF(VLOOKUP(E64,$AE$8:$AO$77,11,FALSE)=VLOOKUP(H64,$AE$8:$AO$77,11,FALSE),1,0))</f>
        <v/>
      </c>
      <c r="Y64" s="123">
        <f>X64*F64</f>
        <v/>
      </c>
      <c r="Z64" s="123">
        <f>X64*G64</f>
        <v/>
      </c>
      <c r="AA64" s="123">
        <f>IF(OR(E64=my_team,H64=my_team),1,IF(INT(MATCH(E64,$AE$8:$AE$78,0)/6)=$AA$6,1,0))</f>
        <v/>
      </c>
      <c r="AB64" s="123">
        <f>IF(OR(F64="",G64=""),"",IF(F64&gt;G64,1,IF(F64&lt;G64,-1,0)))</f>
        <v/>
      </c>
      <c r="AD64" s="123">
        <f>COUNTIF(AR62:AR65,CONCATENATE("&gt;=",AR64))</f>
        <v/>
      </c>
      <c r="AE64" s="124">
        <f>VLOOKUP("Austria",T,lang,FALSE)</f>
        <v/>
      </c>
      <c r="AF64" s="123">
        <f>COUNTIF($S$7:$T$78,"=" &amp; AE64 &amp; "_win")</f>
        <v/>
      </c>
      <c r="AG64" s="123">
        <f>COUNTIF($S$7:$T$78,"=" &amp; AE64 &amp; "_draw")</f>
        <v/>
      </c>
      <c r="AH64" s="123">
        <f>COUNTIF($S$7:$T$78,"=" &amp; AE64 &amp; "_lose")</f>
        <v/>
      </c>
      <c r="AI64" s="123">
        <f>SUMIF($E$7:$E$78,$AE64,$F$7:$F$78) + SUMIF($H$7:$H$78,$AE64,$G$7:$G$78)</f>
        <v/>
      </c>
      <c r="AJ64" s="123">
        <f>SUMIF($E$7:$E$78,$AE64,$G$7:$G$78) + SUMIF($H$7:$H$78,$AE64,$F$7:$F$78)</f>
        <v/>
      </c>
      <c r="AL64" s="123">
        <f>AI64-AJ64</f>
        <v/>
      </c>
      <c r="AM64" s="123">
        <f>AL64-AL66</f>
        <v/>
      </c>
      <c r="AN64" s="123">
        <f>AF64*3+AG64</f>
        <v/>
      </c>
      <c r="AO64" s="123">
        <f>AN64/AN66*10+BA64</f>
        <v/>
      </c>
      <c r="AP64" s="123">
        <f>AO64*10000000+BI64*100+AM64/AM66*10+AI64/AI66*1++IF(AQ64=0,ROW(),AQ64)/2000000</f>
        <v/>
      </c>
      <c r="AQ64" s="126">
        <f>VLOOKUP(AE64,db_fifarank,2,FALSE)</f>
        <v/>
      </c>
      <c r="AR64" s="125">
        <f>AP64/AP66</f>
        <v/>
      </c>
      <c r="AT64" s="126">
        <f t="array" ref="AT64">SUMPRODUCT(($S$7:$S$78=AE64&amp;"_win")*($U$7:$U$78))+SUMPRODUCT(($T$7:$T$78=AE64&amp;"_win")*($U$7:$U$78))</f>
        <v/>
      </c>
      <c r="AU64" s="126">
        <f t="array" ref="AU64">SUMPRODUCT(($S$7:$S$78=AE64&amp;"_draw")*($U$7:$U$78))+SUMPRODUCT(($T$7:$T$78=AE64&amp;"_draw")*($U$7:$U$78))</f>
        <v/>
      </c>
      <c r="AV64" s="126">
        <f t="array" ref="AV64">SUMPRODUCT(($E$7:$E$78=AE64)*($U$7:$U$78)*($F$7:$F$78))+SUMPRODUCT(($H$7:$H$78=AE64)*($U$7:$U$78)*($G$7:$G$78))</f>
        <v/>
      </c>
      <c r="AW64" s="126">
        <f t="array" ref="AW64">SUMPRODUCT(($E$7:$E$78=AE64)*($U$7:$U$78)*($G$7:$G$78))+SUMPRODUCT(($H$7:$H$78=AE64)*($U$7:$U$78)*($F$7:$F$78))</f>
        <v/>
      </c>
      <c r="AX64" s="126">
        <f>AV64-AW64</f>
        <v/>
      </c>
      <c r="AY64" s="126">
        <f>AX64-MIN(AX62:AX65)</f>
        <v/>
      </c>
      <c r="AZ64" s="126">
        <f>AT64/AT66*1000+AU64/AU66*100+AY64/AY66*10+AV64/AV66</f>
        <v/>
      </c>
      <c r="BA64" s="126">
        <f>AZ64/AZ66</f>
        <v/>
      </c>
      <c r="BB64" s="126">
        <f t="array" ref="BB64">SUMPRODUCT(($S$7:$S$78=AE64&amp;"_win")*($X$7:$X$78))+SUMPRODUCT(($T$7:$T$78=AE64&amp;"_win")*($X$7:$X$78))</f>
        <v/>
      </c>
      <c r="BC64" s="126">
        <f t="array" ref="BC64">SUMPRODUCT(($S$7:$S$78=AE64&amp;"_draw")*($X$7:$X$78))+SUMPRODUCT(($T$7:$T$78=AE64&amp;"_draw")*($X$7:$X$78))</f>
        <v/>
      </c>
      <c r="BD64" s="126">
        <f t="array" ref="BD64">SUMPRODUCT(($E$7:$E$78=AE64)*($X$7:$X$78)*($F$7:$F$78))+SUMPRODUCT(($H$7:$H$78=AE64)*($X$7:$X$78)*($G$7:$G$78))</f>
        <v/>
      </c>
      <c r="BE64" s="126">
        <f t="array" ref="BE64">SUMPRODUCT(($E$7:$E$78=AE64)*($X$7:$X$78)*($G$7:$G$78))+SUMPRODUCT(($H$7:$H$78=AE64)*($X$7:$X$78)*($F$7:$F$78))</f>
        <v/>
      </c>
      <c r="BF64" s="126">
        <f>BD64-BE64</f>
        <v/>
      </c>
      <c r="BG64" s="126">
        <f>BF64-MIN(BF62:BF65)</f>
        <v/>
      </c>
      <c r="BH64" s="126">
        <f>BB64/BB66*1000+BC64/BC66*100+BG64/BG66*10+BD64/BD66</f>
        <v/>
      </c>
      <c r="BI64" s="126">
        <f>BH64/BH66</f>
        <v/>
      </c>
      <c r="BK64" s="21" t="n"/>
      <c r="BL64" s="21" t="n"/>
      <c r="BM64" s="21" t="n"/>
      <c r="BN64" s="21" t="n"/>
      <c r="BO64" s="21" t="n"/>
      <c r="BP64" s="112" t="n"/>
      <c r="BQ64" s="112" t="n"/>
      <c r="BR64" s="21" t="n"/>
      <c r="BS64" s="21" t="n"/>
      <c r="BT64" s="21" t="n"/>
      <c r="BU64" s="21" t="n"/>
      <c r="BV64" s="21" t="n"/>
      <c r="BW64" s="114" t="n"/>
      <c r="BX64" s="112" t="n"/>
      <c r="BY64" s="179" t="n">
        <v>100</v>
      </c>
      <c r="BZ64" s="24">
        <f>IF(BW60&gt;BW61,BS60,IF(BW60&lt;BW61,BS61,""))</f>
        <v/>
      </c>
      <c r="CA64" s="61" t="n">
        <v>1</v>
      </c>
      <c r="CB64" s="63" t="n"/>
      <c r="CC64" s="25" t="n">
        <v>3</v>
      </c>
      <c r="CD64" s="116">
        <f>IF(OR(CA64="",CA65="",AND(CB64="",CB65&lt;&gt;""),AND(CB65="",CB64&lt;&gt;""),AND(CC64="",CC65&lt;&gt;""),AND(CC65="",CC64&lt;&gt;"")),"",CA64*1000+CB64*10+CC64)</f>
        <v/>
      </c>
    </row>
    <row r="65">
      <c r="A65" s="16" t="n">
        <v>59</v>
      </c>
      <c r="B65" s="17">
        <f t="array" ref="B65">INDEX(T,18+INT(MOD(R65-1,7)),lang)</f>
        <v/>
      </c>
      <c r="C65" s="18">
        <f t="array" ref="C65">INDEX(T,24+MONTH(R65),lang) &amp; " " &amp; DAY(R65) &amp; ", " &amp; YEAR(R65)</f>
        <v/>
      </c>
      <c r="D65" s="120">
        <f>TIME(HOUR(R65),MINUTE(R65),0)</f>
        <v/>
      </c>
      <c r="E65" s="78">
        <f>AE29</f>
        <v/>
      </c>
      <c r="F65" s="19" t="n">
        <v>1</v>
      </c>
      <c r="G65" s="20" t="n">
        <v>2</v>
      </c>
      <c r="H65" s="80">
        <f>AE26</f>
        <v/>
      </c>
      <c r="I65" s="69" t="n"/>
      <c r="J65" s="33">
        <f>VLOOKUP(3,AD62:AN65,2,FALSE)</f>
        <v/>
      </c>
      <c r="K65" s="23">
        <f>L65+M65+N65</f>
        <v/>
      </c>
      <c r="L65" s="23">
        <f>VLOOKUP(3,AD62:AN65,3,FALSE)</f>
        <v/>
      </c>
      <c r="M65" s="23">
        <f>VLOOKUP(3,AD62:AN65,4,FALSE)</f>
        <v/>
      </c>
      <c r="N65" s="23">
        <f>VLOOKUP(3,AD62:AN65,5,FALSE)</f>
        <v/>
      </c>
      <c r="O65" s="23">
        <f>VLOOKUP(3,AD62:AN65,6,FALSE) &amp; " - " &amp; VLOOKUP(3,AD62:AN65,7,FALSE)</f>
        <v/>
      </c>
      <c r="P65" s="34">
        <f>L65*3+M65</f>
        <v/>
      </c>
      <c r="R65" s="123">
        <f>DATE(2026,6,25)+TIME(15,0,0)+gmt_delta</f>
        <v/>
      </c>
      <c r="S65" s="127">
        <f>IF(OR(F65="",G65=""),"",IF(F65&gt;G65,E65&amp;"_win",IF(F65&lt;G65,E65&amp;"_lose",E65&amp;"_draw")))</f>
        <v/>
      </c>
      <c r="T65" s="127">
        <f>IF(S65="","",IF(F65&lt;G65,H65&amp;"_win",IF(F65&gt;G65,H65&amp;"_lose",H65&amp;"_draw")))</f>
        <v/>
      </c>
      <c r="U65" s="123">
        <f>IF(S65="",0,IF(VLOOKUP(E65,$AE$8:$AN$77,10,FALSE)=VLOOKUP(H65,$AE$8:$AN$77,10,FALSE),1,0))</f>
        <v/>
      </c>
      <c r="V65" s="123">
        <f>U65*F65</f>
        <v/>
      </c>
      <c r="W65" s="123">
        <f>U65*G65</f>
        <v/>
      </c>
      <c r="X65" s="123">
        <f>IF(S65="",0,IF(VLOOKUP(E65,$AE$8:$AO$77,11,FALSE)=VLOOKUP(H65,$AE$8:$AO$77,11,FALSE),1,0))</f>
        <v/>
      </c>
      <c r="Y65" s="123">
        <f>X65*F65</f>
        <v/>
      </c>
      <c r="Z65" s="123">
        <f>X65*G65</f>
        <v/>
      </c>
      <c r="AA65" s="123">
        <f>IF(OR(E65=my_team,H65=my_team),1,IF(INT(MATCH(E65,$AE$8:$AE$78,0)/6)=$AA$6,1,0))</f>
        <v/>
      </c>
      <c r="AB65" s="123">
        <f>IF(OR(F65="",G65=""),"",IF(F65&gt;G65,1,IF(F65&lt;G65,-1,0)))</f>
        <v/>
      </c>
      <c r="AD65" s="123">
        <f>COUNTIF(AR62:AR65,CONCATENATE("&gt;=",AR65))</f>
        <v/>
      </c>
      <c r="AE65" s="124">
        <f>VLOOKUP("Jordan",T,lang,FALSE)</f>
        <v/>
      </c>
      <c r="AF65" s="123">
        <f>COUNTIF($S$7:$T$78,"=" &amp; AE65 &amp; "_win")</f>
        <v/>
      </c>
      <c r="AG65" s="123">
        <f>COUNTIF($S$7:$T$78,"=" &amp; AE65 &amp; "_draw")</f>
        <v/>
      </c>
      <c r="AH65" s="123">
        <f>COUNTIF($S$7:$T$78,"=" &amp; AE65 &amp; "_lose")</f>
        <v/>
      </c>
      <c r="AI65" s="123">
        <f>SUMIF($E$7:$E$78,$AE65,$F$7:$F$78) + SUMIF($H$7:$H$78,$AE65,$G$7:$G$78)</f>
        <v/>
      </c>
      <c r="AJ65" s="123">
        <f>SUMIF($E$7:$E$78,$AE65,$G$7:$G$78) + SUMIF($H$7:$H$78,$AE65,$F$7:$F$78)</f>
        <v/>
      </c>
      <c r="AL65" s="123">
        <f>AI65-AJ65</f>
        <v/>
      </c>
      <c r="AM65" s="123">
        <f>AL65-AL66</f>
        <v/>
      </c>
      <c r="AN65" s="123">
        <f>AF65*3+AG65</f>
        <v/>
      </c>
      <c r="AO65" s="123">
        <f>AN65/AN66*10+BA65</f>
        <v/>
      </c>
      <c r="AP65" s="123">
        <f>AO65*10000000+BI65*100+AM65/AM66*10+AI65/AI66*1++IF(AQ65=0,ROW(),AQ65)/2000000</f>
        <v/>
      </c>
      <c r="AQ65" s="126">
        <f>VLOOKUP(AE65,db_fifarank,2,FALSE)</f>
        <v/>
      </c>
      <c r="AR65" s="125">
        <f>AP65/AP66</f>
        <v/>
      </c>
      <c r="AT65" s="126">
        <f t="array" ref="AT65">SUMPRODUCT(($S$7:$S$78=AE65&amp;"_win")*($U$7:$U$78))+SUMPRODUCT(($T$7:$T$78=AE65&amp;"_win")*($U$7:$U$78))</f>
        <v/>
      </c>
      <c r="AU65" s="126">
        <f t="array" ref="AU65">SUMPRODUCT(($S$7:$S$78=AE65&amp;"_draw")*($U$7:$U$78))+SUMPRODUCT(($T$7:$T$78=AE65&amp;"_draw")*($U$7:$U$78))</f>
        <v/>
      </c>
      <c r="AV65" s="126">
        <f t="array" ref="AV65">SUMPRODUCT(($E$7:$E$78=AE65)*($U$7:$U$78)*($F$7:$F$78))+SUMPRODUCT(($H$7:$H$78=AE65)*($U$7:$U$78)*($G$7:$G$78))</f>
        <v/>
      </c>
      <c r="AW65" s="126">
        <f t="array" ref="AW65">SUMPRODUCT(($E$7:$E$78=AE65)*($U$7:$U$78)*($G$7:$G$78))+SUMPRODUCT(($H$7:$H$78=AE65)*($U$7:$U$78)*($F$7:$F$78))</f>
        <v/>
      </c>
      <c r="AX65" s="126">
        <f>AV65-AW65</f>
        <v/>
      </c>
      <c r="AY65" s="126">
        <f>AX65-MIN(AX62:AX65)</f>
        <v/>
      </c>
      <c r="AZ65" s="126">
        <f>AT65/AT66*1000+AU65/AU66*100+AY65/AY66*10+AV65/AV66</f>
        <v/>
      </c>
      <c r="BA65" s="126">
        <f>AZ65/AZ66</f>
        <v/>
      </c>
      <c r="BB65" s="126">
        <f t="array" ref="BB65">SUMPRODUCT(($S$7:$S$78=AE65&amp;"_win")*($X$7:$X$78))+SUMPRODUCT(($T$7:$T$78=AE65&amp;"_win")*($X$7:$X$78))</f>
        <v/>
      </c>
      <c r="BC65" s="126">
        <f t="array" ref="BC65">SUMPRODUCT(($S$7:$S$78=AE65&amp;"_draw")*($X$7:$X$78))+SUMPRODUCT(($T$7:$T$78=AE65&amp;"_draw")*($X$7:$X$78))</f>
        <v/>
      </c>
      <c r="BD65" s="126">
        <f t="array" ref="BD65">SUMPRODUCT(($E$7:$E$78=AE65)*($X$7:$X$78)*($F$7:$F$78))+SUMPRODUCT(($H$7:$H$78=AE65)*($X$7:$X$78)*($G$7:$G$78))</f>
        <v/>
      </c>
      <c r="BE65" s="126">
        <f t="array" ref="BE65">SUMPRODUCT(($E$7:$E$78=AE65)*($X$7:$X$78)*($G$7:$G$78))+SUMPRODUCT(($H$7:$H$78=AE65)*($X$7:$X$78)*($F$7:$F$78))</f>
        <v/>
      </c>
      <c r="BF65" s="126">
        <f>BD65-BE65</f>
        <v/>
      </c>
      <c r="BG65" s="126">
        <f>BF65-MIN(BF62:BF65)</f>
        <v/>
      </c>
      <c r="BH65" s="126">
        <f>BB65/BB66*1000+BC65/BC66*100+BG65/BG66*10+BD65/BD66</f>
        <v/>
      </c>
      <c r="BI65" s="126">
        <f>BH65/BH66</f>
        <v/>
      </c>
      <c r="BK65" s="21">
        <f t="array" ref="BK65">INDEX(T,24+MONTH(BP65),lang) &amp; " " &amp; DAY(BP65) &amp; ", " &amp; YEAR(BP65) &amp; "   " &amp; (IF(HOUR(BP65)&lt;10,0,"")&amp;HOUR(BP65)) &amp; ":" &amp;  (IF(MINUTE(BP65)&lt;10,0,"")&amp;MINUTE(BP65))</f>
        <v/>
      </c>
      <c r="BL65" s="21" t="n"/>
      <c r="BM65" s="21" t="n"/>
      <c r="BN65" s="21" t="n"/>
      <c r="BO65" s="28" t="n"/>
      <c r="BP65" s="112">
        <f>DATE(2026,7,2)+TIME(16,0,0)+gmt_delta</f>
        <v/>
      </c>
      <c r="BQ65" s="112" t="n"/>
      <c r="BR65" s="21" t="n"/>
      <c r="BS65" s="21" t="n"/>
      <c r="BT65" s="21" t="n"/>
      <c r="BU65" s="21" t="n"/>
      <c r="BV65" s="21" t="n"/>
      <c r="BW65" s="114" t="n"/>
      <c r="BX65" s="115" t="n"/>
      <c r="BY65" s="180" t="n"/>
      <c r="BZ65" s="26">
        <f>IF(BW68&gt;BW69,BS68,IF(BW68&lt;BW69,BS69,""))</f>
        <v/>
      </c>
      <c r="CA65" s="62" t="n">
        <v>1</v>
      </c>
      <c r="CB65" s="64" t="n"/>
      <c r="CC65" s="27" t="n">
        <v>4</v>
      </c>
      <c r="CD65" s="112">
        <f>IF(CD64="","",CA65*1000+CB65*10+CC65)</f>
        <v/>
      </c>
    </row>
    <row r="66">
      <c r="A66" s="16" t="n">
        <v>60</v>
      </c>
      <c r="B66" s="17">
        <f t="array" ref="B66">INDEX(T,18+INT(MOD(R66-1,7)),lang)</f>
        <v/>
      </c>
      <c r="C66" s="18">
        <f t="array" ref="C66">INDEX(T,24+MONTH(R66),lang) &amp; " " &amp; DAY(R66) &amp; ", " &amp; YEAR(R66)</f>
        <v/>
      </c>
      <c r="D66" s="120">
        <f>TIME(HOUR(R66),MINUTE(R66),0)</f>
        <v/>
      </c>
      <c r="E66" s="78">
        <f>AE27</f>
        <v/>
      </c>
      <c r="F66" s="19" t="n">
        <v>1</v>
      </c>
      <c r="G66" s="20" t="n">
        <v>2</v>
      </c>
      <c r="H66" s="80">
        <f>AE28</f>
        <v/>
      </c>
      <c r="I66" s="69" t="n"/>
      <c r="J66" s="35">
        <f>VLOOKUP(4,AD62:AN65,2,FALSE)</f>
        <v/>
      </c>
      <c r="K66" s="36">
        <f>L66+M66+N66</f>
        <v/>
      </c>
      <c r="L66" s="36">
        <f>VLOOKUP(4,AD62:AN65,3,FALSE)</f>
        <v/>
      </c>
      <c r="M66" s="36">
        <f>VLOOKUP(4,AD62:AN65,4,FALSE)</f>
        <v/>
      </c>
      <c r="N66" s="36">
        <f>VLOOKUP(4,AD62:AN65,5,FALSE)</f>
        <v/>
      </c>
      <c r="O66" s="36">
        <f>VLOOKUP(4,AD62:AN65,6,FALSE) &amp; " - " &amp; VLOOKUP(4,AD62:AN65,7,FALSE)</f>
        <v/>
      </c>
      <c r="P66" s="37">
        <f>L66*3+M66</f>
        <v/>
      </c>
      <c r="R66" s="123">
        <f>DATE(2026,6,25)+TIME(15,0,0)+gmt_delta</f>
        <v/>
      </c>
      <c r="S66" s="127">
        <f>IF(OR(F66="",G66=""),"",IF(F66&gt;G66,E66&amp;"_win",IF(F66&lt;G66,E66&amp;"_lose",E66&amp;"_draw")))</f>
        <v/>
      </c>
      <c r="T66" s="127">
        <f>IF(S66="","",IF(F66&lt;G66,H66&amp;"_win",IF(F66&gt;G66,H66&amp;"_lose",H66&amp;"_draw")))</f>
        <v/>
      </c>
      <c r="U66" s="123">
        <f>IF(S66="",0,IF(VLOOKUP(E66,$AE$8:$AN$77,10,FALSE)=VLOOKUP(H66,$AE$8:$AN$77,10,FALSE),1,0))</f>
        <v/>
      </c>
      <c r="V66" s="123">
        <f>U66*F66</f>
        <v/>
      </c>
      <c r="W66" s="123">
        <f>U66*G66</f>
        <v/>
      </c>
      <c r="X66" s="123">
        <f>IF(S66="",0,IF(VLOOKUP(E66,$AE$8:$AO$77,11,FALSE)=VLOOKUP(H66,$AE$8:$AO$77,11,FALSE),1,0))</f>
        <v/>
      </c>
      <c r="Y66" s="123">
        <f>X66*F66</f>
        <v/>
      </c>
      <c r="Z66" s="123">
        <f>X66*G66</f>
        <v/>
      </c>
      <c r="AA66" s="123">
        <f>IF(OR(E66=my_team,H66=my_team),1,IF(INT(MATCH(E66,$AE$8:$AE$78,0)/6)=$AA$6,1,0))</f>
        <v/>
      </c>
      <c r="AB66" s="123">
        <f>IF(OR(F66="",G66=""),"",IF(F66&gt;G66,1,IF(F66&lt;G66,-1,0)))</f>
        <v/>
      </c>
      <c r="AF66" s="123">
        <f>MAX(AF62:AF65)-MIN(AF62:AF65)+1</f>
        <v/>
      </c>
      <c r="AG66" s="123">
        <f>MAX(AG62:AG65)-MIN(AG62:AG65)+1</f>
        <v/>
      </c>
      <c r="AH66" s="123">
        <f>MAX(AH62:AH65)-MIN(AH62:AH65)+1</f>
        <v/>
      </c>
      <c r="AI66" s="123">
        <f>MAX(AI62:AI65)+1</f>
        <v/>
      </c>
      <c r="AL66" s="123">
        <f>MIN(AL62:AL65)</f>
        <v/>
      </c>
      <c r="AM66" s="123">
        <f>MAX(AM62:AM65)+1</f>
        <v/>
      </c>
      <c r="AN66" s="123">
        <f>MAX(AN62:AN65)+1</f>
        <v/>
      </c>
      <c r="AO66" s="123">
        <f>MAX(AO62:AO65)+1</f>
        <v/>
      </c>
      <c r="AP66" s="123">
        <f>MAX(AP62:AP65)+1</f>
        <v/>
      </c>
      <c r="AT66" s="126">
        <f>MAX(AT62:AT65)-MIN(AT62:AT65)+1</f>
        <v/>
      </c>
      <c r="AU66" s="126">
        <f>MAX(AU62:AU65)-MIN(AU62:AU65)+1</f>
        <v/>
      </c>
      <c r="AV66" s="126">
        <f>MAX(AV62:AV65)-MIN(AV62:AV65)+1</f>
        <v/>
      </c>
      <c r="AW66" s="126">
        <f>MAX(AW62:AW65)-MIN(AW62:AW65)+1</f>
        <v/>
      </c>
      <c r="AY66" s="126">
        <f>MAX(AY62:AY65)-MIN(AY62:AY65)+1</f>
        <v/>
      </c>
      <c r="AZ66" s="126">
        <f>MAX(AZ62:AZ65)+1</f>
        <v/>
      </c>
      <c r="BB66" s="126">
        <f>MAX(BB62:BB65)-MIN(BB62:BB65)+1</f>
        <v/>
      </c>
      <c r="BC66" s="126">
        <f>MAX(BC62:BC65)-MIN(BC62:BC65)+1</f>
        <v/>
      </c>
      <c r="BD66" s="126">
        <f>MAX(BD62:BD65)-MIN(BD62:BD65)+1</f>
        <v/>
      </c>
      <c r="BE66" s="126">
        <f>MAX(BE62:BE65)-MIN(BE62:BE65)+1</f>
        <v/>
      </c>
      <c r="BG66" s="126">
        <f>MAX(BG62:BG65)-MIN(BG62:BG65)+1</f>
        <v/>
      </c>
      <c r="BH66" s="126">
        <f>MAX(BH62:BH65)+1</f>
        <v/>
      </c>
      <c r="BK66" s="179" t="n">
        <v>85</v>
      </c>
      <c r="BL66" s="24">
        <f>AS14</f>
        <v/>
      </c>
      <c r="BM66" s="61" t="n">
        <v>2</v>
      </c>
      <c r="BN66" s="63" t="n"/>
      <c r="BO66" s="25" t="n"/>
      <c r="BP66" s="112">
        <f>IF(OR(BM66="",BM67="",AND(BN66="",BN67&lt;&gt;""),AND(BN67="",BN66&lt;&gt;""),AND(BO66="",BO67&lt;&gt;""),AND(BO67="",BO66&lt;&gt;"")),"",BM66*1000+BN66*10+BO66)</f>
        <v/>
      </c>
      <c r="BQ66" s="112" t="n"/>
      <c r="BR66" s="21" t="n"/>
      <c r="BS66" s="21" t="n"/>
      <c r="BT66" s="21" t="n"/>
      <c r="BU66" s="21" t="n"/>
      <c r="BV66" s="21" t="n"/>
      <c r="BW66" s="114" t="n"/>
    </row>
    <row r="67">
      <c r="A67" s="16" t="n">
        <v>61</v>
      </c>
      <c r="B67" s="17">
        <f t="array" ref="B67">INDEX(T,18+INT(MOD(R67-1,7)),lang)</f>
        <v/>
      </c>
      <c r="C67" s="18">
        <f t="array" ref="C67">INDEX(T,24+MONTH(R67),lang) &amp; " " &amp; DAY(R67) &amp; ", " &amp; YEAR(R67)</f>
        <v/>
      </c>
      <c r="D67" s="120">
        <f>TIME(HOUR(R67),MINUTE(R67),0)</f>
        <v/>
      </c>
      <c r="E67" s="78">
        <f>AE59</f>
        <v/>
      </c>
      <c r="F67" s="19" t="n">
        <v>1</v>
      </c>
      <c r="G67" s="20" t="n">
        <v>2</v>
      </c>
      <c r="H67" s="80">
        <f>AE56</f>
        <v/>
      </c>
      <c r="I67" s="69" t="n"/>
      <c r="J67" s="72" t="n"/>
      <c r="K67" s="70" t="n"/>
      <c r="L67" s="70" t="n"/>
      <c r="M67" s="70" t="n"/>
      <c r="N67" s="70" t="n"/>
      <c r="O67" s="70" t="n"/>
      <c r="P67" s="70" t="n"/>
      <c r="R67" s="123">
        <f>DATE(2026,6,26)+TIME(8,0,0)+gmt_delta</f>
        <v/>
      </c>
      <c r="S67" s="127">
        <f>IF(OR(F67="",G67=""),"",IF(F67&gt;G67,E67&amp;"_win",IF(F67&lt;G67,E67&amp;"_lose",E67&amp;"_draw")))</f>
        <v/>
      </c>
      <c r="T67" s="127">
        <f>IF(S67="","",IF(F67&lt;G67,H67&amp;"_win",IF(F67&gt;G67,H67&amp;"_lose",H67&amp;"_draw")))</f>
        <v/>
      </c>
      <c r="U67" s="123">
        <f>IF(S67="",0,IF(VLOOKUP(E67,$AE$8:$AN$77,10,FALSE)=VLOOKUP(H67,$AE$8:$AN$77,10,FALSE),1,0))</f>
        <v/>
      </c>
      <c r="V67" s="123">
        <f>U67*F67</f>
        <v/>
      </c>
      <c r="W67" s="123">
        <f>U67*G67</f>
        <v/>
      </c>
      <c r="X67" s="123">
        <f>IF(S67="",0,IF(VLOOKUP(E67,$AE$8:$AO$77,11,FALSE)=VLOOKUP(H67,$AE$8:$AO$77,11,FALSE),1,0))</f>
        <v/>
      </c>
      <c r="Y67" s="123">
        <f>X67*F67</f>
        <v/>
      </c>
      <c r="Z67" s="123">
        <f>X67*G67</f>
        <v/>
      </c>
      <c r="AA67" s="123">
        <f>IF(OR(E67=my_team,H67=my_team),1,IF(INT(MATCH(E67,$AE$8:$AE$78,0)/6)=$AA$6,1,0))</f>
        <v/>
      </c>
      <c r="AB67" s="123">
        <f>IF(OR(F67="",G67=""),"",IF(F67&gt;G67,1,IF(F67&lt;G67,-1,0)))</f>
        <v/>
      </c>
      <c r="BK67" s="180" t="n"/>
      <c r="BL67" s="26">
        <f>IF(group_round_completed,VLOOKUP('3rd places'!E3,AK80:AS91,9,FALSE),"3rd Group E/F/G/I/J")</f>
        <v/>
      </c>
      <c r="BM67" s="62" t="n">
        <v>0</v>
      </c>
      <c r="BN67" s="64" t="n"/>
      <c r="BO67" s="27" t="n"/>
      <c r="BP67" s="113">
        <f>IF(BP66="","",BM67*1000+BN67*10+BO67)</f>
        <v/>
      </c>
      <c r="BQ67" s="112" t="n"/>
      <c r="BR67" s="21">
        <f t="array" ref="BR67">INDEX(T,24+MONTH(BW67),lang) &amp; " " &amp; DAY(BW67) &amp; ", " &amp; YEAR(BW67) &amp; "   " &amp; (IF(HOUR(BW67)&lt;10,0,"")&amp;HOUR(BW67)) &amp; ":" &amp;  (IF(MINUTE(BW67)&lt;10,0,"")&amp;MINUTE(BW67))</f>
        <v/>
      </c>
      <c r="BS67" s="21" t="n"/>
      <c r="BT67" s="21" t="n"/>
      <c r="BU67" s="21" t="n"/>
      <c r="BV67" s="28" t="n"/>
      <c r="BW67" s="114">
        <f>DATE(2026,7,7)+TIME(9,0,0)+gmt_delta</f>
        <v/>
      </c>
    </row>
    <row r="68">
      <c r="A68" s="16" t="n">
        <v>62</v>
      </c>
      <c r="B68" s="17">
        <f t="array" ref="B68">INDEX(T,18+INT(MOD(R68-1,7)),lang)</f>
        <v/>
      </c>
      <c r="C68" s="18">
        <f t="array" ref="C68">INDEX(T,24+MONTH(R68),lang) &amp; " " &amp; DAY(R68) &amp; ", " &amp; YEAR(R68)</f>
        <v/>
      </c>
      <c r="D68" s="120">
        <f>TIME(HOUR(R68),MINUTE(R68),0)</f>
        <v/>
      </c>
      <c r="E68" s="78">
        <f>AE57</f>
        <v/>
      </c>
      <c r="F68" s="19" t="n">
        <v>2</v>
      </c>
      <c r="G68" s="20" t="n">
        <v>0</v>
      </c>
      <c r="H68" s="80">
        <f>AE58</f>
        <v/>
      </c>
      <c r="I68" s="69" t="n"/>
      <c r="J68" s="38">
        <f t="array" ref="J68">INDEX(T,9,lang) &amp; " " &amp; "K"</f>
        <v/>
      </c>
      <c r="K68" s="94">
        <f t="array" ref="K68">INDEX(T,10,lang)</f>
        <v/>
      </c>
      <c r="L68" s="94">
        <f t="array" ref="L68">INDEX(T,11,lang)</f>
        <v/>
      </c>
      <c r="M68" s="94">
        <f t="array" ref="M68">INDEX(T,12,lang)</f>
        <v/>
      </c>
      <c r="N68" s="94">
        <f t="array" ref="N68">INDEX(T,13,lang)</f>
        <v/>
      </c>
      <c r="O68" s="94">
        <f t="array" ref="O68">INDEX(T,14,lang)</f>
        <v/>
      </c>
      <c r="P68" s="95">
        <f t="array" ref="P68">INDEX(T,15,lang)</f>
        <v/>
      </c>
      <c r="R68" s="123">
        <f>DATE(2026,6,26)+TIME(8,0,0)+gmt_delta</f>
        <v/>
      </c>
      <c r="S68" s="127">
        <f>IF(OR(F68="",G68=""),"",IF(F68&gt;G68,E68&amp;"_win",IF(F68&lt;G68,E68&amp;"_lose",E68&amp;"_draw")))</f>
        <v/>
      </c>
      <c r="T68" s="127">
        <f>IF(S68="","",IF(F68&lt;G68,H68&amp;"_win",IF(F68&gt;G68,H68&amp;"_lose",H68&amp;"_draw")))</f>
        <v/>
      </c>
      <c r="U68" s="123">
        <f>IF(S68="",0,IF(VLOOKUP(E68,$AE$8:$AN$77,10,FALSE)=VLOOKUP(H68,$AE$8:$AN$77,10,FALSE),1,0))</f>
        <v/>
      </c>
      <c r="V68" s="123">
        <f>U68*F68</f>
        <v/>
      </c>
      <c r="W68" s="123">
        <f>U68*G68</f>
        <v/>
      </c>
      <c r="X68" s="123">
        <f>IF(S68="",0,IF(VLOOKUP(E68,$AE$8:$AO$77,11,FALSE)=VLOOKUP(H68,$AE$8:$AO$77,11,FALSE),1,0))</f>
        <v/>
      </c>
      <c r="Y68" s="123">
        <f>X68*F68</f>
        <v/>
      </c>
      <c r="Z68" s="123">
        <f>X68*G68</f>
        <v/>
      </c>
      <c r="AA68" s="123">
        <f>IF(OR(E68=my_team,H68=my_team),1,IF(INT(MATCH(E68,$AE$8:$AE$78,0)/6)=$AA$6,1,0))</f>
        <v/>
      </c>
      <c r="AB68" s="123">
        <f>IF(OR(F68="",G68=""),"",IF(F68&gt;G68,1,IF(F68&lt;G68,-1,0)))</f>
        <v/>
      </c>
      <c r="AD68" s="123">
        <f>COUNTIF(AR68:AR71,CONCATENATE("&gt;=",AR68))</f>
        <v/>
      </c>
      <c r="AE68" s="124">
        <f>VLOOKUP("Portugal",T,lang,FALSE)</f>
        <v/>
      </c>
      <c r="AF68" s="123">
        <f>COUNTIF($S$7:$T$78,"=" &amp; AE68 &amp; "_win")</f>
        <v/>
      </c>
      <c r="AG68" s="123">
        <f>COUNTIF($S$7:$T$78,"=" &amp; AE68 &amp; "_draw")</f>
        <v/>
      </c>
      <c r="AH68" s="123">
        <f>COUNTIF($S$7:$T$78,"=" &amp; AE68 &amp; "_lose")</f>
        <v/>
      </c>
      <c r="AI68" s="123">
        <f>SUMIF($E$7:$E$78,$AE68,$F$7:$F$78) + SUMIF($H$7:$H$78,$AE68,$G$7:$G$78)</f>
        <v/>
      </c>
      <c r="AJ68" s="123">
        <f>SUMIF($E$7:$E$78,$AE68,$G$7:$G$78) + SUMIF($H$7:$H$78,$AE68,$F$7:$F$78)</f>
        <v/>
      </c>
      <c r="AL68" s="123">
        <f>AI68-AJ68</f>
        <v/>
      </c>
      <c r="AM68" s="123">
        <f>AL68-AL72</f>
        <v/>
      </c>
      <c r="AN68" s="123">
        <f>AF68*3+AG68</f>
        <v/>
      </c>
      <c r="AO68" s="123">
        <f>AN68/AN72*10+BA68</f>
        <v/>
      </c>
      <c r="AP68" s="123">
        <f>AO68*10000000+BI68*100+AM68/AM72*10+AI68/AI72*1++IF(AQ68=0,ROW(),AQ68)/2000000</f>
        <v/>
      </c>
      <c r="AQ68" s="126">
        <f>VLOOKUP(AE68,db_fifarank,2,FALSE)</f>
        <v/>
      </c>
      <c r="AR68" s="125">
        <f>AP68/AP72</f>
        <v/>
      </c>
      <c r="AS68" s="125">
        <f>IF(SUM(AF68:AH71)=12,J69,"1K")</f>
        <v/>
      </c>
      <c r="AT68" s="126">
        <f t="array" ref="AT68">SUMPRODUCT(($S$7:$S$78=AE68&amp;"_win")*($U$7:$U$78))+SUMPRODUCT(($T$7:$T$78=AE68&amp;"_win")*($U$7:$U$78))</f>
        <v/>
      </c>
      <c r="AU68" s="126">
        <f t="array" ref="AU68">SUMPRODUCT(($S$7:$S$78=AE68&amp;"_draw")*($U$7:$U$78))+SUMPRODUCT(($T$7:$T$78=AE68&amp;"_draw")*($U$7:$U$78))</f>
        <v/>
      </c>
      <c r="AV68" s="126">
        <f t="array" ref="AV68">SUMPRODUCT(($E$7:$E$78=AE68)*($U$7:$U$78)*($F$7:$F$78))+SUMPRODUCT(($H$7:$H$78=AE68)*($U$7:$U$78)*($G$7:$G$78))</f>
        <v/>
      </c>
      <c r="AW68" s="126">
        <f t="array" ref="AW68">SUMPRODUCT(($E$7:$E$78=AE68)*($U$7:$U$78)*($G$7:$G$78))+SUMPRODUCT(($H$7:$H$78=AE68)*($U$7:$U$78)*($F$7:$F$78))</f>
        <v/>
      </c>
      <c r="AX68" s="126">
        <f>AV68-AW68</f>
        <v/>
      </c>
      <c r="AY68" s="126">
        <f>AX68-MIN(AX68:AX71)</f>
        <v/>
      </c>
      <c r="AZ68" s="126">
        <f>AT68/AT72*1000+AU68/AU72*100+AY68/AY72*10+AV68/AV72</f>
        <v/>
      </c>
      <c r="BA68" s="126">
        <f>AZ68/AZ72</f>
        <v/>
      </c>
      <c r="BB68" s="126">
        <f t="array" ref="BB68">SUMPRODUCT(($S$7:$S$78=AE68&amp;"_win")*($X$7:$X$78))+SUMPRODUCT(($T$7:$T$78=AE68&amp;"_win")*($X$7:$X$78))</f>
        <v/>
      </c>
      <c r="BC68" s="126">
        <f t="array" ref="BC68">SUMPRODUCT(($S$7:$S$78=AE68&amp;"_draw")*($X$7:$X$78))+SUMPRODUCT(($T$7:$T$78=AE68&amp;"_draw")*($X$7:$X$78))</f>
        <v/>
      </c>
      <c r="BD68" s="126">
        <f t="array" ref="BD68">SUMPRODUCT(($E$7:$E$78=AE68)*($X$7:$X$78)*($F$7:$F$78))+SUMPRODUCT(($H$7:$H$78=AE68)*($X$7:$X$78)*($G$7:$G$78))</f>
        <v/>
      </c>
      <c r="BE68" s="126">
        <f t="array" ref="BE68">SUMPRODUCT(($E$7:$E$78=AE68)*($X$7:$X$78)*($G$7:$G$78))+SUMPRODUCT(($H$7:$H$78=AE68)*($X$7:$X$78)*($F$7:$F$78))</f>
        <v/>
      </c>
      <c r="BF68" s="126">
        <f>BD68-BE68</f>
        <v/>
      </c>
      <c r="BG68" s="126">
        <f>BF68-MIN(BF68:BF71)</f>
        <v/>
      </c>
      <c r="BH68" s="126">
        <f>BB68/BB72*1000+BC68/BC72*100+BG68/BG72*10+BD68/BD72</f>
        <v/>
      </c>
      <c r="BI68" s="126">
        <f>BH68/BH72</f>
        <v/>
      </c>
      <c r="BK68" s="21" t="n"/>
      <c r="BL68" s="21" t="n"/>
      <c r="BM68" s="21" t="n"/>
      <c r="BN68" s="21" t="n"/>
      <c r="BO68" s="21" t="n"/>
      <c r="BP68" s="114" t="n"/>
      <c r="BQ68" s="112" t="n"/>
      <c r="BR68" s="179" t="n">
        <v>96</v>
      </c>
      <c r="BS68" s="24">
        <f>IF(BP66&gt;BP67,BL66,IF(BP66&lt;BP67,BL67,""))</f>
        <v/>
      </c>
      <c r="BT68" s="61" t="n">
        <v>0</v>
      </c>
      <c r="BU68" s="63" t="n"/>
      <c r="BV68" s="25" t="n"/>
      <c r="BW68" s="116">
        <f>IF(OR(BT68="",BT69="",AND(BU68="",BU69&lt;&gt;""),AND(BU69="",BU68&lt;&gt;""),AND(BV68="",BV69&lt;&gt;""),AND(BV69="",BV68&lt;&gt;"")),"",BT68*1000+BU68*10+BV68)</f>
        <v/>
      </c>
      <c r="CE68" s="143">
        <f>INDEX(T,144,lang)</f>
        <v/>
      </c>
      <c r="CF68" s="181" t="n"/>
      <c r="CG68" s="181" t="n"/>
      <c r="CH68" s="181" t="n"/>
      <c r="CI68" s="181" t="n"/>
      <c r="CJ68" s="181" t="n"/>
      <c r="CK68" s="131">
        <f>IF(CR37&gt;CR38,CN37,IF(CR37&lt;CR38,CN38,""))</f>
        <v/>
      </c>
      <c r="CL68" s="181" t="n"/>
      <c r="CM68" s="181" t="n"/>
      <c r="CN68" s="181" t="n"/>
      <c r="CO68" s="181" t="n"/>
      <c r="CP68" s="181" t="n"/>
      <c r="CQ68" s="181" t="n"/>
    </row>
    <row r="69">
      <c r="A69" s="16" t="n">
        <v>63</v>
      </c>
      <c r="B69" s="17">
        <f t="array" ref="B69">INDEX(T,18+INT(MOD(R69-1,7)),lang)</f>
        <v/>
      </c>
      <c r="C69" s="18">
        <f t="array" ref="C69">INDEX(T,24+MONTH(R69),lang) &amp; " " &amp; DAY(R69) &amp; ", " &amp; YEAR(R69)</f>
        <v/>
      </c>
      <c r="D69" s="120">
        <f>TIME(HOUR(R69),MINUTE(R69),0)</f>
        <v/>
      </c>
      <c r="E69" s="78">
        <f>AE45</f>
        <v/>
      </c>
      <c r="F69" s="19" t="n">
        <v>1</v>
      </c>
      <c r="G69" s="20" t="n">
        <v>1</v>
      </c>
      <c r="H69" s="80">
        <f>AE46</f>
        <v/>
      </c>
      <c r="I69" s="69" t="n"/>
      <c r="J69" s="30">
        <f>VLOOKUP(1,AD68:AN71,2,FALSE)</f>
        <v/>
      </c>
      <c r="K69" s="31">
        <f>L69+M69+N69</f>
        <v/>
      </c>
      <c r="L69" s="31">
        <f>VLOOKUP(1,AD68:AN71,3,FALSE)</f>
        <v/>
      </c>
      <c r="M69" s="31">
        <f>VLOOKUP(1,AD68:AN71,4,FALSE)</f>
        <v/>
      </c>
      <c r="N69" s="31">
        <f>VLOOKUP(1,AD68:AN71,5,FALSE)</f>
        <v/>
      </c>
      <c r="O69" s="31">
        <f>VLOOKUP(1,AD68:AN71,6,FALSE) &amp; " - " &amp; VLOOKUP(1,AD68:AN71,7,FALSE)</f>
        <v/>
      </c>
      <c r="P69" s="32">
        <f>L69*3+M69</f>
        <v/>
      </c>
      <c r="R69" s="123">
        <f>DATE(2026,6,26)+TIME(16,0,0)+gmt_delta</f>
        <v/>
      </c>
      <c r="S69" s="127">
        <f>IF(OR(F69="",G69=""),"",IF(F69&gt;G69,E69&amp;"_win",IF(F69&lt;G69,E69&amp;"_lose",E69&amp;"_draw")))</f>
        <v/>
      </c>
      <c r="T69" s="127">
        <f>IF(S69="","",IF(F69&lt;G69,H69&amp;"_win",IF(F69&gt;G69,H69&amp;"_lose",H69&amp;"_draw")))</f>
        <v/>
      </c>
      <c r="U69" s="123">
        <f>IF(S69="",0,IF(VLOOKUP(E69,$AE$8:$AN$77,10,FALSE)=VLOOKUP(H69,$AE$8:$AN$77,10,FALSE),1,0))</f>
        <v/>
      </c>
      <c r="V69" s="123">
        <f>U69*F69</f>
        <v/>
      </c>
      <c r="W69" s="123">
        <f>U69*G69</f>
        <v/>
      </c>
      <c r="X69" s="123">
        <f>IF(S69="",0,IF(VLOOKUP(E69,$AE$8:$AO$77,11,FALSE)=VLOOKUP(H69,$AE$8:$AO$77,11,FALSE),1,0))</f>
        <v/>
      </c>
      <c r="Y69" s="123">
        <f>X69*F69</f>
        <v/>
      </c>
      <c r="Z69" s="123">
        <f>X69*G69</f>
        <v/>
      </c>
      <c r="AA69" s="123">
        <f>IF(OR(E69=my_team,H69=my_team),1,IF(INT(MATCH(E69,$AE$8:$AE$78,0)/6)=$AA$6,1,0))</f>
        <v/>
      </c>
      <c r="AB69" s="123">
        <f>IF(OR(F69="",G69=""),"",IF(F69&gt;G69,1,IF(F69&lt;G69,-1,0)))</f>
        <v/>
      </c>
      <c r="AD69" s="123">
        <f>COUNTIF(AR68:AR71,CONCATENATE("&gt;=",AR69))</f>
        <v/>
      </c>
      <c r="AE69" s="124">
        <f>VLOOKUP("DR Congo",T,lang,FALSE)</f>
        <v/>
      </c>
      <c r="AF69" s="123">
        <f>COUNTIF($S$7:$T$78,"=" &amp; AE69 &amp; "_win")</f>
        <v/>
      </c>
      <c r="AG69" s="123">
        <f>COUNTIF($S$7:$T$78,"=" &amp; AE69 &amp; "_draw")</f>
        <v/>
      </c>
      <c r="AH69" s="123">
        <f>COUNTIF($S$7:$T$78,"=" &amp; AE69 &amp; "_lose")</f>
        <v/>
      </c>
      <c r="AI69" s="123">
        <f>SUMIF($E$7:$E$78,$AE69,$F$7:$F$78) + SUMIF($H$7:$H$78,$AE69,$G$7:$G$78)</f>
        <v/>
      </c>
      <c r="AJ69" s="123">
        <f>SUMIF($E$7:$E$78,$AE69,$G$7:$G$78) + SUMIF($H$7:$H$78,$AE69,$F$7:$F$78)</f>
        <v/>
      </c>
      <c r="AL69" s="123">
        <f>AI69-AJ69</f>
        <v/>
      </c>
      <c r="AM69" s="123">
        <f>AL69-AL72</f>
        <v/>
      </c>
      <c r="AN69" s="123">
        <f>AF69*3+AG69</f>
        <v/>
      </c>
      <c r="AO69" s="123">
        <f>AN69/AN72*10+BA69</f>
        <v/>
      </c>
      <c r="AP69" s="123">
        <f>AO69*10000000+BI69*100+AM69/AM72*10+AI69/AI72*1++IF(AQ69=0,ROW(),AQ69)/2000000</f>
        <v/>
      </c>
      <c r="AQ69" s="126">
        <f>VLOOKUP(AE69,db_fifarank,2,FALSE)</f>
        <v/>
      </c>
      <c r="AR69" s="125">
        <f>AP69/AP72</f>
        <v/>
      </c>
      <c r="AS69" s="125">
        <f>IF(SUM(AF68:AH71)=12,J70,"2K")</f>
        <v/>
      </c>
      <c r="AT69" s="126">
        <f t="array" ref="AT69">SUMPRODUCT(($S$7:$S$78=AE69&amp;"_win")*($U$7:$U$78))+SUMPRODUCT(($T$7:$T$78=AE69&amp;"_win")*($U$7:$U$78))</f>
        <v/>
      </c>
      <c r="AU69" s="126">
        <f t="array" ref="AU69">SUMPRODUCT(($S$7:$S$78=AE69&amp;"_draw")*($U$7:$U$78))+SUMPRODUCT(($T$7:$T$78=AE69&amp;"_draw")*($U$7:$U$78))</f>
        <v/>
      </c>
      <c r="AV69" s="126">
        <f t="array" ref="AV69">SUMPRODUCT(($E$7:$E$78=AE69)*($U$7:$U$78)*($F$7:$F$78))+SUMPRODUCT(($H$7:$H$78=AE69)*($U$7:$U$78)*($G$7:$G$78))</f>
        <v/>
      </c>
      <c r="AW69" s="126">
        <f t="array" ref="AW69">SUMPRODUCT(($E$7:$E$78=AE69)*($U$7:$U$78)*($G$7:$G$78))+SUMPRODUCT(($H$7:$H$78=AE69)*($U$7:$U$78)*($F$7:$F$78))</f>
        <v/>
      </c>
      <c r="AX69" s="126">
        <f>AV69-AW69</f>
        <v/>
      </c>
      <c r="AY69" s="126">
        <f>AX69-MIN(AX68:AX71)</f>
        <v/>
      </c>
      <c r="AZ69" s="126">
        <f>AT69/AT72*1000+AU69/AU72*100+AY69/AY72*10+AV69/AV72</f>
        <v/>
      </c>
      <c r="BA69" s="126">
        <f>AZ69/AZ72</f>
        <v/>
      </c>
      <c r="BB69" s="126">
        <f t="array" ref="BB69">SUMPRODUCT(($S$7:$S$78=AE69&amp;"_win")*($X$7:$X$78))+SUMPRODUCT(($T$7:$T$78=AE69&amp;"_win")*($X$7:$X$78))</f>
        <v/>
      </c>
      <c r="BC69" s="126">
        <f t="array" ref="BC69">SUMPRODUCT(($S$7:$S$78=AE69&amp;"_draw")*($X$7:$X$78))+SUMPRODUCT(($T$7:$T$78=AE69&amp;"_draw")*($X$7:$X$78))</f>
        <v/>
      </c>
      <c r="BD69" s="126">
        <f t="array" ref="BD69">SUMPRODUCT(($E$7:$E$78=AE69)*($X$7:$X$78)*($F$7:$F$78))+SUMPRODUCT(($H$7:$H$78=AE69)*($X$7:$X$78)*($G$7:$G$78))</f>
        <v/>
      </c>
      <c r="BE69" s="126">
        <f t="array" ref="BE69">SUMPRODUCT(($E$7:$E$78=AE69)*($X$7:$X$78)*($G$7:$G$78))+SUMPRODUCT(($H$7:$H$78=AE69)*($X$7:$X$78)*($F$7:$F$78))</f>
        <v/>
      </c>
      <c r="BF69" s="126">
        <f>BD69-BE69</f>
        <v/>
      </c>
      <c r="BG69" s="126">
        <f>BF69-MIN(BF68:BF71)</f>
        <v/>
      </c>
      <c r="BH69" s="126">
        <f>BB69/BB72*1000+BC69/BC72*100+BG69/BG72*10+BD69/BD72</f>
        <v/>
      </c>
      <c r="BI69" s="126">
        <f>BH69/BH72</f>
        <v/>
      </c>
      <c r="BK69" s="21">
        <f t="array" ref="BK69">INDEX(T,24+MONTH(BP69),lang) &amp; " " &amp; DAY(BP69) &amp; ", " &amp; YEAR(BP69) &amp; "   " &amp; (IF(HOUR(BP69)&lt;10,0,"")&amp;HOUR(BP69)) &amp; ":" &amp;  (IF(MINUTE(BP69)&lt;10,0,"")&amp;MINUTE(BP69))</f>
        <v/>
      </c>
      <c r="BL69" s="21" t="n"/>
      <c r="BM69" s="21" t="n"/>
      <c r="BN69" s="21" t="n"/>
      <c r="BO69" s="28" t="n"/>
      <c r="BP69" s="114">
        <f>DATE(2026,7,3)+TIME(14,30,0)+gmt_delta</f>
        <v/>
      </c>
      <c r="BQ69" s="115" t="n"/>
      <c r="BR69" s="180" t="n"/>
      <c r="BS69" s="26">
        <f>IF(BP70&gt;BP71,BL70,IF(BP70&lt;BP71,BL71,""))</f>
        <v/>
      </c>
      <c r="BT69" s="62" t="n">
        <v>2</v>
      </c>
      <c r="BU69" s="64" t="n"/>
      <c r="BV69" s="27" t="n"/>
      <c r="BW69" s="112">
        <f>IF(BW68="","",BT69*1000+BU69*10+BV69)</f>
        <v/>
      </c>
      <c r="CE69" s="10" t="n"/>
      <c r="CF69" s="10" t="n"/>
      <c r="CG69" s="10" t="n"/>
      <c r="CH69" s="10" t="n"/>
      <c r="CI69" s="10" t="n"/>
      <c r="CJ69" s="10" t="n"/>
      <c r="CK69" s="10" t="n"/>
      <c r="CL69" s="10" t="n"/>
      <c r="CM69" s="10" t="n"/>
      <c r="CN69" s="10" t="n"/>
      <c r="CO69" s="10" t="n"/>
      <c r="CP69" s="10" t="n"/>
      <c r="CQ69" s="10" t="n"/>
    </row>
    <row r="70">
      <c r="A70" s="16" t="n">
        <v>64</v>
      </c>
      <c r="B70" s="17">
        <f t="array" ref="B70">INDEX(T,18+INT(MOD(R70-1,7)),lang)</f>
        <v/>
      </c>
      <c r="C70" s="18">
        <f t="array" ref="C70">INDEX(T,24+MONTH(R70),lang) &amp; " " &amp; DAY(R70) &amp; ", " &amp; YEAR(R70)</f>
        <v/>
      </c>
      <c r="D70" s="120">
        <f>TIME(HOUR(R70),MINUTE(R70),0)</f>
        <v/>
      </c>
      <c r="E70" s="78">
        <f>AE47</f>
        <v/>
      </c>
      <c r="F70" s="19" t="n">
        <v>0</v>
      </c>
      <c r="G70" s="20" t="n">
        <v>3</v>
      </c>
      <c r="H70" s="80">
        <f>AE44</f>
        <v/>
      </c>
      <c r="I70" s="69" t="n"/>
      <c r="J70" s="33">
        <f>VLOOKUP(2,AD68:AN71,2,FALSE)</f>
        <v/>
      </c>
      <c r="K70" s="23">
        <f>L70+M70+N70</f>
        <v/>
      </c>
      <c r="L70" s="23">
        <f>VLOOKUP(2,AD68:AN71,3,FALSE)</f>
        <v/>
      </c>
      <c r="M70" s="23">
        <f>VLOOKUP(2,AD68:AN71,4,FALSE)</f>
        <v/>
      </c>
      <c r="N70" s="23">
        <f>VLOOKUP(2,AD68:AN71,5,FALSE)</f>
        <v/>
      </c>
      <c r="O70" s="23">
        <f>VLOOKUP(2,AD68:AN71,6,FALSE) &amp; " - " &amp; VLOOKUP(2,AD68:AN71,7,FALSE)</f>
        <v/>
      </c>
      <c r="P70" s="34">
        <f>L70*3+M70</f>
        <v/>
      </c>
      <c r="R70" s="123">
        <f>DATE(2026,6,26)+TIME(16,0,0)+gmt_delta</f>
        <v/>
      </c>
      <c r="S70" s="127">
        <f>IF(OR(F70="",G70=""),"",IF(F70&gt;G70,E70&amp;"_win",IF(F70&lt;G70,E70&amp;"_lose",E70&amp;"_draw")))</f>
        <v/>
      </c>
      <c r="T70" s="127">
        <f>IF(S70="","",IF(F70&lt;G70,H70&amp;"_win",IF(F70&gt;G70,H70&amp;"_lose",H70&amp;"_draw")))</f>
        <v/>
      </c>
      <c r="U70" s="123">
        <f>IF(S70="",0,IF(VLOOKUP(E70,$AE$8:$AN$77,10,FALSE)=VLOOKUP(H70,$AE$8:$AN$77,10,FALSE),1,0))</f>
        <v/>
      </c>
      <c r="V70" s="123">
        <f>U70*F70</f>
        <v/>
      </c>
      <c r="W70" s="123">
        <f>U70*G70</f>
        <v/>
      </c>
      <c r="X70" s="123">
        <f>IF(S70="",0,IF(VLOOKUP(E70,$AE$8:$AO$77,11,FALSE)=VLOOKUP(H70,$AE$8:$AO$77,11,FALSE),1,0))</f>
        <v/>
      </c>
      <c r="Y70" s="123">
        <f>X70*F70</f>
        <v/>
      </c>
      <c r="Z70" s="123">
        <f>X70*G70</f>
        <v/>
      </c>
      <c r="AA70" s="123">
        <f>IF(OR(E70=my_team,H70=my_team),1,IF(INT(MATCH(E70,$AE$8:$AE$78,0)/6)=$AA$6,1,0))</f>
        <v/>
      </c>
      <c r="AB70" s="123">
        <f>IF(OR(F70="",G70=""),"",IF(F70&gt;G70,1,IF(F70&lt;G70,-1,0)))</f>
        <v/>
      </c>
      <c r="AD70" s="123">
        <f>COUNTIF(AR68:AR71,CONCATENATE("&gt;=",AR70))</f>
        <v/>
      </c>
      <c r="AE70" s="124">
        <f>VLOOKUP("Uzbekistan",T,lang,FALSE)</f>
        <v/>
      </c>
      <c r="AF70" s="123">
        <f>COUNTIF($S$7:$T$78,"=" &amp; AE70 &amp; "_win")</f>
        <v/>
      </c>
      <c r="AG70" s="123">
        <f>COUNTIF($S$7:$T$78,"=" &amp; AE70 &amp; "_draw")</f>
        <v/>
      </c>
      <c r="AH70" s="123">
        <f>COUNTIF($S$7:$T$78,"=" &amp; AE70 &amp; "_lose")</f>
        <v/>
      </c>
      <c r="AI70" s="123">
        <f>SUMIF($E$7:$E$78,$AE70,$F$7:$F$78) + SUMIF($H$7:$H$78,$AE70,$G$7:$G$78)</f>
        <v/>
      </c>
      <c r="AJ70" s="123">
        <f>SUMIF($E$7:$E$78,$AE70,$G$7:$G$78) + SUMIF($H$7:$H$78,$AE70,$F$7:$F$78)</f>
        <v/>
      </c>
      <c r="AL70" s="123">
        <f>AI70-AJ70</f>
        <v/>
      </c>
      <c r="AM70" s="123">
        <f>AL70-AL72</f>
        <v/>
      </c>
      <c r="AN70" s="123">
        <f>AF70*3+AG70</f>
        <v/>
      </c>
      <c r="AO70" s="123">
        <f>AN70/AN72*10+BA70</f>
        <v/>
      </c>
      <c r="AP70" s="123">
        <f>AO70*10000000+BI70*100+AM70/AM72*10+AI70/AI72*1++IF(AQ70=0,ROW(),AQ70)/2000000</f>
        <v/>
      </c>
      <c r="AQ70" s="126">
        <f>VLOOKUP(AE70,db_fifarank,2,FALSE)</f>
        <v/>
      </c>
      <c r="AR70" s="125">
        <f>AP70/AP72</f>
        <v/>
      </c>
      <c r="AT70" s="126">
        <f t="array" ref="AT70">SUMPRODUCT(($S$7:$S$78=AE70&amp;"_win")*($U$7:$U$78))+SUMPRODUCT(($T$7:$T$78=AE70&amp;"_win")*($U$7:$U$78))</f>
        <v/>
      </c>
      <c r="AU70" s="126">
        <f t="array" ref="AU70">SUMPRODUCT(($S$7:$S$78=AE70&amp;"_draw")*($U$7:$U$78))+SUMPRODUCT(($T$7:$T$78=AE70&amp;"_draw")*($U$7:$U$78))</f>
        <v/>
      </c>
      <c r="AV70" s="126">
        <f t="array" ref="AV70">SUMPRODUCT(($E$7:$E$78=AE70)*($U$7:$U$78)*($F$7:$F$78))+SUMPRODUCT(($H$7:$H$78=AE70)*($U$7:$U$78)*($G$7:$G$78))</f>
        <v/>
      </c>
      <c r="AW70" s="126">
        <f t="array" ref="AW70">SUMPRODUCT(($E$7:$E$78=AE70)*($U$7:$U$78)*($G$7:$G$78))+SUMPRODUCT(($H$7:$H$78=AE70)*($U$7:$U$78)*($F$7:$F$78))</f>
        <v/>
      </c>
      <c r="AX70" s="126">
        <f>AV70-AW70</f>
        <v/>
      </c>
      <c r="AY70" s="126">
        <f>AX70-MIN(AX68:AX71)</f>
        <v/>
      </c>
      <c r="AZ70" s="126">
        <f>AT70/AT72*1000+AU70/AU72*100+AY70/AY72*10+AV70/AV72</f>
        <v/>
      </c>
      <c r="BA70" s="126">
        <f>AZ70/AZ72</f>
        <v/>
      </c>
      <c r="BB70" s="126">
        <f t="array" ref="BB70">SUMPRODUCT(($S$7:$S$78=AE70&amp;"_win")*($X$7:$X$78))+SUMPRODUCT(($T$7:$T$78=AE70&amp;"_win")*($X$7:$X$78))</f>
        <v/>
      </c>
      <c r="BC70" s="126">
        <f t="array" ref="BC70">SUMPRODUCT(($S$7:$S$78=AE70&amp;"_draw")*($X$7:$X$78))+SUMPRODUCT(($T$7:$T$78=AE70&amp;"_draw")*($X$7:$X$78))</f>
        <v/>
      </c>
      <c r="BD70" s="126">
        <f t="array" ref="BD70">SUMPRODUCT(($E$7:$E$78=AE70)*($X$7:$X$78)*($F$7:$F$78))+SUMPRODUCT(($H$7:$H$78=AE70)*($X$7:$X$78)*($G$7:$G$78))</f>
        <v/>
      </c>
      <c r="BE70" s="126">
        <f t="array" ref="BE70">SUMPRODUCT(($E$7:$E$78=AE70)*($X$7:$X$78)*($G$7:$G$78))+SUMPRODUCT(($H$7:$H$78=AE70)*($X$7:$X$78)*($F$7:$F$78))</f>
        <v/>
      </c>
      <c r="BF70" s="126">
        <f>BD70-BE70</f>
        <v/>
      </c>
      <c r="BG70" s="126">
        <f>BF70-MIN(BF68:BF71)</f>
        <v/>
      </c>
      <c r="BH70" s="126">
        <f>BB70/BB72*1000+BC70/BC72*100+BG70/BG72*10+BD70/BD72</f>
        <v/>
      </c>
      <c r="BI70" s="126">
        <f>BH70/BH72</f>
        <v/>
      </c>
      <c r="BK70" s="179" t="n">
        <v>87</v>
      </c>
      <c r="BL70" s="24">
        <f>AS68</f>
        <v/>
      </c>
      <c r="BM70" s="61" t="n">
        <v>3</v>
      </c>
      <c r="BN70" s="63" t="n"/>
      <c r="BO70" s="25" t="n"/>
      <c r="BP70" s="116">
        <f>IF(OR(BM70="",BM71="",AND(BN70="",BN71&lt;&gt;""),AND(BN71="",BN70&lt;&gt;""),AND(BO70="",BO71&lt;&gt;""),AND(BO71="",BO70&lt;&gt;"")),"",BM70*1000+BN70*10+BO70)</f>
        <v/>
      </c>
      <c r="BQ70" s="112" t="n"/>
      <c r="BW70" s="112" t="n"/>
    </row>
    <row r="71">
      <c r="A71" s="16" t="n">
        <v>65</v>
      </c>
      <c r="B71" s="17">
        <f t="array" ref="B71">INDEX(T,18+INT(MOD(R71-1,7)),lang)</f>
        <v/>
      </c>
      <c r="C71" s="18">
        <f t="array" ref="C71">INDEX(T,24+MONTH(R71),lang) &amp; " " &amp; DAY(R71) &amp; ", " &amp; YEAR(R71)</f>
        <v/>
      </c>
      <c r="D71" s="120">
        <f>TIME(HOUR(R71),MINUTE(R71),0)</f>
        <v/>
      </c>
      <c r="E71" s="78">
        <f>AE51</f>
        <v/>
      </c>
      <c r="F71" s="19" t="n">
        <v>0</v>
      </c>
      <c r="G71" s="20" t="n">
        <v>0</v>
      </c>
      <c r="H71" s="80">
        <f>AE52</f>
        <v/>
      </c>
      <c r="I71" s="69" t="n"/>
      <c r="J71" s="33">
        <f>VLOOKUP(3,AD68:AN71,2,FALSE)</f>
        <v/>
      </c>
      <c r="K71" s="23">
        <f>L71+M71+N71</f>
        <v/>
      </c>
      <c r="L71" s="23">
        <f>VLOOKUP(3,AD68:AN71,3,FALSE)</f>
        <v/>
      </c>
      <c r="M71" s="23">
        <f>VLOOKUP(3,AD68:AN71,4,FALSE)</f>
        <v/>
      </c>
      <c r="N71" s="23">
        <f>VLOOKUP(3,AD68:AN71,5,FALSE)</f>
        <v/>
      </c>
      <c r="O71" s="23">
        <f>VLOOKUP(3,AD68:AN71,6,FALSE) &amp; " - " &amp; VLOOKUP(3,AD68:AN71,7,FALSE)</f>
        <v/>
      </c>
      <c r="P71" s="34">
        <f>L71*3+M71</f>
        <v/>
      </c>
      <c r="R71" s="123">
        <f>DATE(2026,6,26)+TIME(13,0,0)+gmt_delta</f>
        <v/>
      </c>
      <c r="S71" s="127">
        <f>IF(OR(F71="",G71=""),"",IF(F71&gt;G71,E71&amp;"_win",IF(F71&lt;G71,E71&amp;"_lose",E71&amp;"_draw")))</f>
        <v/>
      </c>
      <c r="T71" s="127">
        <f>IF(S71="","",IF(F71&lt;G71,H71&amp;"_win",IF(F71&gt;G71,H71&amp;"_lose",H71&amp;"_draw")))</f>
        <v/>
      </c>
      <c r="U71" s="123">
        <f>IF(S71="",0,IF(VLOOKUP(E71,$AE$8:$AN$77,10,FALSE)=VLOOKUP(H71,$AE$8:$AN$77,10,FALSE),1,0))</f>
        <v/>
      </c>
      <c r="V71" s="123">
        <f>U71*F71</f>
        <v/>
      </c>
      <c r="W71" s="123">
        <f>U71*G71</f>
        <v/>
      </c>
      <c r="X71" s="123">
        <f>IF(S71="",0,IF(VLOOKUP(E71,$AE$8:$AO$77,11,FALSE)=VLOOKUP(H71,$AE$8:$AO$77,11,FALSE),1,0))</f>
        <v/>
      </c>
      <c r="Y71" s="123">
        <f>X71*F71</f>
        <v/>
      </c>
      <c r="Z71" s="123">
        <f>X71*G71</f>
        <v/>
      </c>
      <c r="AA71" s="123">
        <f>IF(OR(E71=my_team,H71=my_team),1,IF(INT(MATCH(E71,$AE$8:$AE$78,0)/6)=$AA$6,1,0))</f>
        <v/>
      </c>
      <c r="AB71" s="123">
        <f>IF(OR(F71="",G71=""),"",IF(F71&gt;G71,1,IF(F71&lt;G71,-1,0)))</f>
        <v/>
      </c>
      <c r="AD71" s="123">
        <f>COUNTIF(AR68:AR71,CONCATENATE("&gt;=",AR71))</f>
        <v/>
      </c>
      <c r="AE71" s="124">
        <f>VLOOKUP("Colombia",T,lang,FALSE)</f>
        <v/>
      </c>
      <c r="AF71" s="123">
        <f>COUNTIF($S$7:$T$78,"=" &amp; AE71 &amp; "_win")</f>
        <v/>
      </c>
      <c r="AG71" s="123">
        <f>COUNTIF($S$7:$T$78,"=" &amp; AE71 &amp; "_draw")</f>
        <v/>
      </c>
      <c r="AH71" s="123">
        <f>COUNTIF($S$7:$T$78,"=" &amp; AE71 &amp; "_lose")</f>
        <v/>
      </c>
      <c r="AI71" s="123">
        <f>SUMIF($E$7:$E$78,$AE71,$F$7:$F$78) + SUMIF($H$7:$H$78,$AE71,$G$7:$G$78)</f>
        <v/>
      </c>
      <c r="AJ71" s="123">
        <f>SUMIF($E$7:$E$78,$AE71,$G$7:$G$78) + SUMIF($H$7:$H$78,$AE71,$F$7:$F$78)</f>
        <v/>
      </c>
      <c r="AL71" s="123">
        <f>AI71-AJ71</f>
        <v/>
      </c>
      <c r="AM71" s="123">
        <f>AL71-AL72</f>
        <v/>
      </c>
      <c r="AN71" s="123">
        <f>AF71*3+AG71</f>
        <v/>
      </c>
      <c r="AO71" s="123">
        <f>AN71/AN72*10+BA71</f>
        <v/>
      </c>
      <c r="AP71" s="123">
        <f>AO71*10000000+BI71*100+AM71/AM72*10+AI71/AI72*1++IF(AQ71=0,ROW(),AQ71)/2000000</f>
        <v/>
      </c>
      <c r="AQ71" s="126">
        <f>VLOOKUP(AE71,db_fifarank,2,FALSE)</f>
        <v/>
      </c>
      <c r="AR71" s="125">
        <f>AP71/AP72</f>
        <v/>
      </c>
      <c r="AT71" s="126">
        <f t="array" ref="AT71">SUMPRODUCT(($S$7:$S$78=AE71&amp;"_win")*($U$7:$U$78))+SUMPRODUCT(($T$7:$T$78=AE71&amp;"_win")*($U$7:$U$78))</f>
        <v/>
      </c>
      <c r="AU71" s="126">
        <f t="array" ref="AU71">SUMPRODUCT(($S$7:$S$78=AE71&amp;"_draw")*($U$7:$U$78))+SUMPRODUCT(($T$7:$T$78=AE71&amp;"_draw")*($U$7:$U$78))</f>
        <v/>
      </c>
      <c r="AV71" s="126">
        <f t="array" ref="AV71">SUMPRODUCT(($E$7:$E$78=AE71)*($U$7:$U$78)*($F$7:$F$78))+SUMPRODUCT(($H$7:$H$78=AE71)*($U$7:$U$78)*($G$7:$G$78))</f>
        <v/>
      </c>
      <c r="AW71" s="126">
        <f t="array" ref="AW71">SUMPRODUCT(($E$7:$E$78=AE71)*($U$7:$U$78)*($G$7:$G$78))+SUMPRODUCT(($H$7:$H$78=AE71)*($U$7:$U$78)*($F$7:$F$78))</f>
        <v/>
      </c>
      <c r="AX71" s="126">
        <f>AV71-AW71</f>
        <v/>
      </c>
      <c r="AY71" s="126">
        <f>AX71-MIN(AX68:AX71)</f>
        <v/>
      </c>
      <c r="AZ71" s="126">
        <f>AT71/AT72*1000+AU71/AU72*100+AY71/AY72*10+AV71/AV72</f>
        <v/>
      </c>
      <c r="BA71" s="126">
        <f>AZ71/AZ72</f>
        <v/>
      </c>
      <c r="BB71" s="126">
        <f t="array" ref="BB71">SUMPRODUCT(($S$7:$S$78=AE71&amp;"_win")*($X$7:$X$78))+SUMPRODUCT(($T$7:$T$78=AE71&amp;"_win")*($X$7:$X$78))</f>
        <v/>
      </c>
      <c r="BC71" s="126">
        <f t="array" ref="BC71">SUMPRODUCT(($S$7:$S$78=AE71&amp;"_draw")*($X$7:$X$78))+SUMPRODUCT(($T$7:$T$78=AE71&amp;"_draw")*($X$7:$X$78))</f>
        <v/>
      </c>
      <c r="BD71" s="126">
        <f t="array" ref="BD71">SUMPRODUCT(($E$7:$E$78=AE71)*($X$7:$X$78)*($F$7:$F$78))+SUMPRODUCT(($H$7:$H$78=AE71)*($X$7:$X$78)*($G$7:$G$78))</f>
        <v/>
      </c>
      <c r="BE71" s="126">
        <f t="array" ref="BE71">SUMPRODUCT(($E$7:$E$78=AE71)*($X$7:$X$78)*($G$7:$G$78))+SUMPRODUCT(($H$7:$H$78=AE71)*($X$7:$X$78)*($F$7:$F$78))</f>
        <v/>
      </c>
      <c r="BF71" s="126">
        <f>BD71-BE71</f>
        <v/>
      </c>
      <c r="BG71" s="126">
        <f>BF71-MIN(BF68:BF71)</f>
        <v/>
      </c>
      <c r="BH71" s="126">
        <f>BB71/BB72*1000+BC71/BC72*100+BG71/BG72*10+BD71/BD72</f>
        <v/>
      </c>
      <c r="BI71" s="126">
        <f>BH71/BH72</f>
        <v/>
      </c>
      <c r="BK71" s="180" t="n"/>
      <c r="BL71" s="26">
        <f>IF(group_round_completed,VLOOKUP('3rd places'!J3,AK80:AS91,9,FALSE),"3rd Group D/E/I/J/L")</f>
        <v/>
      </c>
      <c r="BM71" s="62" t="n">
        <v>1</v>
      </c>
      <c r="BN71" s="64" t="n"/>
      <c r="BO71" s="27" t="n"/>
      <c r="BP71" s="112">
        <f>IF(BP70="","",BM71*1000+BN71*10+BO71)</f>
        <v/>
      </c>
      <c r="BQ71" s="112" t="n"/>
    </row>
    <row r="72">
      <c r="A72" s="16" t="n">
        <v>66</v>
      </c>
      <c r="B72" s="17">
        <f t="array" ref="B72">INDEX(T,18+INT(MOD(R72-1,7)),lang)</f>
        <v/>
      </c>
      <c r="C72" s="18">
        <f t="array" ref="C72">INDEX(T,24+MONTH(R72),lang) &amp; " " &amp; DAY(R72) &amp; ", " &amp; YEAR(R72)</f>
        <v/>
      </c>
      <c r="D72" s="120">
        <f>TIME(HOUR(R72),MINUTE(R72),0)</f>
        <v/>
      </c>
      <c r="E72" s="78">
        <f>AE53</f>
        <v/>
      </c>
      <c r="F72" s="19" t="n">
        <v>1</v>
      </c>
      <c r="G72" s="20" t="n">
        <v>3</v>
      </c>
      <c r="H72" s="80">
        <f>AE50</f>
        <v/>
      </c>
      <c r="I72" s="69" t="n"/>
      <c r="J72" s="35">
        <f>VLOOKUP(4,AD68:AN71,2,FALSE)</f>
        <v/>
      </c>
      <c r="K72" s="36">
        <f>L72+M72+N72</f>
        <v/>
      </c>
      <c r="L72" s="36">
        <f>VLOOKUP(4,AD68:AN71,3,FALSE)</f>
        <v/>
      </c>
      <c r="M72" s="36">
        <f>VLOOKUP(4,AD68:AN71,4,FALSE)</f>
        <v/>
      </c>
      <c r="N72" s="36">
        <f>VLOOKUP(4,AD68:AN71,5,FALSE)</f>
        <v/>
      </c>
      <c r="O72" s="36">
        <f>VLOOKUP(4,AD68:AN71,6,FALSE) &amp; " - " &amp; VLOOKUP(4,AD68:AN71,7,FALSE)</f>
        <v/>
      </c>
      <c r="P72" s="37">
        <f>L72*3+M72</f>
        <v/>
      </c>
      <c r="R72" s="123">
        <f>DATE(2026,6,26)+TIME(13,0,0)+gmt_delta</f>
        <v/>
      </c>
      <c r="S72" s="127">
        <f>IF(OR(F72="",G72=""),"",IF(F72&gt;G72,E72&amp;"_win",IF(F72&lt;G72,E72&amp;"_lose",E72&amp;"_draw")))</f>
        <v/>
      </c>
      <c r="T72" s="127">
        <f>IF(S72="","",IF(F72&lt;G72,H72&amp;"_win",IF(F72&gt;G72,H72&amp;"_lose",H72&amp;"_draw")))</f>
        <v/>
      </c>
      <c r="U72" s="123">
        <f>IF(S72="",0,IF(VLOOKUP(E72,$AE$8:$AN$77,10,FALSE)=VLOOKUP(H72,$AE$8:$AN$77,10,FALSE),1,0))</f>
        <v/>
      </c>
      <c r="V72" s="123">
        <f>U72*F72</f>
        <v/>
      </c>
      <c r="W72" s="123">
        <f>U72*G72</f>
        <v/>
      </c>
      <c r="X72" s="123">
        <f>IF(S72="",0,IF(VLOOKUP(E72,$AE$8:$AO$77,11,FALSE)=VLOOKUP(H72,$AE$8:$AO$77,11,FALSE),1,0))</f>
        <v/>
      </c>
      <c r="Y72" s="123">
        <f>X72*F72</f>
        <v/>
      </c>
      <c r="Z72" s="123">
        <f>X72*G72</f>
        <v/>
      </c>
      <c r="AA72" s="123">
        <f>IF(OR(E72=my_team,H72=my_team),1,IF(INT(MATCH(E72,$AE$8:$AE$78,0)/6)=$AA$6,1,0))</f>
        <v/>
      </c>
      <c r="AB72" s="123">
        <f>IF(OR(F72="",G72=""),"",IF(F72&gt;G72,1,IF(F72&lt;G72,-1,0)))</f>
        <v/>
      </c>
      <c r="AF72" s="123">
        <f>MAX(AF68:AF71)-MIN(AF68:AF71)+1</f>
        <v/>
      </c>
      <c r="AG72" s="123">
        <f>MAX(AG68:AG71)-MIN(AG68:AG71)+1</f>
        <v/>
      </c>
      <c r="AH72" s="123">
        <f>MAX(AH68:AH71)-MIN(AH68:AH71)+1</f>
        <v/>
      </c>
      <c r="AI72" s="123">
        <f>MAX(AI68:AI71)+1</f>
        <v/>
      </c>
      <c r="AL72" s="123">
        <f>MIN(AL68:AL71)</f>
        <v/>
      </c>
      <c r="AM72" s="123">
        <f>MAX(AM68:AM71)+1</f>
        <v/>
      </c>
      <c r="AN72" s="123">
        <f>MAX(AN68:AN71)+1</f>
        <v/>
      </c>
      <c r="AO72" s="123">
        <f>MAX(AO68:AO71)+1</f>
        <v/>
      </c>
      <c r="AP72" s="123">
        <f>MAX(AP68:AP71)+1</f>
        <v/>
      </c>
      <c r="AT72" s="126">
        <f>MAX(AT68:AT71)-MIN(AT68:AT71)+1</f>
        <v/>
      </c>
      <c r="AU72" s="126">
        <f>MAX(AU68:AU71)-MIN(AU68:AU71)+1</f>
        <v/>
      </c>
      <c r="AV72" s="126">
        <f>MAX(AV68:AV71)-MIN(AV68:AV71)+1</f>
        <v/>
      </c>
      <c r="AW72" s="126">
        <f>MAX(AW68:AW71)-MIN(AW68:AW71)+1</f>
        <v/>
      </c>
      <c r="AY72" s="126">
        <f>MAX(AY68:AY71)-MIN(AY68:AY71)+1</f>
        <v/>
      </c>
      <c r="AZ72" s="126">
        <f>MAX(AZ68:AZ71)+1</f>
        <v/>
      </c>
      <c r="BB72" s="126">
        <f>MAX(BB68:BB71)-MIN(BB68:BB71)+1</f>
        <v/>
      </c>
      <c r="BC72" s="126">
        <f>MAX(BC68:BC71)-MIN(BC68:BC71)+1</f>
        <v/>
      </c>
      <c r="BD72" s="126">
        <f>MAX(BD68:BD71)-MIN(BD68:BD71)+1</f>
        <v/>
      </c>
      <c r="BE72" s="126">
        <f>MAX(BE68:BE71)-MIN(BE68:BE71)+1</f>
        <v/>
      </c>
      <c r="BG72" s="126">
        <f>MAX(BG68:BG71)-MIN(BG68:BG71)+1</f>
        <v/>
      </c>
      <c r="BH72" s="126">
        <f>MAX(BH68:BH71)+1</f>
        <v/>
      </c>
    </row>
    <row r="73">
      <c r="A73" s="16" t="n">
        <v>67</v>
      </c>
      <c r="B73" s="17">
        <f t="array" ref="B73">INDEX(T,18+INT(MOD(R73-1,7)),lang)</f>
        <v/>
      </c>
      <c r="C73" s="18">
        <f t="array" ref="C73">INDEX(T,24+MONTH(R73),lang) &amp; " " &amp; DAY(R73) &amp; ", " &amp; YEAR(R73)</f>
        <v/>
      </c>
      <c r="D73" s="120">
        <f>TIME(HOUR(R73),MINUTE(R73),0)</f>
        <v/>
      </c>
      <c r="E73" s="78">
        <f>AE77</f>
        <v/>
      </c>
      <c r="F73" s="19" t="n">
        <v>0</v>
      </c>
      <c r="G73" s="20" t="n">
        <v>3</v>
      </c>
      <c r="H73" s="80">
        <f>AE74</f>
        <v/>
      </c>
      <c r="I73" s="69" t="n"/>
      <c r="J73" s="72" t="n"/>
      <c r="K73" s="70" t="n"/>
      <c r="L73" s="70" t="n"/>
      <c r="M73" s="70" t="n"/>
      <c r="N73" s="70" t="n"/>
      <c r="O73" s="70" t="n"/>
      <c r="P73" s="70" t="n"/>
      <c r="R73" s="123">
        <f>DATE(2026,6,27)+TIME(10,0,0)+gmt_delta</f>
        <v/>
      </c>
      <c r="S73" s="127">
        <f>IF(OR(F73="",G73=""),"",IF(F73&gt;G73,E73&amp;"_win",IF(F73&lt;G73,E73&amp;"_lose",E73&amp;"_draw")))</f>
        <v/>
      </c>
      <c r="T73" s="127">
        <f>IF(S73="","",IF(F73&lt;G73,H73&amp;"_win",IF(F73&gt;G73,H73&amp;"_lose",H73&amp;"_draw")))</f>
        <v/>
      </c>
      <c r="U73" s="123">
        <f>IF(S73="",0,IF(VLOOKUP(E73,$AE$8:$AN$77,10,FALSE)=VLOOKUP(H73,$AE$8:$AN$77,10,FALSE),1,0))</f>
        <v/>
      </c>
      <c r="V73" s="123">
        <f>U73*F73</f>
        <v/>
      </c>
      <c r="W73" s="123">
        <f>U73*G73</f>
        <v/>
      </c>
      <c r="X73" s="123">
        <f>IF(S73="",0,IF(VLOOKUP(E73,$AE$8:$AO$77,11,FALSE)=VLOOKUP(H73,$AE$8:$AO$77,11,FALSE),1,0))</f>
        <v/>
      </c>
      <c r="Y73" s="123">
        <f>X73*F73</f>
        <v/>
      </c>
      <c r="Z73" s="123">
        <f>X73*G73</f>
        <v/>
      </c>
      <c r="AA73" s="123">
        <f>IF(OR(E73=my_team,H73=my_team),1,IF(INT(MATCH(E73,$AE$8:$AE$78,0)/6)=$AA$6,1,0))</f>
        <v/>
      </c>
      <c r="AB73" s="123">
        <f>IF(OR(F73="",G73=""),"",IF(F73&gt;G73,1,IF(F73&lt;G73,-1,0)))</f>
        <v/>
      </c>
    </row>
    <row r="74">
      <c r="A74" s="16" t="n">
        <v>68</v>
      </c>
      <c r="B74" s="17">
        <f t="array" ref="B74">INDEX(T,18+INT(MOD(R74-1,7)),lang)</f>
        <v/>
      </c>
      <c r="C74" s="18">
        <f t="array" ref="C74">INDEX(T,24+MONTH(R74),lang) &amp; " " &amp; DAY(R74) &amp; ", " &amp; YEAR(R74)</f>
        <v/>
      </c>
      <c r="D74" s="120">
        <f>TIME(HOUR(R74),MINUTE(R74),0)</f>
        <v/>
      </c>
      <c r="E74" s="78">
        <f>AE75</f>
        <v/>
      </c>
      <c r="F74" s="19" t="n">
        <v>3</v>
      </c>
      <c r="G74" s="20" t="n">
        <v>0</v>
      </c>
      <c r="H74" s="80">
        <f>AE76</f>
        <v/>
      </c>
      <c r="I74" s="69" t="n"/>
      <c r="J74" s="38">
        <f t="array" ref="J74">INDEX(T,9,lang) &amp; " " &amp; "L"</f>
        <v/>
      </c>
      <c r="K74" s="94">
        <f t="array" ref="K74">INDEX(T,10,lang)</f>
        <v/>
      </c>
      <c r="L74" s="94">
        <f t="array" ref="L74">INDEX(T,11,lang)</f>
        <v/>
      </c>
      <c r="M74" s="94">
        <f t="array" ref="M74">INDEX(T,12,lang)</f>
        <v/>
      </c>
      <c r="N74" s="94">
        <f t="array" ref="N74">INDEX(T,13,lang)</f>
        <v/>
      </c>
      <c r="O74" s="94">
        <f t="array" ref="O74">INDEX(T,14,lang)</f>
        <v/>
      </c>
      <c r="P74" s="95">
        <f t="array" ref="P74">INDEX(T,15,lang)</f>
        <v/>
      </c>
      <c r="R74" s="123">
        <f>DATE(2026,6,27)+TIME(10,0,0)+gmt_delta</f>
        <v/>
      </c>
      <c r="S74" s="127">
        <f>IF(OR(F74="",G74=""),"",IF(F74&gt;G74,E74&amp;"_win",IF(F74&lt;G74,E74&amp;"_lose",E74&amp;"_draw")))</f>
        <v/>
      </c>
      <c r="T74" s="127">
        <f>IF(S74="","",IF(F74&lt;G74,H74&amp;"_win",IF(F74&gt;G74,H74&amp;"_lose",H74&amp;"_draw")))</f>
        <v/>
      </c>
      <c r="U74" s="123">
        <f>IF(S74="",0,IF(VLOOKUP(E74,$AE$8:$AN$77,10,FALSE)=VLOOKUP(H74,$AE$8:$AN$77,10,FALSE),1,0))</f>
        <v/>
      </c>
      <c r="V74" s="123">
        <f>U74*F74</f>
        <v/>
      </c>
      <c r="W74" s="123">
        <f>U74*G74</f>
        <v/>
      </c>
      <c r="X74" s="123">
        <f>IF(S74="",0,IF(VLOOKUP(E74,$AE$8:$AO$77,11,FALSE)=VLOOKUP(H74,$AE$8:$AO$77,11,FALSE),1,0))</f>
        <v/>
      </c>
      <c r="Y74" s="123">
        <f>X74*F74</f>
        <v/>
      </c>
      <c r="Z74" s="123">
        <f>X74*G74</f>
        <v/>
      </c>
      <c r="AA74" s="123">
        <f>IF(OR(E74=my_team,H74=my_team),1,IF(INT(MATCH(E74,$AE$8:$AE$78,0)/6)=$AA$6,1,0))</f>
        <v/>
      </c>
      <c r="AB74" s="123">
        <f>IF(OR(F74="",G74=""),"",IF(F74&gt;G74,1,IF(F74&lt;G74,-1,0)))</f>
        <v/>
      </c>
      <c r="AD74" s="123">
        <f>COUNTIF(AR74:AR77,CONCATENATE("&gt;=",AR74))</f>
        <v/>
      </c>
      <c r="AE74" s="124">
        <f>VLOOKUP("England",T,lang,FALSE)</f>
        <v/>
      </c>
      <c r="AF74" s="123">
        <f>COUNTIF($S$7:$T$78,"=" &amp; AE74 &amp; "_win")</f>
        <v/>
      </c>
      <c r="AG74" s="123">
        <f>COUNTIF($S$7:$T$78,"=" &amp; AE74 &amp; "_draw")</f>
        <v/>
      </c>
      <c r="AH74" s="123">
        <f>COUNTIF($S$7:$T$78,"=" &amp; AE74 &amp; "_lose")</f>
        <v/>
      </c>
      <c r="AI74" s="123">
        <f>SUMIF($E$7:$E$78,$AE74,$F$7:$F$78) + SUMIF($H$7:$H$78,$AE74,$G$7:$G$78)</f>
        <v/>
      </c>
      <c r="AJ74" s="123">
        <f>SUMIF($E$7:$E$78,$AE74,$G$7:$G$78) + SUMIF($H$7:$H$78,$AE74,$F$7:$F$78)</f>
        <v/>
      </c>
      <c r="AL74" s="123">
        <f>AI74-AJ74</f>
        <v/>
      </c>
      <c r="AM74" s="123">
        <f>AL74-AL78</f>
        <v/>
      </c>
      <c r="AN74" s="123">
        <f>AF74*3+AG74</f>
        <v/>
      </c>
      <c r="AO74" s="123">
        <f>AN74/AN78*10+BA74</f>
        <v/>
      </c>
      <c r="AP74" s="123">
        <f>AO74*10000000+BI74*100+AM74/AM78*10+AI74/AI78*1++IF(AQ74=0,ROW(),AQ74)/2000000</f>
        <v/>
      </c>
      <c r="AQ74" s="126">
        <f>VLOOKUP(AE74,db_fifarank,2,FALSE)</f>
        <v/>
      </c>
      <c r="AR74" s="125">
        <f>AP74/AP78</f>
        <v/>
      </c>
      <c r="AS74" s="125">
        <f>IF(SUM(AF74:AH77)=12,J75,"1L")</f>
        <v/>
      </c>
      <c r="AT74" s="126">
        <f t="array" ref="AT74">SUMPRODUCT(($S$7:$S$78=AE74&amp;"_win")*($U$7:$U$78))+SUMPRODUCT(($T$7:$T$78=AE74&amp;"_win")*($U$7:$U$78))</f>
        <v/>
      </c>
      <c r="AU74" s="126">
        <f t="array" ref="AU74">SUMPRODUCT(($S$7:$S$78=AE74&amp;"_draw")*($U$7:$U$78))+SUMPRODUCT(($T$7:$T$78=AE74&amp;"_draw")*($U$7:$U$78))</f>
        <v/>
      </c>
      <c r="AV74" s="126">
        <f t="array" ref="AV74">SUMPRODUCT(($E$7:$E$78=AE74)*($U$7:$U$78)*($F$7:$F$78))+SUMPRODUCT(($H$7:$H$78=AE74)*($U$7:$U$78)*($G$7:$G$78))</f>
        <v/>
      </c>
      <c r="AW74" s="126">
        <f t="array" ref="AW74">SUMPRODUCT(($E$7:$E$78=AE74)*($U$7:$U$78)*($G$7:$G$78))+SUMPRODUCT(($H$7:$H$78=AE74)*($U$7:$U$78)*($F$7:$F$78))</f>
        <v/>
      </c>
      <c r="AX74" s="126">
        <f>AV74-AW74</f>
        <v/>
      </c>
      <c r="AY74" s="126">
        <f>AX74-MIN(AX74:AX77)</f>
        <v/>
      </c>
      <c r="AZ74" s="126">
        <f>AT74/AT78*1000+AU74/AU78*100+AY74/AY78*10+AV74/AV78</f>
        <v/>
      </c>
      <c r="BA74" s="126">
        <f>AZ74/AZ78</f>
        <v/>
      </c>
      <c r="BB74" s="126">
        <f t="array" ref="BB74">SUMPRODUCT(($S$7:$S$78=AE74&amp;"_win")*($X$7:$X$78))+SUMPRODUCT(($T$7:$T$78=AE74&amp;"_win")*($X$7:$X$78))</f>
        <v/>
      </c>
      <c r="BC74" s="126">
        <f t="array" ref="BC74">SUMPRODUCT(($S$7:$S$78=AE74&amp;"_draw")*($X$7:$X$78))+SUMPRODUCT(($T$7:$T$78=AE74&amp;"_draw")*($X$7:$X$78))</f>
        <v/>
      </c>
      <c r="BD74" s="126">
        <f t="array" ref="BD74">SUMPRODUCT(($E$7:$E$78=AE74)*($X$7:$X$78)*($F$7:$F$78))+SUMPRODUCT(($H$7:$H$78=AE74)*($X$7:$X$78)*($G$7:$G$78))</f>
        <v/>
      </c>
      <c r="BE74" s="126">
        <f t="array" ref="BE74">SUMPRODUCT(($E$7:$E$78=AE74)*($X$7:$X$78)*($G$7:$G$78))+SUMPRODUCT(($H$7:$H$78=AE74)*($X$7:$X$78)*($F$7:$F$78))</f>
        <v/>
      </c>
      <c r="BF74" s="126">
        <f>BD74-BE74</f>
        <v/>
      </c>
      <c r="BG74" s="126">
        <f>BF74-MIN(BF74:BF77)</f>
        <v/>
      </c>
      <c r="BH74" s="126">
        <f>BB74/BB78*1000+BC74/BC78*100+BG74/BG78*10+BD74/BD78</f>
        <v/>
      </c>
      <c r="BI74" s="126">
        <f>BH74/BH78</f>
        <v/>
      </c>
    </row>
    <row r="75">
      <c r="A75" s="16" t="n">
        <v>69</v>
      </c>
      <c r="B75" s="17">
        <f t="array" ref="B75">INDEX(T,18+INT(MOD(R75-1,7)),lang)</f>
        <v/>
      </c>
      <c r="C75" s="18">
        <f t="array" ref="C75">INDEX(T,24+MONTH(R75),lang) &amp; " " &amp; DAY(R75) &amp; ", " &amp; YEAR(R75)</f>
        <v/>
      </c>
      <c r="D75" s="120">
        <f>TIME(HOUR(R75),MINUTE(R75),0)</f>
        <v/>
      </c>
      <c r="E75" s="78">
        <f>AE63</f>
        <v/>
      </c>
      <c r="F75" s="19" t="n">
        <v>1</v>
      </c>
      <c r="G75" s="20" t="n">
        <v>2</v>
      </c>
      <c r="H75" s="80">
        <f>AE64</f>
        <v/>
      </c>
      <c r="I75" s="69" t="n"/>
      <c r="J75" s="30">
        <f>VLOOKUP(1,AD74:AN77,2,FALSE)</f>
        <v/>
      </c>
      <c r="K75" s="31">
        <f>L75+M75+N75</f>
        <v/>
      </c>
      <c r="L75" s="31">
        <f>VLOOKUP(1,AD74:AN77,3,FALSE)</f>
        <v/>
      </c>
      <c r="M75" s="31">
        <f>VLOOKUP(1,AD74:AN77,4,FALSE)</f>
        <v/>
      </c>
      <c r="N75" s="31">
        <f>VLOOKUP(1,AD74:AN77,5,FALSE)</f>
        <v/>
      </c>
      <c r="O75" s="31">
        <f>VLOOKUP(1,AD74:AN77,6,FALSE) &amp; " - " &amp; VLOOKUP(1,AD74:AN77,7,FALSE)</f>
        <v/>
      </c>
      <c r="P75" s="32">
        <f>L75*3+M75</f>
        <v/>
      </c>
      <c r="R75" s="123">
        <f>DATE(2026,6,27)+TIME(15,0,0)+gmt_delta</f>
        <v/>
      </c>
      <c r="S75" s="127">
        <f>IF(OR(F75="",G75=""),"",IF(F75&gt;G75,E75&amp;"_win",IF(F75&lt;G75,E75&amp;"_lose",E75&amp;"_draw")))</f>
        <v/>
      </c>
      <c r="T75" s="127">
        <f>IF(S75="","",IF(F75&lt;G75,H75&amp;"_win",IF(F75&gt;G75,H75&amp;"_lose",H75&amp;"_draw")))</f>
        <v/>
      </c>
      <c r="U75" s="123">
        <f>IF(S75="",0,IF(VLOOKUP(E75,$AE$8:$AN$77,10,FALSE)=VLOOKUP(H75,$AE$8:$AN$77,10,FALSE),1,0))</f>
        <v/>
      </c>
      <c r="V75" s="123">
        <f>U75*F75</f>
        <v/>
      </c>
      <c r="W75" s="123">
        <f>U75*G75</f>
        <v/>
      </c>
      <c r="X75" s="123">
        <f>IF(S75="",0,IF(VLOOKUP(E75,$AE$8:$AO$77,11,FALSE)=VLOOKUP(H75,$AE$8:$AO$77,11,FALSE),1,0))</f>
        <v/>
      </c>
      <c r="Y75" s="123">
        <f>X75*F75</f>
        <v/>
      </c>
      <c r="Z75" s="123">
        <f>X75*G75</f>
        <v/>
      </c>
      <c r="AA75" s="123">
        <f>IF(OR(E75=my_team,H75=my_team),1,IF(INT(MATCH(E75,$AE$8:$AE$78,0)/6)=$AA$6,1,0))</f>
        <v/>
      </c>
      <c r="AB75" s="123">
        <f>IF(OR(F75="",G75=""),"",IF(F75&gt;G75,1,IF(F75&lt;G75,-1,0)))</f>
        <v/>
      </c>
      <c r="AD75" s="123">
        <f>COUNTIF(AR74:AR77,CONCATENATE("&gt;=",AR75))</f>
        <v/>
      </c>
      <c r="AE75" s="124">
        <f>VLOOKUP("Croatia",T,lang,FALSE)</f>
        <v/>
      </c>
      <c r="AF75" s="123">
        <f>COUNTIF($S$7:$T$78,"=" &amp; AE75 &amp; "_win")</f>
        <v/>
      </c>
      <c r="AG75" s="123">
        <f>COUNTIF($S$7:$T$78,"=" &amp; AE75 &amp; "_draw")</f>
        <v/>
      </c>
      <c r="AH75" s="123">
        <f>COUNTIF($S$7:$T$78,"=" &amp; AE75 &amp; "_lose")</f>
        <v/>
      </c>
      <c r="AI75" s="123">
        <f>SUMIF($E$7:$E$78,$AE75,$F$7:$F$78) + SUMIF($H$7:$H$78,$AE75,$G$7:$G$78)</f>
        <v/>
      </c>
      <c r="AJ75" s="123">
        <f>SUMIF($E$7:$E$78,$AE75,$G$7:$G$78) + SUMIF($H$7:$H$78,$AE75,$F$7:$F$78)</f>
        <v/>
      </c>
      <c r="AL75" s="123">
        <f>AI75-AJ75</f>
        <v/>
      </c>
      <c r="AM75" s="123">
        <f>AL75-AL78</f>
        <v/>
      </c>
      <c r="AN75" s="123">
        <f>AF75*3+AG75</f>
        <v/>
      </c>
      <c r="AO75" s="123">
        <f>AN75/AN78*10+BA75</f>
        <v/>
      </c>
      <c r="AP75" s="123">
        <f>AO75*10000000+BI75*100+AM75/AM78*10+AI75/AI78*1++IF(AQ75=0,ROW(),AQ75)/2000000</f>
        <v/>
      </c>
      <c r="AQ75" s="126">
        <f>VLOOKUP(AE75,db_fifarank,2,FALSE)</f>
        <v/>
      </c>
      <c r="AR75" s="125">
        <f>AP75/AP78</f>
        <v/>
      </c>
      <c r="AS75" s="125">
        <f>IF(SUM(AF74:AH77)=12,J76,"2L")</f>
        <v/>
      </c>
      <c r="AT75" s="126">
        <f t="array" ref="AT75">SUMPRODUCT(($S$7:$S$78=AE75&amp;"_win")*($U$7:$U$78))+SUMPRODUCT(($T$7:$T$78=AE75&amp;"_win")*($U$7:$U$78))</f>
        <v/>
      </c>
      <c r="AU75" s="126">
        <f t="array" ref="AU75">SUMPRODUCT(($S$7:$S$78=AE75&amp;"_draw")*($U$7:$U$78))+SUMPRODUCT(($T$7:$T$78=AE75&amp;"_draw")*($U$7:$U$78))</f>
        <v/>
      </c>
      <c r="AV75" s="126">
        <f t="array" ref="AV75">SUMPRODUCT(($E$7:$E$78=AE75)*($U$7:$U$78)*($F$7:$F$78))+SUMPRODUCT(($H$7:$H$78=AE75)*($U$7:$U$78)*($G$7:$G$78))</f>
        <v/>
      </c>
      <c r="AW75" s="126">
        <f t="array" ref="AW75">SUMPRODUCT(($E$7:$E$78=AE75)*($U$7:$U$78)*($G$7:$G$78))+SUMPRODUCT(($H$7:$H$78=AE75)*($U$7:$U$78)*($F$7:$F$78))</f>
        <v/>
      </c>
      <c r="AX75" s="126">
        <f>AV75-AW75</f>
        <v/>
      </c>
      <c r="AY75" s="126">
        <f>AX75-MIN(AX74:AX77)</f>
        <v/>
      </c>
      <c r="AZ75" s="126">
        <f>AT75/AT78*1000+AU75/AU78*100+AY75/AY78*10+AV75/AV78</f>
        <v/>
      </c>
      <c r="BA75" s="126">
        <f>AZ75/AZ78</f>
        <v/>
      </c>
      <c r="BB75" s="126">
        <f t="array" ref="BB75">SUMPRODUCT(($S$7:$S$78=AE75&amp;"_win")*($X$7:$X$78))+SUMPRODUCT(($T$7:$T$78=AE75&amp;"_win")*($X$7:$X$78))</f>
        <v/>
      </c>
      <c r="BC75" s="126">
        <f t="array" ref="BC75">SUMPRODUCT(($S$7:$S$78=AE75&amp;"_draw")*($X$7:$X$78))+SUMPRODUCT(($T$7:$T$78=AE75&amp;"_draw")*($X$7:$X$78))</f>
        <v/>
      </c>
      <c r="BD75" s="126">
        <f t="array" ref="BD75">SUMPRODUCT(($E$7:$E$78=AE75)*($X$7:$X$78)*($F$7:$F$78))+SUMPRODUCT(($H$7:$H$78=AE75)*($X$7:$X$78)*($G$7:$G$78))</f>
        <v/>
      </c>
      <c r="BE75" s="126">
        <f t="array" ref="BE75">SUMPRODUCT(($E$7:$E$78=AE75)*($X$7:$X$78)*($G$7:$G$78))+SUMPRODUCT(($H$7:$H$78=AE75)*($X$7:$X$78)*($F$7:$F$78))</f>
        <v/>
      </c>
      <c r="BF75" s="126">
        <f>BD75-BE75</f>
        <v/>
      </c>
      <c r="BG75" s="126">
        <f>BF75-MIN(BF74:BF77)</f>
        <v/>
      </c>
      <c r="BH75" s="126">
        <f>BB75/BB78*1000+BC75/BC78*100+BG75/BG78*10+BD75/BD78</f>
        <v/>
      </c>
      <c r="BI75" s="126">
        <f>BH75/BH78</f>
        <v/>
      </c>
    </row>
    <row r="76">
      <c r="A76" s="16" t="n">
        <v>70</v>
      </c>
      <c r="B76" s="17">
        <f t="array" ref="B76">INDEX(T,18+INT(MOD(R76-1,7)),lang)</f>
        <v/>
      </c>
      <c r="C76" s="18">
        <f t="array" ref="C76">INDEX(T,24+MONTH(R76),lang) &amp; " " &amp; DAY(R76) &amp; ", " &amp; YEAR(R76)</f>
        <v/>
      </c>
      <c r="D76" s="120">
        <f>TIME(HOUR(R76),MINUTE(R76),0)</f>
        <v/>
      </c>
      <c r="E76" s="78">
        <f>AE65</f>
        <v/>
      </c>
      <c r="F76" s="19" t="n">
        <v>0</v>
      </c>
      <c r="G76" s="20" t="n">
        <v>3</v>
      </c>
      <c r="H76" s="80">
        <f>AE62</f>
        <v/>
      </c>
      <c r="I76" s="69" t="n"/>
      <c r="J76" s="33">
        <f>VLOOKUP(2,AD74:AN77,2,FALSE)</f>
        <v/>
      </c>
      <c r="K76" s="23">
        <f>L76+M76+N76</f>
        <v/>
      </c>
      <c r="L76" s="23">
        <f>VLOOKUP(2,AD74:AN77,3,FALSE)</f>
        <v/>
      </c>
      <c r="M76" s="23">
        <f>VLOOKUP(2,AD74:AN77,4,FALSE)</f>
        <v/>
      </c>
      <c r="N76" s="23">
        <f>VLOOKUP(2,AD74:AN77,5,FALSE)</f>
        <v/>
      </c>
      <c r="O76" s="23">
        <f>VLOOKUP(2,AD74:AN77,6,FALSE) &amp; " - " &amp; VLOOKUP(2,AD74:AN77,7,FALSE)</f>
        <v/>
      </c>
      <c r="P76" s="34">
        <f>L76*3+M76</f>
        <v/>
      </c>
      <c r="R76" s="123">
        <f>DATE(2026,6,27)+TIME(15,0,0)+gmt_delta</f>
        <v/>
      </c>
      <c r="S76" s="127">
        <f>IF(OR(F76="",G76=""),"",IF(F76&gt;G76,E76&amp;"_win",IF(F76&lt;G76,E76&amp;"_lose",E76&amp;"_draw")))</f>
        <v/>
      </c>
      <c r="T76" s="127">
        <f>IF(S76="","",IF(F76&lt;G76,H76&amp;"_win",IF(F76&gt;G76,H76&amp;"_lose",H76&amp;"_draw")))</f>
        <v/>
      </c>
      <c r="U76" s="123">
        <f>IF(S76="",0,IF(VLOOKUP(E76,$AE$8:$AN$77,10,FALSE)=VLOOKUP(H76,$AE$8:$AN$77,10,FALSE),1,0))</f>
        <v/>
      </c>
      <c r="V76" s="123">
        <f>U76*F76</f>
        <v/>
      </c>
      <c r="W76" s="123">
        <f>U76*G76</f>
        <v/>
      </c>
      <c r="X76" s="123">
        <f>IF(S76="",0,IF(VLOOKUP(E76,$AE$8:$AO$77,11,FALSE)=VLOOKUP(H76,$AE$8:$AO$77,11,FALSE),1,0))</f>
        <v/>
      </c>
      <c r="Y76" s="123">
        <f>X76*F76</f>
        <v/>
      </c>
      <c r="Z76" s="123">
        <f>X76*G76</f>
        <v/>
      </c>
      <c r="AA76" s="123">
        <f>IF(OR(E76=my_team,H76=my_team),1,IF(INT(MATCH(E76,$AE$8:$AE$78,0)/6)=$AA$6,1,0))</f>
        <v/>
      </c>
      <c r="AB76" s="123">
        <f>IF(OR(F76="",G76=""),"",IF(F76&gt;G76,1,IF(F76&lt;G76,-1,0)))</f>
        <v/>
      </c>
      <c r="AD76" s="123">
        <f>COUNTIF(AR74:AR77,CONCATENATE("&gt;=",AR76))</f>
        <v/>
      </c>
      <c r="AE76" s="124">
        <f>VLOOKUP("Ghana",T,lang,FALSE)</f>
        <v/>
      </c>
      <c r="AF76" s="123">
        <f>COUNTIF($S$7:$T$78,"=" &amp; AE76 &amp; "_win")</f>
        <v/>
      </c>
      <c r="AG76" s="123">
        <f>COUNTIF($S$7:$T$78,"=" &amp; AE76 &amp; "_draw")</f>
        <v/>
      </c>
      <c r="AH76" s="123">
        <f>COUNTIF($S$7:$T$78,"=" &amp; AE76 &amp; "_lose")</f>
        <v/>
      </c>
      <c r="AI76" s="123">
        <f>SUMIF($E$7:$E$78,$AE76,$F$7:$F$78) + SUMIF($H$7:$H$78,$AE76,$G$7:$G$78)</f>
        <v/>
      </c>
      <c r="AJ76" s="123">
        <f>SUMIF($E$7:$E$78,$AE76,$G$7:$G$78) + SUMIF($H$7:$H$78,$AE76,$F$7:$F$78)</f>
        <v/>
      </c>
      <c r="AL76" s="123">
        <f>AI76-AJ76</f>
        <v/>
      </c>
      <c r="AM76" s="123">
        <f>AL76-AL78</f>
        <v/>
      </c>
      <c r="AN76" s="123">
        <f>AF76*3+AG76</f>
        <v/>
      </c>
      <c r="AO76" s="123">
        <f>AN76/AN78*10+BA76</f>
        <v/>
      </c>
      <c r="AP76" s="123">
        <f>AO76*10000000+BI76*100+AM76/AM78*10+AI76/AI78*1++IF(AQ76=0,ROW(),AQ76)/2000000</f>
        <v/>
      </c>
      <c r="AQ76" s="126">
        <f>VLOOKUP(AE76,db_fifarank,2,FALSE)</f>
        <v/>
      </c>
      <c r="AR76" s="125">
        <f>AP76/AP78</f>
        <v/>
      </c>
      <c r="AT76" s="126">
        <f t="array" ref="AT76">SUMPRODUCT(($S$7:$S$78=AE76&amp;"_win")*($U$7:$U$78))+SUMPRODUCT(($T$7:$T$78=AE76&amp;"_win")*($U$7:$U$78))</f>
        <v/>
      </c>
      <c r="AU76" s="126">
        <f t="array" ref="AU76">SUMPRODUCT(($S$7:$S$78=AE76&amp;"_draw")*($U$7:$U$78))+SUMPRODUCT(($T$7:$T$78=AE76&amp;"_draw")*($U$7:$U$78))</f>
        <v/>
      </c>
      <c r="AV76" s="126">
        <f t="array" ref="AV76">SUMPRODUCT(($E$7:$E$78=AE76)*($U$7:$U$78)*($F$7:$F$78))+SUMPRODUCT(($H$7:$H$78=AE76)*($U$7:$U$78)*($G$7:$G$78))</f>
        <v/>
      </c>
      <c r="AW76" s="126">
        <f t="array" ref="AW76">SUMPRODUCT(($E$7:$E$78=AE76)*($U$7:$U$78)*($G$7:$G$78))+SUMPRODUCT(($H$7:$H$78=AE76)*($U$7:$U$78)*($F$7:$F$78))</f>
        <v/>
      </c>
      <c r="AX76" s="126">
        <f>AV76-AW76</f>
        <v/>
      </c>
      <c r="AY76" s="126">
        <f>AX76-MIN(AX74:AX77)</f>
        <v/>
      </c>
      <c r="AZ76" s="126">
        <f>AT76/AT78*1000+AU76/AU78*100+AY76/AY78*10+AV76/AV78</f>
        <v/>
      </c>
      <c r="BA76" s="126">
        <f>AZ76/AZ78</f>
        <v/>
      </c>
      <c r="BB76" s="126">
        <f t="array" ref="BB76">SUMPRODUCT(($S$7:$S$78=AE76&amp;"_win")*($X$7:$X$78))+SUMPRODUCT(($T$7:$T$78=AE76&amp;"_win")*($X$7:$X$78))</f>
        <v/>
      </c>
      <c r="BC76" s="126">
        <f t="array" ref="BC76">SUMPRODUCT(($S$7:$S$78=AE76&amp;"_draw")*($X$7:$X$78))+SUMPRODUCT(($T$7:$T$78=AE76&amp;"_draw")*($X$7:$X$78))</f>
        <v/>
      </c>
      <c r="BD76" s="126">
        <f t="array" ref="BD76">SUMPRODUCT(($E$7:$E$78=AE76)*($X$7:$X$78)*($F$7:$F$78))+SUMPRODUCT(($H$7:$H$78=AE76)*($X$7:$X$78)*($G$7:$G$78))</f>
        <v/>
      </c>
      <c r="BE76" s="126">
        <f t="array" ref="BE76">SUMPRODUCT(($E$7:$E$78=AE76)*($X$7:$X$78)*($G$7:$G$78))+SUMPRODUCT(($H$7:$H$78=AE76)*($X$7:$X$78)*($F$7:$F$78))</f>
        <v/>
      </c>
      <c r="BF76" s="126">
        <f>BD76-BE76</f>
        <v/>
      </c>
      <c r="BG76" s="126">
        <f>BF76-MIN(BF74:BF77)</f>
        <v/>
      </c>
      <c r="BH76" s="126">
        <f>BB76/BB78*1000+BC76/BC78*100+BG76/BG78*10+BD76/BD78</f>
        <v/>
      </c>
      <c r="BI76" s="126">
        <f>BH76/BH78</f>
        <v/>
      </c>
    </row>
    <row r="77">
      <c r="A77" s="16" t="n">
        <v>71</v>
      </c>
      <c r="B77" s="17">
        <f t="array" ref="B77">INDEX(T,18+INT(MOD(R77-1,7)),lang)</f>
        <v/>
      </c>
      <c r="C77" s="18">
        <f t="array" ref="C77">INDEX(T,24+MONTH(R77),lang) &amp; " " &amp; DAY(R77) &amp; ", " &amp; YEAR(R77)</f>
        <v/>
      </c>
      <c r="D77" s="120">
        <f>TIME(HOUR(R77),MINUTE(R77),0)</f>
        <v/>
      </c>
      <c r="E77" s="78">
        <f>AE71</f>
        <v/>
      </c>
      <c r="F77" s="19" t="n">
        <v>1</v>
      </c>
      <c r="G77" s="20" t="n">
        <v>2</v>
      </c>
      <c r="H77" s="80">
        <f>AE68</f>
        <v/>
      </c>
      <c r="I77" s="69" t="n"/>
      <c r="J77" s="33">
        <f>VLOOKUP(3,AD74:AN77,2,FALSE)</f>
        <v/>
      </c>
      <c r="K77" s="23">
        <f>L77+M77+N77</f>
        <v/>
      </c>
      <c r="L77" s="23">
        <f>VLOOKUP(3,AD74:AN77,3,FALSE)</f>
        <v/>
      </c>
      <c r="M77" s="23">
        <f>VLOOKUP(3,AD74:AN77,4,FALSE)</f>
        <v/>
      </c>
      <c r="N77" s="23">
        <f>VLOOKUP(3,AD74:AN77,5,FALSE)</f>
        <v/>
      </c>
      <c r="O77" s="23">
        <f>VLOOKUP(3,AD74:AN77,6,FALSE) &amp; " - " &amp; VLOOKUP(3,AD74:AN77,7,FALSE)</f>
        <v/>
      </c>
      <c r="P77" s="34">
        <f>L77*3+M77</f>
        <v/>
      </c>
      <c r="R77" s="123">
        <f>DATE(2026,6,27)+TIME(12,30,0)+gmt_delta</f>
        <v/>
      </c>
      <c r="S77" s="127">
        <f>IF(OR(F77="",G77=""),"",IF(F77&gt;G77,E77&amp;"_win",IF(F77&lt;G77,E77&amp;"_lose",E77&amp;"_draw")))</f>
        <v/>
      </c>
      <c r="T77" s="127">
        <f>IF(S77="","",IF(F77&lt;G77,H77&amp;"_win",IF(F77&gt;G77,H77&amp;"_lose",H77&amp;"_draw")))</f>
        <v/>
      </c>
      <c r="U77" s="123">
        <f>IF(S77="",0,IF(VLOOKUP(E77,$AE$8:$AN$77,10,FALSE)=VLOOKUP(H77,$AE$8:$AN$77,10,FALSE),1,0))</f>
        <v/>
      </c>
      <c r="V77" s="123">
        <f>U77*F77</f>
        <v/>
      </c>
      <c r="W77" s="123">
        <f>U77*G77</f>
        <v/>
      </c>
      <c r="X77" s="123">
        <f>IF(S77="",0,IF(VLOOKUP(E77,$AE$8:$AO$77,11,FALSE)=VLOOKUP(H77,$AE$8:$AO$77,11,FALSE),1,0))</f>
        <v/>
      </c>
      <c r="Y77" s="123">
        <f>X77*F77</f>
        <v/>
      </c>
      <c r="Z77" s="123">
        <f>X77*G77</f>
        <v/>
      </c>
      <c r="AA77" s="123">
        <f>IF(OR(E77=my_team,H77=my_team),1,IF(INT(MATCH(E77,$AE$8:$AE$78,0)/6)=$AA$6,1,0))</f>
        <v/>
      </c>
      <c r="AB77" s="123">
        <f>IF(OR(F77="",G77=""),"",IF(F77&gt;G77,1,IF(F77&lt;G77,-1,0)))</f>
        <v/>
      </c>
      <c r="AD77" s="123">
        <f>COUNTIF(AR74:AR77,CONCATENATE("&gt;=",AR77))</f>
        <v/>
      </c>
      <c r="AE77" s="124">
        <f>VLOOKUP("Panama",T,lang,FALSE)</f>
        <v/>
      </c>
      <c r="AF77" s="123">
        <f>COUNTIF($S$7:$T$78,"=" &amp; AE77 &amp; "_win")</f>
        <v/>
      </c>
      <c r="AG77" s="123">
        <f>COUNTIF($S$7:$T$78,"=" &amp; AE77 &amp; "_draw")</f>
        <v/>
      </c>
      <c r="AH77" s="123">
        <f>COUNTIF($S$7:$T$78,"=" &amp; AE77 &amp; "_lose")</f>
        <v/>
      </c>
      <c r="AI77" s="123">
        <f>SUMIF($E$7:$E$78,$AE77,$F$7:$F$78) + SUMIF($H$7:$H$78,$AE77,$G$7:$G$78)</f>
        <v/>
      </c>
      <c r="AJ77" s="123">
        <f>SUMIF($E$7:$E$78,$AE77,$G$7:$G$78) + SUMIF($H$7:$H$78,$AE77,$F$7:$F$78)</f>
        <v/>
      </c>
      <c r="AL77" s="123">
        <f>AI77-AJ77</f>
        <v/>
      </c>
      <c r="AM77" s="123">
        <f>AL77-AL78</f>
        <v/>
      </c>
      <c r="AN77" s="123">
        <f>AF77*3+AG77</f>
        <v/>
      </c>
      <c r="AO77" s="123">
        <f>AN77/AN78*10+BA77</f>
        <v/>
      </c>
      <c r="AP77" s="123">
        <f>AO77*10000000+BI77*100+AM77/AM78*10+AI77/AI78*1++IF(AQ77=0,ROW(),AQ77)/2000000</f>
        <v/>
      </c>
      <c r="AQ77" s="126">
        <f>VLOOKUP(AE77,db_fifarank,2,FALSE)</f>
        <v/>
      </c>
      <c r="AR77" s="125">
        <f>AP77/AP78</f>
        <v/>
      </c>
      <c r="AT77" s="126">
        <f t="array" ref="AT77">SUMPRODUCT(($S$7:$S$78=AE77&amp;"_win")*($U$7:$U$78))+SUMPRODUCT(($T$7:$T$78=AE77&amp;"_win")*($U$7:$U$78))</f>
        <v/>
      </c>
      <c r="AU77" s="126">
        <f t="array" ref="AU77">SUMPRODUCT(($S$7:$S$78=AE77&amp;"_draw")*($U$7:$U$78))+SUMPRODUCT(($T$7:$T$78=AE77&amp;"_draw")*($U$7:$U$78))</f>
        <v/>
      </c>
      <c r="AV77" s="126">
        <f t="array" ref="AV77">SUMPRODUCT(($E$7:$E$78=AE77)*($U$7:$U$78)*($F$7:$F$78))+SUMPRODUCT(($H$7:$H$78=AE77)*($U$7:$U$78)*($G$7:$G$78))</f>
        <v/>
      </c>
      <c r="AW77" s="126">
        <f t="array" ref="AW77">SUMPRODUCT(($E$7:$E$78=AE77)*($U$7:$U$78)*($G$7:$G$78))+SUMPRODUCT(($H$7:$H$78=AE77)*($U$7:$U$78)*($F$7:$F$78))</f>
        <v/>
      </c>
      <c r="AX77" s="126">
        <f>AV77-AW77</f>
        <v/>
      </c>
      <c r="AY77" s="126">
        <f>AX77-MIN(AX74:AX77)</f>
        <v/>
      </c>
      <c r="AZ77" s="126">
        <f>AT77/AT78*1000+AU77/AU78*100+AY77/AY78*10+AV77/AV78</f>
        <v/>
      </c>
      <c r="BA77" s="126">
        <f>AZ77/AZ78</f>
        <v/>
      </c>
      <c r="BB77" s="126">
        <f t="array" ref="BB77">SUMPRODUCT(($S$7:$S$78=AE77&amp;"_win")*($X$7:$X$78))+SUMPRODUCT(($T$7:$T$78=AE77&amp;"_win")*($X$7:$X$78))</f>
        <v/>
      </c>
      <c r="BC77" s="126">
        <f t="array" ref="BC77">SUMPRODUCT(($S$7:$S$78=AE77&amp;"_draw")*($X$7:$X$78))+SUMPRODUCT(($T$7:$T$78=AE77&amp;"_draw")*($X$7:$X$78))</f>
        <v/>
      </c>
      <c r="BD77" s="126">
        <f t="array" ref="BD77">SUMPRODUCT(($E$7:$E$78=AE77)*($X$7:$X$78)*($F$7:$F$78))+SUMPRODUCT(($H$7:$H$78=AE77)*($X$7:$X$78)*($G$7:$G$78))</f>
        <v/>
      </c>
      <c r="BE77" s="126">
        <f t="array" ref="BE77">SUMPRODUCT(($E$7:$E$78=AE77)*($X$7:$X$78)*($G$7:$G$78))+SUMPRODUCT(($H$7:$H$78=AE77)*($X$7:$X$78)*($F$7:$F$78))</f>
        <v/>
      </c>
      <c r="BF77" s="126">
        <f>BD77-BE77</f>
        <v/>
      </c>
      <c r="BG77" s="126">
        <f>BF77-MIN(BF74:BF77)</f>
        <v/>
      </c>
      <c r="BH77" s="126">
        <f>BB77/BB78*1000+BC77/BC78*100+BG77/BG78*10+BD77/BD78</f>
        <v/>
      </c>
      <c r="BI77" s="126">
        <f>BH77/BH78</f>
        <v/>
      </c>
    </row>
    <row r="78">
      <c r="A78" s="16" t="n">
        <v>72</v>
      </c>
      <c r="B78" s="17">
        <f t="array" ref="B78">INDEX(T,18+INT(MOD(R78-1,7)),lang)</f>
        <v/>
      </c>
      <c r="C78" s="18">
        <f t="array" ref="C78">INDEX(T,24+MONTH(R78),lang) &amp; " " &amp; DAY(R78) &amp; ", " &amp; YEAR(R78)</f>
        <v/>
      </c>
      <c r="D78" s="120">
        <f>TIME(HOUR(R78),MINUTE(R78),0)</f>
        <v/>
      </c>
      <c r="E78" s="78">
        <f>AE69</f>
        <v/>
      </c>
      <c r="F78" s="19" t="n">
        <v>0</v>
      </c>
      <c r="G78" s="20" t="n">
        <v>0</v>
      </c>
      <c r="H78" s="80">
        <f>AE70</f>
        <v/>
      </c>
      <c r="I78" s="69" t="n"/>
      <c r="J78" s="35">
        <f>VLOOKUP(4,AD74:AN77,2,FALSE)</f>
        <v/>
      </c>
      <c r="K78" s="36">
        <f>L78+M78+N78</f>
        <v/>
      </c>
      <c r="L78" s="36">
        <f>VLOOKUP(4,AD74:AN77,3,FALSE)</f>
        <v/>
      </c>
      <c r="M78" s="36">
        <f>VLOOKUP(4,AD74:AN77,4,FALSE)</f>
        <v/>
      </c>
      <c r="N78" s="36">
        <f>VLOOKUP(4,AD74:AN77,5,FALSE)</f>
        <v/>
      </c>
      <c r="O78" s="36">
        <f>VLOOKUP(4,AD74:AN77,6,FALSE) &amp; " - " &amp; VLOOKUP(4,AD74:AN77,7,FALSE)</f>
        <v/>
      </c>
      <c r="P78" s="37">
        <f>L78*3+M78</f>
        <v/>
      </c>
      <c r="R78" s="123">
        <f>DATE(2026,6,27)+TIME(12,30,0)+gmt_delta</f>
        <v/>
      </c>
      <c r="S78" s="127">
        <f>IF(OR(F78="",G78=""),"",IF(F78&gt;G78,E78&amp;"_win",IF(F78&lt;G78,E78&amp;"_lose",E78&amp;"_draw")))</f>
        <v/>
      </c>
      <c r="T78" s="127">
        <f>IF(S78="","",IF(F78&lt;G78,H78&amp;"_win",IF(F78&gt;G78,H78&amp;"_lose",H78&amp;"_draw")))</f>
        <v/>
      </c>
      <c r="U78" s="123">
        <f>IF(S78="",0,IF(VLOOKUP(E78,$AE$8:$AN$77,10,FALSE)=VLOOKUP(H78,$AE$8:$AN$77,10,FALSE),1,0))</f>
        <v/>
      </c>
      <c r="V78" s="123">
        <f>U78*F78</f>
        <v/>
      </c>
      <c r="W78" s="123">
        <f>U78*G78</f>
        <v/>
      </c>
      <c r="X78" s="123">
        <f>IF(S78="",0,IF(VLOOKUP(E78,$AE$8:$AO$77,11,FALSE)=VLOOKUP(H78,$AE$8:$AO$77,11,FALSE),1,0))</f>
        <v/>
      </c>
      <c r="Y78" s="123">
        <f>X78*F78</f>
        <v/>
      </c>
      <c r="Z78" s="123">
        <f>X78*G78</f>
        <v/>
      </c>
      <c r="AA78" s="123">
        <f>IF(OR(E78=my_team,H78=my_team),1,IF(INT(MATCH(E78,$AE$8:$AE$78,0)/6)=$AA$6,1,0))</f>
        <v/>
      </c>
      <c r="AB78" s="123">
        <f>IF(OR(F78="",G78=""),"",IF(F78&gt;G78,1,IF(F78&lt;G78,-1,0)))</f>
        <v/>
      </c>
      <c r="AF78" s="123">
        <f>MAX(AF74:AF77)-MIN(AF74:AF77)+1</f>
        <v/>
      </c>
      <c r="AG78" s="123">
        <f>MAX(AG74:AG77)-MIN(AG74:AG77)+1</f>
        <v/>
      </c>
      <c r="AH78" s="123">
        <f>MAX(AH74:AH77)-MIN(AH74:AH77)+1</f>
        <v/>
      </c>
      <c r="AI78" s="123">
        <f>MAX(AI74:AI77)+1</f>
        <v/>
      </c>
      <c r="AL78" s="123">
        <f>MIN(AL74:AL77)</f>
        <v/>
      </c>
      <c r="AM78" s="123">
        <f>MAX(AM74:AM77)+1</f>
        <v/>
      </c>
      <c r="AN78" s="123">
        <f>MAX(AN74:AN77)+1</f>
        <v/>
      </c>
      <c r="AO78" s="123">
        <f>MAX(AO74:AO77)+1</f>
        <v/>
      </c>
      <c r="AP78" s="123">
        <f>MAX(AP74:AP77)+1</f>
        <v/>
      </c>
      <c r="AT78" s="126">
        <f>MAX(AT74:AT77)-MIN(AT74:AT77)+1</f>
        <v/>
      </c>
      <c r="AU78" s="126">
        <f>MAX(AU74:AU77)-MIN(AU74:AU77)+1</f>
        <v/>
      </c>
      <c r="AV78" s="126">
        <f>MAX(AV74:AV77)-MIN(AV74:AV77)+1</f>
        <v/>
      </c>
      <c r="AW78" s="126">
        <f>MAX(AW74:AW77)-MIN(AW74:AW77)+1</f>
        <v/>
      </c>
      <c r="AY78" s="126">
        <f>MAX(AY74:AY77)-MIN(AY74:AY77)+1</f>
        <v/>
      </c>
      <c r="AZ78" s="126">
        <f>MAX(AZ74:AZ77)+1</f>
        <v/>
      </c>
      <c r="BB78" s="126">
        <f>MAX(BB74:BB77)-MIN(BB74:BB77)+1</f>
        <v/>
      </c>
      <c r="BC78" s="126">
        <f>MAX(BC74:BC77)-MIN(BC74:BC77)+1</f>
        <v/>
      </c>
      <c r="BD78" s="126">
        <f>MAX(BD74:BD77)-MIN(BD74:BD77)+1</f>
        <v/>
      </c>
      <c r="BE78" s="126">
        <f>MAX(BE74:BE77)-MIN(BE74:BE77)+1</f>
        <v/>
      </c>
      <c r="BG78" s="126">
        <f>MAX(BG74:BG77)-MIN(BG74:BG77)+1</f>
        <v/>
      </c>
      <c r="BH78" s="126">
        <f>MAX(BH74:BH77)+1</f>
        <v/>
      </c>
    </row>
    <row r="79">
      <c r="A79" s="73" t="n"/>
      <c r="B79" s="73" t="n"/>
      <c r="C79" s="73" t="n"/>
      <c r="D79" s="73" t="n"/>
      <c r="E79" s="74" t="n"/>
      <c r="F79" s="71" t="n"/>
      <c r="G79" s="71" t="n"/>
      <c r="H79" s="75" t="n"/>
      <c r="I79" s="69" t="n"/>
      <c r="J79" s="72" t="n"/>
      <c r="K79" s="70" t="n"/>
      <c r="L79" s="70" t="n"/>
      <c r="M79" s="70" t="n"/>
      <c r="N79" s="70" t="n"/>
      <c r="O79" s="70" t="n"/>
      <c r="P79" s="70" t="n"/>
    </row>
    <row r="80" ht="15" customHeight="1">
      <c r="A80" s="73" t="n"/>
      <c r="B80" s="73" t="n"/>
      <c r="C80" s="73" t="n"/>
      <c r="D80" s="73" t="n"/>
      <c r="E80" s="74" t="n"/>
      <c r="F80" s="71" t="n"/>
      <c r="G80" s="71" t="n"/>
      <c r="H80" s="75" t="n"/>
      <c r="I80" s="69" t="n"/>
      <c r="J80" s="93">
        <f>"3rd places"</f>
        <v/>
      </c>
      <c r="K80" s="94">
        <f t="array" ref="K80">INDEX(T,10,lang)</f>
        <v/>
      </c>
      <c r="L80" s="94">
        <f t="array" ref="L80">INDEX(T,11,lang)</f>
        <v/>
      </c>
      <c r="M80" s="94">
        <f t="array" ref="M80">INDEX(T,12,lang)</f>
        <v/>
      </c>
      <c r="N80" s="94">
        <f t="array" ref="N80">INDEX(T,13,lang)</f>
        <v/>
      </c>
      <c r="O80" s="94">
        <f t="array" ref="O80">INDEX(T,14,lang)</f>
        <v/>
      </c>
      <c r="P80" s="95">
        <f t="array" ref="P80">INDEX(T,15,lang)</f>
        <v/>
      </c>
      <c r="AD80" s="123">
        <f>COUNTIF($AP$80:$AP$91,CONCATENATE("&gt;=",AP80))</f>
        <v/>
      </c>
      <c r="AE80" s="124">
        <f>J11</f>
        <v/>
      </c>
      <c r="AF80" s="123">
        <f>VLOOKUP($AE80,$AE$8:$AQ$78,2,FALSE)</f>
        <v/>
      </c>
      <c r="AG80" s="123">
        <f>VLOOKUP($AE80,$AE$8:$AQ$78,3,FALSE)</f>
        <v/>
      </c>
      <c r="AH80" s="123">
        <f>VLOOKUP($AE80,$AE$8:$AQ$78,4,FALSE)</f>
        <v/>
      </c>
      <c r="AI80" s="123">
        <f>VLOOKUP($AE80,$AE$8:$AQ$78,5,FALSE)</f>
        <v/>
      </c>
      <c r="AJ80" s="123">
        <f>VLOOKUP($AE80,$AE$8:$AQ$78,6,FALSE)</f>
        <v/>
      </c>
      <c r="AK80" s="123" t="inlineStr">
        <is>
          <t>3A</t>
        </is>
      </c>
      <c r="AL80" s="123">
        <f>VLOOKUP($AE80,$AE$8:$AQ$78,8,FALSE)</f>
        <v/>
      </c>
      <c r="AM80" s="123">
        <f>AL80-$AL$92</f>
        <v/>
      </c>
      <c r="AN80" s="123">
        <f>VLOOKUP($AE80,$AE$8:$AQ$78,10,FALSE)</f>
        <v/>
      </c>
      <c r="AP80" s="123">
        <f>AN80/AN92*10000+AM80/AM92*1000+AI80/AI92*100+IF(AQ80=0,ROW(),AQ80)/2000000</f>
        <v/>
      </c>
      <c r="AQ80" s="126">
        <f>VLOOKUP($AE80,$AE$8:$AQ$78,13,FALSE)</f>
        <v/>
      </c>
      <c r="AR80" s="125">
        <f>IF(AD80&lt;=8,RIGHT(AK80,1),"")</f>
        <v/>
      </c>
      <c r="AS80" s="129">
        <f>IF(AD80&lt;=8,AE80,"")</f>
        <v/>
      </c>
      <c r="AT80" s="130">
        <f>"Ⓐ "&amp;AE80</f>
        <v/>
      </c>
    </row>
    <row r="81" ht="15" customHeight="1">
      <c r="A81" s="73" t="n"/>
      <c r="B81" s="73" t="n"/>
      <c r="C81" s="73" t="n"/>
      <c r="D81" s="73" t="n"/>
      <c r="E81" s="74" t="n"/>
      <c r="F81" s="71" t="n"/>
      <c r="G81" s="71" t="n"/>
      <c r="H81" s="75" t="n"/>
      <c r="I81" s="69" t="n"/>
      <c r="J81" s="96">
        <f>VLOOKUP(1,$AD$80:$AT$91,17,FALSE)</f>
        <v/>
      </c>
      <c r="K81" s="97">
        <f>L81+M81+N81</f>
        <v/>
      </c>
      <c r="L81" s="97">
        <f>VLOOKUP(1,$AD$80:$AN$91,3,FALSE)</f>
        <v/>
      </c>
      <c r="M81" s="97">
        <f>VLOOKUP(1,$AD$80:$AN$91,4,FALSE)</f>
        <v/>
      </c>
      <c r="N81" s="97">
        <f>VLOOKUP(1,$AD$80:$AN$91,5,FALSE)</f>
        <v/>
      </c>
      <c r="O81" s="97">
        <f>VLOOKUP(1,$AD$80:$AN$91,6,FALSE) &amp; " - " &amp; VLOOKUP(1,$AD$80:$AN$91,7,FALSE)</f>
        <v/>
      </c>
      <c r="P81" s="98">
        <f>L81*3+M81</f>
        <v/>
      </c>
      <c r="AD81" s="123">
        <f>COUNTIF($AP$80:$AP$91,CONCATENATE("&gt;=",AP81))</f>
        <v/>
      </c>
      <c r="AE81" s="124">
        <f>J17</f>
        <v/>
      </c>
      <c r="AF81" s="123">
        <f>VLOOKUP($AE81,$AE$8:$AQ$78,2,FALSE)</f>
        <v/>
      </c>
      <c r="AG81" s="123">
        <f>VLOOKUP($AE81,$AE$8:$AQ$78,3,FALSE)</f>
        <v/>
      </c>
      <c r="AH81" s="123">
        <f>VLOOKUP($AE81,$AE$8:$AQ$78,4,FALSE)</f>
        <v/>
      </c>
      <c r="AI81" s="123">
        <f>VLOOKUP($AE81,$AE$8:$AQ$78,5,FALSE)</f>
        <v/>
      </c>
      <c r="AJ81" s="123">
        <f>VLOOKUP($AE81,$AE$8:$AQ$78,6,FALSE)</f>
        <v/>
      </c>
      <c r="AK81" s="123" t="inlineStr">
        <is>
          <t>3B</t>
        </is>
      </c>
      <c r="AL81" s="123">
        <f>VLOOKUP($AE81,$AE$8:$AQ$78,8,FALSE)</f>
        <v/>
      </c>
      <c r="AM81" s="123">
        <f>AL81-$AL$92</f>
        <v/>
      </c>
      <c r="AN81" s="123">
        <f>VLOOKUP($AE81,$AE$8:$AQ$78,10,FALSE)</f>
        <v/>
      </c>
      <c r="AP81" s="123">
        <f>AN81/AN92*10000+AM81/AM92*1000+AI81/AI92*100+IF(AQ81=0,ROW(),AQ81)/2000000</f>
        <v/>
      </c>
      <c r="AQ81" s="126">
        <f>VLOOKUP($AE81,$AE$8:$AQ$78,13,FALSE)</f>
        <v/>
      </c>
      <c r="AR81" s="125">
        <f>AR80&amp;IF(AD81&lt;=8,RIGHT(AK81,1),"")</f>
        <v/>
      </c>
      <c r="AS81" s="129">
        <f>IF(AD81&lt;=8,AE81,"")</f>
        <v/>
      </c>
      <c r="AT81" s="130">
        <f>"Ⓑ "&amp;AE81</f>
        <v/>
      </c>
    </row>
    <row r="82" ht="15" customHeight="1">
      <c r="A82" s="73" t="n"/>
      <c r="B82" s="73" t="n"/>
      <c r="C82" s="73" t="n"/>
      <c r="D82" s="73" t="n"/>
      <c r="E82" s="74" t="n"/>
      <c r="F82" s="71" t="n"/>
      <c r="G82" s="71" t="n"/>
      <c r="H82" s="75" t="n"/>
      <c r="I82" s="69" t="n"/>
      <c r="J82" s="99">
        <f>VLOOKUP(2,$AD$80:$AT$91,17,FALSE)</f>
        <v/>
      </c>
      <c r="K82" s="100">
        <f>L82+M82+N82</f>
        <v/>
      </c>
      <c r="L82" s="100">
        <f>VLOOKUP(2,$AD$80:$AN$91,3,FALSE)</f>
        <v/>
      </c>
      <c r="M82" s="100">
        <f>VLOOKUP(2,$AD$80:$AN$91,4,FALSE)</f>
        <v/>
      </c>
      <c r="N82" s="100">
        <f>VLOOKUP(2,$AD$80:$AN$91,5,FALSE)</f>
        <v/>
      </c>
      <c r="O82" s="100">
        <f>VLOOKUP(2,$AD$80:$AN$91,6,FALSE) &amp; " - " &amp; VLOOKUP(2,$AD$80:$AN$91,7,FALSE)</f>
        <v/>
      </c>
      <c r="P82" s="101">
        <f>L82*3+M82</f>
        <v/>
      </c>
      <c r="AD82" s="123">
        <f>COUNTIF($AP$80:$AP$91,CONCATENATE("&gt;=",AP82))</f>
        <v/>
      </c>
      <c r="AE82" s="124">
        <f>J23</f>
        <v/>
      </c>
      <c r="AF82" s="123">
        <f>VLOOKUP($AE82,$AE$8:$AQ$78,2,FALSE)</f>
        <v/>
      </c>
      <c r="AG82" s="123">
        <f>VLOOKUP($AE82,$AE$8:$AQ$78,3,FALSE)</f>
        <v/>
      </c>
      <c r="AH82" s="123">
        <f>VLOOKUP($AE82,$AE$8:$AQ$78,4,FALSE)</f>
        <v/>
      </c>
      <c r="AI82" s="123">
        <f>VLOOKUP($AE82,$AE$8:$AQ$78,5,FALSE)</f>
        <v/>
      </c>
      <c r="AJ82" s="123">
        <f>VLOOKUP($AE82,$AE$8:$AQ$78,6,FALSE)</f>
        <v/>
      </c>
      <c r="AK82" s="123" t="inlineStr">
        <is>
          <t>3C</t>
        </is>
      </c>
      <c r="AL82" s="123">
        <f>VLOOKUP($AE82,$AE$8:$AQ$78,8,FALSE)</f>
        <v/>
      </c>
      <c r="AM82" s="123">
        <f>AL82-$AL$92</f>
        <v/>
      </c>
      <c r="AN82" s="123">
        <f>VLOOKUP($AE82,$AE$8:$AQ$78,10,FALSE)</f>
        <v/>
      </c>
      <c r="AP82" s="123">
        <f>AN82/AN92*10000+AM82/AM92*1000+AI82/AI92*100+IF(AQ82=0,ROW(),AQ82)/2000000</f>
        <v/>
      </c>
      <c r="AQ82" s="126">
        <f>VLOOKUP($AE82,$AE$8:$AQ$78,13,FALSE)</f>
        <v/>
      </c>
      <c r="AR82" s="125">
        <f>AR81&amp;IF(AD82&lt;=8,RIGHT(AK82,1),"")</f>
        <v/>
      </c>
      <c r="AS82" s="129">
        <f>IF(AD82&lt;=8,AE82,"")</f>
        <v/>
      </c>
      <c r="AT82" s="130">
        <f>"Ⓒ "&amp;AE82</f>
        <v/>
      </c>
    </row>
    <row r="83" ht="15" customHeight="1">
      <c r="A83" s="73" t="n"/>
      <c r="B83" s="73" t="n"/>
      <c r="C83" s="182" t="inlineStr">
        <is>
          <t>World Cup 2026
Interactive Schedule Online
www.wallchart.io</t>
        </is>
      </c>
      <c r="D83" s="174" t="n"/>
      <c r="E83" s="174" t="n"/>
      <c r="F83" s="174" t="n"/>
      <c r="G83" s="175" t="n"/>
      <c r="H83" s="75" t="n"/>
      <c r="I83" s="69" t="n"/>
      <c r="J83" s="99">
        <f>VLOOKUP(3,$AD$80:$AT$91,17,FALSE)</f>
        <v/>
      </c>
      <c r="K83" s="100">
        <f>L83+M83+N83</f>
        <v/>
      </c>
      <c r="L83" s="100">
        <f>VLOOKUP(3,$AD$80:$AN$91,3,FALSE)</f>
        <v/>
      </c>
      <c r="M83" s="100">
        <f>VLOOKUP(3,$AD$80:$AN$91,4,FALSE)</f>
        <v/>
      </c>
      <c r="N83" s="100">
        <f>VLOOKUP(3,$AD$80:$AN$91,5,FALSE)</f>
        <v/>
      </c>
      <c r="O83" s="100">
        <f>VLOOKUP(3,$AD$80:$AN$91,6,FALSE) &amp; " - " &amp; VLOOKUP(3,$AD$80:$AN$91,7,FALSE)</f>
        <v/>
      </c>
      <c r="P83" s="101">
        <f>L83*3+M83</f>
        <v/>
      </c>
      <c r="AD83" s="123">
        <f>COUNTIF($AP$80:$AP$91,CONCATENATE("&gt;=",AP83))</f>
        <v/>
      </c>
      <c r="AE83" s="124">
        <f>J29</f>
        <v/>
      </c>
      <c r="AF83" s="123">
        <f>VLOOKUP($AE83,$AE$8:$AQ$78,2,FALSE)</f>
        <v/>
      </c>
      <c r="AG83" s="123">
        <f>VLOOKUP($AE83,$AE$8:$AQ$78,3,FALSE)</f>
        <v/>
      </c>
      <c r="AH83" s="123">
        <f>VLOOKUP($AE83,$AE$8:$AQ$78,4,FALSE)</f>
        <v/>
      </c>
      <c r="AI83" s="123">
        <f>VLOOKUP($AE83,$AE$8:$AQ$78,5,FALSE)</f>
        <v/>
      </c>
      <c r="AJ83" s="123">
        <f>VLOOKUP($AE83,$AE$8:$AQ$78,6,FALSE)</f>
        <v/>
      </c>
      <c r="AK83" s="123" t="inlineStr">
        <is>
          <t>3D</t>
        </is>
      </c>
      <c r="AL83" s="123">
        <f>VLOOKUP($AE83,$AE$8:$AQ$78,8,FALSE)</f>
        <v/>
      </c>
      <c r="AM83" s="123">
        <f>AL83-$AL$92</f>
        <v/>
      </c>
      <c r="AN83" s="123">
        <f>VLOOKUP($AE83,$AE$8:$AQ$78,10,FALSE)</f>
        <v/>
      </c>
      <c r="AP83" s="123">
        <f>AN83/AN92*10000+AM83/AM92*1000+AI83/AI92*100+IF(AQ83=0,ROW(),AQ83)/2000000</f>
        <v/>
      </c>
      <c r="AQ83" s="126">
        <f>VLOOKUP($AE83,$AE$8:$AQ$78,13,FALSE)</f>
        <v/>
      </c>
      <c r="AR83" s="125">
        <f>AR82&amp;IF(AD83&lt;=8,RIGHT(AK83,1),"")</f>
        <v/>
      </c>
      <c r="AS83" s="129">
        <f>IF(AD83&lt;=8,AE83,"")</f>
        <v/>
      </c>
      <c r="AT83" s="130">
        <f>"Ⓓ "&amp;AE83</f>
        <v/>
      </c>
    </row>
    <row r="84" ht="15" customHeight="1">
      <c r="A84" s="73" t="n"/>
      <c r="B84" s="73" t="n"/>
      <c r="C84" s="183" t="n"/>
      <c r="D84" s="10" t="n"/>
      <c r="E84" s="10" t="n"/>
      <c r="F84" s="10" t="n"/>
      <c r="G84" s="184" t="n"/>
      <c r="H84" s="75" t="n"/>
      <c r="I84" s="69" t="n"/>
      <c r="J84" s="99">
        <f>VLOOKUP(4,$AD$80:$AT$91,17,FALSE)</f>
        <v/>
      </c>
      <c r="K84" s="100">
        <f>L84+M84+N84</f>
        <v/>
      </c>
      <c r="L84" s="100">
        <f>VLOOKUP(4,$AD$80:$AN$91,3,FALSE)</f>
        <v/>
      </c>
      <c r="M84" s="100">
        <f>VLOOKUP(4,$AD$80:$AN$91,4,FALSE)</f>
        <v/>
      </c>
      <c r="N84" s="100">
        <f>VLOOKUP(4,$AD$80:$AN$91,5,FALSE)</f>
        <v/>
      </c>
      <c r="O84" s="100">
        <f>VLOOKUP(4,$AD$80:$AN$91,6,FALSE) &amp; " - " &amp; VLOOKUP(4,$AD$80:$AN$91,7,FALSE)</f>
        <v/>
      </c>
      <c r="P84" s="101">
        <f>L84*3+M84</f>
        <v/>
      </c>
      <c r="R84" s="123">
        <f>DATE(2026,12,3)+TIME(4,0,0)+gmt_delta</f>
        <v/>
      </c>
      <c r="S84" s="127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>
        <f t="array" ref="T84">IF(OR(S84="",S84="draw"),INDEX(T,86,lang),S84)</f>
        <v/>
      </c>
      <c r="AD84" s="123">
        <f>COUNTIF($AP$80:$AP$91,CONCATENATE("&gt;=",AP84))</f>
        <v/>
      </c>
      <c r="AE84" s="124">
        <f>J35</f>
        <v/>
      </c>
      <c r="AF84" s="123">
        <f>VLOOKUP($AE84,$AE$8:$AQ$78,2,FALSE)</f>
        <v/>
      </c>
      <c r="AG84" s="123">
        <f>VLOOKUP($AE84,$AE$8:$AQ$78,3,FALSE)</f>
        <v/>
      </c>
      <c r="AH84" s="123">
        <f>VLOOKUP($AE84,$AE$8:$AQ$78,4,FALSE)</f>
        <v/>
      </c>
      <c r="AI84" s="123">
        <f>VLOOKUP($AE84,$AE$8:$AQ$78,5,FALSE)</f>
        <v/>
      </c>
      <c r="AJ84" s="123">
        <f>VLOOKUP($AE84,$AE$8:$AQ$78,6,FALSE)</f>
        <v/>
      </c>
      <c r="AK84" s="123" t="inlineStr">
        <is>
          <t>3E</t>
        </is>
      </c>
      <c r="AL84" s="123">
        <f>VLOOKUP($AE84,$AE$8:$AQ$78,8,FALSE)</f>
        <v/>
      </c>
      <c r="AM84" s="123">
        <f>AL84-$AL$92</f>
        <v/>
      </c>
      <c r="AN84" s="123">
        <f>VLOOKUP($AE84,$AE$8:$AQ$78,10,FALSE)</f>
        <v/>
      </c>
      <c r="AP84" s="123">
        <f>AN84/AN92*10000+AM84/AM92*1000+AI84/AI92*100+IF(AQ84=0,ROW(),AQ84)/2000000</f>
        <v/>
      </c>
      <c r="AQ84" s="126">
        <f>VLOOKUP($AE84,$AE$8:$AQ$78,13,FALSE)</f>
        <v/>
      </c>
      <c r="AR84" s="125">
        <f>AR83&amp;IF(AD84&lt;=8,RIGHT(AK84,1),"")</f>
        <v/>
      </c>
      <c r="AS84" s="129">
        <f>IF(AD84&lt;=8,AE84,"")</f>
        <v/>
      </c>
      <c r="AT84" s="130">
        <f>"Ⓔ "&amp;AE84</f>
        <v/>
      </c>
    </row>
    <row r="85" ht="15" customHeight="1">
      <c r="A85" s="73" t="n"/>
      <c r="B85" s="73" t="n"/>
      <c r="C85" s="183" t="n"/>
      <c r="D85" s="10" t="n"/>
      <c r="E85" s="10" t="n"/>
      <c r="F85" s="10" t="n"/>
      <c r="G85" s="184" t="n"/>
      <c r="H85" s="75" t="n"/>
      <c r="I85" s="69" t="n"/>
      <c r="J85" s="99">
        <f>VLOOKUP(5,$AD$80:$AT$91,17,FALSE)</f>
        <v/>
      </c>
      <c r="K85" s="100">
        <f>L85+M85+N85</f>
        <v/>
      </c>
      <c r="L85" s="100">
        <f>VLOOKUP(5,$AD$80:$AN$91,3,FALSE)</f>
        <v/>
      </c>
      <c r="M85" s="100">
        <f>VLOOKUP(5,$AD$80:$AN$91,4,FALSE)</f>
        <v/>
      </c>
      <c r="N85" s="100">
        <f>VLOOKUP(5,$AD$80:$AN$91,5,FALSE)</f>
        <v/>
      </c>
      <c r="O85" s="100">
        <f>VLOOKUP(5,$AD$80:$AN$91,6,FALSE) &amp; " - " &amp; VLOOKUP(5,$AD$80:$AN$91,7,FALSE)</f>
        <v/>
      </c>
      <c r="P85" s="101">
        <f>L85*3+M85</f>
        <v/>
      </c>
      <c r="R85" s="123">
        <f>DATE(2026,12,3)+TIME(8,0,0)+gmt_delta</f>
        <v/>
      </c>
      <c r="S85" s="127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>
        <f t="array" ref="T85">IF(OR(S85="",S85="draw"),INDEX(T,87,lang),S85)</f>
        <v/>
      </c>
      <c r="AD85" s="123">
        <f>COUNTIF($AP$80:$AP$91,CONCATENATE("&gt;=",AP85))</f>
        <v/>
      </c>
      <c r="AE85" s="124">
        <f>J41</f>
        <v/>
      </c>
      <c r="AF85" s="123">
        <f>VLOOKUP($AE85,$AE$8:$AQ$78,2,FALSE)</f>
        <v/>
      </c>
      <c r="AG85" s="123">
        <f>VLOOKUP($AE85,$AE$8:$AQ$78,3,FALSE)</f>
        <v/>
      </c>
      <c r="AH85" s="123">
        <f>VLOOKUP($AE85,$AE$8:$AQ$78,4,FALSE)</f>
        <v/>
      </c>
      <c r="AI85" s="123">
        <f>VLOOKUP($AE85,$AE$8:$AQ$78,5,FALSE)</f>
        <v/>
      </c>
      <c r="AJ85" s="123">
        <f>VLOOKUP($AE85,$AE$8:$AQ$78,6,FALSE)</f>
        <v/>
      </c>
      <c r="AK85" s="123" t="inlineStr">
        <is>
          <t>3F</t>
        </is>
      </c>
      <c r="AL85" s="123">
        <f>VLOOKUP($AE85,$AE$8:$AQ$78,8,FALSE)</f>
        <v/>
      </c>
      <c r="AM85" s="123">
        <f>AL85-$AL$92</f>
        <v/>
      </c>
      <c r="AN85" s="123">
        <f>VLOOKUP($AE85,$AE$8:$AQ$78,10,FALSE)</f>
        <v/>
      </c>
      <c r="AP85" s="123">
        <f>AN85/AN92*10000+AM85/AM92*1000+AI85/AI92*100+IF(AQ85=0,ROW(),AQ85)/2000000</f>
        <v/>
      </c>
      <c r="AQ85" s="126">
        <f>VLOOKUP($AE85,$AE$8:$AQ$78,13,FALSE)</f>
        <v/>
      </c>
      <c r="AR85" s="125">
        <f>AR84&amp;IF(AD85&lt;=8,RIGHT(AK85,1),"")</f>
        <v/>
      </c>
      <c r="AS85" s="129">
        <f>IF(AD85&lt;=8,AE85,"")</f>
        <v/>
      </c>
      <c r="AT85" s="130">
        <f>"Ⓕ "&amp;AE85</f>
        <v/>
      </c>
    </row>
    <row r="86" ht="15" customHeight="1">
      <c r="A86" s="73" t="n"/>
      <c r="B86" s="73" t="n"/>
      <c r="C86" s="183" t="n"/>
      <c r="D86" s="10" t="n"/>
      <c r="E86" s="10" t="n"/>
      <c r="F86" s="10" t="n"/>
      <c r="G86" s="184" t="n"/>
      <c r="H86" s="75" t="n"/>
      <c r="I86" s="69" t="n"/>
      <c r="J86" s="99">
        <f>VLOOKUP(6,$AD$80:$AT$91,17,FALSE)</f>
        <v/>
      </c>
      <c r="K86" s="100">
        <f>L86+M86+N86</f>
        <v/>
      </c>
      <c r="L86" s="100">
        <f>VLOOKUP(6,$AD$80:$AN$91,3,FALSE)</f>
        <v/>
      </c>
      <c r="M86" s="100">
        <f>VLOOKUP(6,$AD$80:$AN$91,4,FALSE)</f>
        <v/>
      </c>
      <c r="N86" s="100">
        <f>VLOOKUP(6,$AD$80:$AN$91,5,FALSE)</f>
        <v/>
      </c>
      <c r="O86" s="100">
        <f>VLOOKUP(6,$AD$80:$AN$91,6,FALSE) &amp; " - " &amp; VLOOKUP(6,$AD$80:$AN$91,7,FALSE)</f>
        <v/>
      </c>
      <c r="P86" s="101">
        <f>L86*3+M86</f>
        <v/>
      </c>
      <c r="R86" s="123">
        <f>DATE(2026,12,4)+TIME(8,0,0)+gmt_delta</f>
        <v/>
      </c>
      <c r="S86" s="127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>
        <f t="array" ref="T86">IF(OR(S86="",S86="draw"),INDEX(T,88,lang),S86)</f>
        <v/>
      </c>
      <c r="AD86" s="123">
        <f>COUNTIF($AP$80:$AP$91,CONCATENATE("&gt;=",AP86))</f>
        <v/>
      </c>
      <c r="AE86" s="124">
        <f>J47</f>
        <v/>
      </c>
      <c r="AF86" s="123">
        <f>VLOOKUP($AE86,$AE$8:$AQ$78,2,FALSE)</f>
        <v/>
      </c>
      <c r="AG86" s="123">
        <f>VLOOKUP($AE86,$AE$8:$AQ$78,3,FALSE)</f>
        <v/>
      </c>
      <c r="AH86" s="123">
        <f>VLOOKUP($AE86,$AE$8:$AQ$78,4,FALSE)</f>
        <v/>
      </c>
      <c r="AI86" s="123">
        <f>VLOOKUP($AE86,$AE$8:$AQ$78,5,FALSE)</f>
        <v/>
      </c>
      <c r="AJ86" s="123">
        <f>VLOOKUP($AE86,$AE$8:$AQ$78,6,FALSE)</f>
        <v/>
      </c>
      <c r="AK86" s="123" t="inlineStr">
        <is>
          <t>3G</t>
        </is>
      </c>
      <c r="AL86" s="123">
        <f>VLOOKUP($AE86,$AE$8:$AQ$78,8,FALSE)</f>
        <v/>
      </c>
      <c r="AM86" s="123">
        <f>AL86-$AL$92</f>
        <v/>
      </c>
      <c r="AN86" s="123">
        <f>VLOOKUP($AE86,$AE$8:$AQ$78,10,FALSE)</f>
        <v/>
      </c>
      <c r="AP86" s="123">
        <f>AN86/AN92*10000+AM86/AM92*1000+AI86/AI92*100+IF(AQ86=0,ROW(),AQ86)/2000000</f>
        <v/>
      </c>
      <c r="AQ86" s="126">
        <f>VLOOKUP($AE86,$AE$8:$AQ$78,13,FALSE)</f>
        <v/>
      </c>
      <c r="AR86" s="125">
        <f>AR85&amp;IF(AD86&lt;=8,RIGHT(AK86,1),"")</f>
        <v/>
      </c>
      <c r="AS86" s="129">
        <f>IF(AD86&lt;=8,AE86,"")</f>
        <v/>
      </c>
      <c r="AT86" s="130">
        <f>"Ⓖ "&amp;AE86</f>
        <v/>
      </c>
    </row>
    <row r="87" ht="15" customHeight="1">
      <c r="A87" s="73" t="n"/>
      <c r="B87" s="73" t="n"/>
      <c r="C87" s="183" t="n"/>
      <c r="D87" s="10" t="n"/>
      <c r="E87" s="10" t="n"/>
      <c r="F87" s="10" t="n"/>
      <c r="G87" s="184" t="n"/>
      <c r="H87" s="75" t="n"/>
      <c r="I87" s="69" t="n"/>
      <c r="J87" s="99">
        <f>VLOOKUP(7,$AD$80:$AT$91,17,FALSE)</f>
        <v/>
      </c>
      <c r="K87" s="100">
        <f>L87+M87+N87</f>
        <v/>
      </c>
      <c r="L87" s="100">
        <f>VLOOKUP(7,$AD$80:$AN$91,3,FALSE)</f>
        <v/>
      </c>
      <c r="M87" s="100">
        <f>VLOOKUP(7,$AD$80:$AN$91,4,FALSE)</f>
        <v/>
      </c>
      <c r="N87" s="100">
        <f>VLOOKUP(7,$AD$80:$AN$91,5,FALSE)</f>
        <v/>
      </c>
      <c r="O87" s="100">
        <f>VLOOKUP(7,$AD$80:$AN$91,6,FALSE) &amp; " - " &amp; VLOOKUP(7,$AD$80:$AN$91,7,FALSE)</f>
        <v/>
      </c>
      <c r="P87" s="101">
        <f>L87*3+M87</f>
        <v/>
      </c>
      <c r="R87" s="123">
        <f>DATE(2026,12,4)+TIME(4,0,0)+gmt_delta</f>
        <v/>
      </c>
      <c r="S87" s="127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>
        <f t="array" ref="T87">IF(OR(S87="",S87="draw"),INDEX(T,89,lang),S87)</f>
        <v/>
      </c>
      <c r="AD87" s="123">
        <f>COUNTIF($AP$80:$AP$91,CONCATENATE("&gt;=",AP87))</f>
        <v/>
      </c>
      <c r="AE87" s="124">
        <f>J53</f>
        <v/>
      </c>
      <c r="AF87" s="123">
        <f>VLOOKUP($AE87,$AE$8:$AQ$78,2,FALSE)</f>
        <v/>
      </c>
      <c r="AG87" s="123">
        <f>VLOOKUP($AE87,$AE$8:$AQ$78,3,FALSE)</f>
        <v/>
      </c>
      <c r="AH87" s="123">
        <f>VLOOKUP($AE87,$AE$8:$AQ$78,4,FALSE)</f>
        <v/>
      </c>
      <c r="AI87" s="123">
        <f>VLOOKUP($AE87,$AE$8:$AQ$78,5,FALSE)</f>
        <v/>
      </c>
      <c r="AJ87" s="123">
        <f>VLOOKUP($AE87,$AE$8:$AQ$78,6,FALSE)</f>
        <v/>
      </c>
      <c r="AK87" s="123" t="inlineStr">
        <is>
          <t>3H</t>
        </is>
      </c>
      <c r="AL87" s="123">
        <f>VLOOKUP($AE87,$AE$8:$AQ$78,8,FALSE)</f>
        <v/>
      </c>
      <c r="AM87" s="123">
        <f>AL87-$AL$92</f>
        <v/>
      </c>
      <c r="AN87" s="123">
        <f>VLOOKUP($AE87,$AE$8:$AQ$78,10,FALSE)</f>
        <v/>
      </c>
      <c r="AP87" s="123">
        <f>AN87/AN92*10000+AM87/AM92*1000+AI87/AI92*100+IF(AQ87=0,ROW(),AQ87)/2000000</f>
        <v/>
      </c>
      <c r="AQ87" s="126">
        <f>VLOOKUP($AE87,$AE$8:$AQ$78,13,FALSE)</f>
        <v/>
      </c>
      <c r="AR87" s="125">
        <f>AR86&amp;IF(AD87&lt;=8,RIGHT(AK87,1),"")</f>
        <v/>
      </c>
      <c r="AS87" s="129">
        <f>IF(AD87&lt;=8,AE87,"")</f>
        <v/>
      </c>
      <c r="AT87" s="130">
        <f>"Ⓗ "&amp;AE87</f>
        <v/>
      </c>
    </row>
    <row r="88" ht="15" customHeight="1">
      <c r="A88" s="73" t="n"/>
      <c r="B88" s="73" t="n"/>
      <c r="C88" s="176" t="n"/>
      <c r="D88" s="177" t="n"/>
      <c r="E88" s="177" t="n"/>
      <c r="F88" s="177" t="n"/>
      <c r="G88" s="178" t="n"/>
      <c r="H88" s="75" t="n"/>
      <c r="I88" s="69" t="n"/>
      <c r="J88" s="99">
        <f>VLOOKUP(8,$AD$80:$AT$91,17,FALSE)</f>
        <v/>
      </c>
      <c r="K88" s="100">
        <f>L88+M88+N88</f>
        <v/>
      </c>
      <c r="L88" s="100">
        <f>VLOOKUP(8,$AD$80:$AN$91,3,FALSE)</f>
        <v/>
      </c>
      <c r="M88" s="100">
        <f>VLOOKUP(8,$AD$80:$AN$91,4,FALSE)</f>
        <v/>
      </c>
      <c r="N88" s="100">
        <f>VLOOKUP(8,$AD$80:$AN$91,5,FALSE)</f>
        <v/>
      </c>
      <c r="O88" s="100">
        <f>VLOOKUP(8,$AD$80:$AN$91,6,FALSE) &amp; " - " &amp; VLOOKUP(8,$AD$80:$AN$91,7,FALSE)</f>
        <v/>
      </c>
      <c r="P88" s="101">
        <f>L88*3+M88</f>
        <v/>
      </c>
      <c r="R88" s="123">
        <f>DATE(2026,12,5)+TIME(4,0,0)+gmt_delta</f>
        <v/>
      </c>
      <c r="S88" s="127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>
        <f t="array" ref="T88">IF(OR(S88="",S88="draw"),INDEX(T,90,lang),S88)</f>
        <v/>
      </c>
      <c r="AD88" s="123">
        <f>COUNTIF($AP$80:$AP$91,CONCATENATE("&gt;=",AP88))</f>
        <v/>
      </c>
      <c r="AE88" s="124">
        <f>J59</f>
        <v/>
      </c>
      <c r="AF88" s="123">
        <f>VLOOKUP($AE88,$AE$8:$AQ$78,2,FALSE)</f>
        <v/>
      </c>
      <c r="AG88" s="123">
        <f>VLOOKUP($AE88,$AE$8:$AQ$78,3,FALSE)</f>
        <v/>
      </c>
      <c r="AH88" s="123">
        <f>VLOOKUP($AE88,$AE$8:$AQ$78,4,FALSE)</f>
        <v/>
      </c>
      <c r="AI88" s="123">
        <f>VLOOKUP($AE88,$AE$8:$AQ$78,5,FALSE)</f>
        <v/>
      </c>
      <c r="AJ88" s="123">
        <f>VLOOKUP($AE88,$AE$8:$AQ$78,6,FALSE)</f>
        <v/>
      </c>
      <c r="AK88" s="123" t="inlineStr">
        <is>
          <t>3I</t>
        </is>
      </c>
      <c r="AL88" s="123">
        <f>VLOOKUP($AE88,$AE$8:$AQ$78,8,FALSE)</f>
        <v/>
      </c>
      <c r="AM88" s="123">
        <f>AL88-$AL$92</f>
        <v/>
      </c>
      <c r="AN88" s="123">
        <f>VLOOKUP($AE88,$AE$8:$AQ$78,10,FALSE)</f>
        <v/>
      </c>
      <c r="AP88" s="123">
        <f>AN88/AN92*10000+AM88/AM92*1000+AI88/AI92*100+IF(AQ88=0,ROW(),AQ88)/2000000</f>
        <v/>
      </c>
      <c r="AQ88" s="126">
        <f>VLOOKUP($AE88,$AE$8:$AQ$78,13,FALSE)</f>
        <v/>
      </c>
      <c r="AR88" s="125">
        <f>AR87&amp;IF(AD88&lt;=8,RIGHT(AK88,1),"")</f>
        <v/>
      </c>
      <c r="AS88" s="129">
        <f>IF(AD88&lt;=8,AE88,"")</f>
        <v/>
      </c>
      <c r="AT88" s="130">
        <f>"Ⓘ "&amp;AE88</f>
        <v/>
      </c>
    </row>
    <row r="89" ht="15" customHeight="1">
      <c r="A89" s="73" t="n"/>
      <c r="B89" s="73" t="n"/>
      <c r="C89" s="73" t="n"/>
      <c r="D89" s="73" t="n"/>
      <c r="E89" s="74" t="n"/>
      <c r="F89" s="71" t="n"/>
      <c r="G89" s="71" t="n"/>
      <c r="H89" s="75" t="n"/>
      <c r="I89" s="69" t="n"/>
      <c r="J89" s="102">
        <f>VLOOKUP(9,$AD$80:$AT$91,17,FALSE)</f>
        <v/>
      </c>
      <c r="K89" s="103">
        <f>L89+M89+N89</f>
        <v/>
      </c>
      <c r="L89" s="103">
        <f>VLOOKUP(9,$AD$80:$AN$91,3,FALSE)</f>
        <v/>
      </c>
      <c r="M89" s="103">
        <f>VLOOKUP(9,$AD$80:$AN$91,4,FALSE)</f>
        <v/>
      </c>
      <c r="N89" s="103">
        <f>VLOOKUP(9,$AD$80:$AN$91,5,FALSE)</f>
        <v/>
      </c>
      <c r="O89" s="103">
        <f>VLOOKUP(9,$AD$80:$AN$91,6,FALSE) &amp; " - " &amp; VLOOKUP(9,$AD$80:$AN$91,7,FALSE)</f>
        <v/>
      </c>
      <c r="P89" s="104">
        <f>L89*3+M89</f>
        <v/>
      </c>
      <c r="R89" s="123">
        <f>DATE(2026,12,5)+TIME(8,0,0)+gmt_delta</f>
        <v/>
      </c>
      <c r="S89" s="127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>
        <f t="array" ref="T89">IF(OR(S89="",S89="draw"),INDEX(T,91,lang),S89)</f>
        <v/>
      </c>
      <c r="AD89" s="123">
        <f>COUNTIF($AP$80:$AP$91,CONCATENATE("&gt;=",AP89))</f>
        <v/>
      </c>
      <c r="AE89" s="124">
        <f>J65</f>
        <v/>
      </c>
      <c r="AF89" s="123">
        <f>VLOOKUP($AE89,$AE$8:$AQ$78,2,FALSE)</f>
        <v/>
      </c>
      <c r="AG89" s="123">
        <f>VLOOKUP($AE89,$AE$8:$AQ$78,3,FALSE)</f>
        <v/>
      </c>
      <c r="AH89" s="123">
        <f>VLOOKUP($AE89,$AE$8:$AQ$78,4,FALSE)</f>
        <v/>
      </c>
      <c r="AI89" s="123">
        <f>VLOOKUP($AE89,$AE$8:$AQ$78,5,FALSE)</f>
        <v/>
      </c>
      <c r="AJ89" s="123">
        <f>VLOOKUP($AE89,$AE$8:$AQ$78,6,FALSE)</f>
        <v/>
      </c>
      <c r="AK89" s="123" t="inlineStr">
        <is>
          <t>3J</t>
        </is>
      </c>
      <c r="AL89" s="123">
        <f>VLOOKUP($AE89,$AE$8:$AQ$78,8,FALSE)</f>
        <v/>
      </c>
      <c r="AM89" s="123">
        <f>AL89-$AL$92</f>
        <v/>
      </c>
      <c r="AN89" s="123">
        <f>VLOOKUP($AE89,$AE$8:$AQ$78,10,FALSE)</f>
        <v/>
      </c>
      <c r="AP89" s="123">
        <f>AN89/AN92*10000+AM89/AM92*1000+AI89/AI92*100+IF(AQ89=0,ROW(),AQ89)/2000000</f>
        <v/>
      </c>
      <c r="AQ89" s="126">
        <f>VLOOKUP($AE89,$AE$8:$AQ$78,13,FALSE)</f>
        <v/>
      </c>
      <c r="AR89" s="125">
        <f>AR88&amp;IF(AD89&lt;=8,RIGHT(AK89,1),"")</f>
        <v/>
      </c>
      <c r="AS89" s="129">
        <f>IF(AD89&lt;=8,AE89,"")</f>
        <v/>
      </c>
      <c r="AT89" s="130">
        <f>"Ⓙ "&amp;AE89</f>
        <v/>
      </c>
    </row>
    <row r="90" ht="15" customHeight="1">
      <c r="A90" s="73" t="n"/>
      <c r="B90" s="73" t="n"/>
      <c r="C90" s="73" t="n"/>
      <c r="D90" s="73" t="n"/>
      <c r="E90" s="74" t="n"/>
      <c r="F90" s="71" t="n"/>
      <c r="G90" s="71" t="n"/>
      <c r="H90" s="75" t="n"/>
      <c r="I90" s="69" t="n"/>
      <c r="J90" s="102">
        <f>VLOOKUP(10,$AD$80:$AT$91,17,FALSE)</f>
        <v/>
      </c>
      <c r="K90" s="103">
        <f>L90+M90+N90</f>
        <v/>
      </c>
      <c r="L90" s="103">
        <f>VLOOKUP(10,$AD$80:$AN$91,3,FALSE)</f>
        <v/>
      </c>
      <c r="M90" s="103">
        <f>VLOOKUP(10,$AD$80:$AN$91,4,FALSE)</f>
        <v/>
      </c>
      <c r="N90" s="103">
        <f>VLOOKUP(10,$AD$80:$AN$91,5,FALSE)</f>
        <v/>
      </c>
      <c r="O90" s="103">
        <f>VLOOKUP(10,$AD$80:$AN$91,6,FALSE) &amp; " - " &amp; VLOOKUP(10,$AD$80:$AN$91,7,FALSE)</f>
        <v/>
      </c>
      <c r="P90" s="104">
        <f>L90*3+M90</f>
        <v/>
      </c>
      <c r="R90" s="123">
        <f>DATE(2026,12,6)+TIME(4,0,0)+gmt_delta</f>
        <v/>
      </c>
      <c r="S90" s="127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>
        <f t="array" ref="T90">IF(OR(S90="",S90="draw"),INDEX(T,92,lang),S90)</f>
        <v/>
      </c>
      <c r="AD90" s="123">
        <f>COUNTIF($AP$80:$AP$91,CONCATENATE("&gt;=",AP90))</f>
        <v/>
      </c>
      <c r="AE90" s="124">
        <f>J71</f>
        <v/>
      </c>
      <c r="AF90" s="123">
        <f>VLOOKUP($AE90,$AE$8:$AQ$78,2,FALSE)</f>
        <v/>
      </c>
      <c r="AG90" s="123">
        <f>VLOOKUP($AE90,$AE$8:$AQ$78,3,FALSE)</f>
        <v/>
      </c>
      <c r="AH90" s="123">
        <f>VLOOKUP($AE90,$AE$8:$AQ$78,4,FALSE)</f>
        <v/>
      </c>
      <c r="AI90" s="123">
        <f>VLOOKUP($AE90,$AE$8:$AQ$78,5,FALSE)</f>
        <v/>
      </c>
      <c r="AJ90" s="123">
        <f>VLOOKUP($AE90,$AE$8:$AQ$78,6,FALSE)</f>
        <v/>
      </c>
      <c r="AK90" s="123" t="inlineStr">
        <is>
          <t>3K</t>
        </is>
      </c>
      <c r="AL90" s="123">
        <f>VLOOKUP($AE90,$AE$8:$AQ$78,8,FALSE)</f>
        <v/>
      </c>
      <c r="AM90" s="123">
        <f>AL90-$AL$92</f>
        <v/>
      </c>
      <c r="AN90" s="123">
        <f>VLOOKUP($AE90,$AE$8:$AQ$78,10,FALSE)</f>
        <v/>
      </c>
      <c r="AP90" s="123">
        <f>AN90/AN92*10000+AM90/AM92*1000+AI90/AI92*100+IF(AQ90=0,ROW(),AQ90)/2000000</f>
        <v/>
      </c>
      <c r="AQ90" s="126">
        <f>VLOOKUP($AE90,$AE$8:$AQ$78,13,FALSE)</f>
        <v/>
      </c>
      <c r="AR90" s="125">
        <f>AR89&amp;IF(AD90&lt;=8,RIGHT(AK90,1),"")</f>
        <v/>
      </c>
      <c r="AS90" s="129">
        <f>IF(AD90&lt;=8,AE90,"")</f>
        <v/>
      </c>
      <c r="AT90" s="130">
        <f>"Ⓚ "&amp;AE90</f>
        <v/>
      </c>
    </row>
    <row r="91" ht="15" customHeight="1">
      <c r="A91" s="73" t="n"/>
      <c r="B91" s="73" t="n"/>
      <c r="C91" s="73" t="n"/>
      <c r="D91" s="73" t="n"/>
      <c r="E91" s="74" t="n"/>
      <c r="F91" s="71" t="n"/>
      <c r="G91" s="71" t="n"/>
      <c r="H91" s="75" t="n"/>
      <c r="I91" s="69" t="n"/>
      <c r="J91" s="102">
        <f>VLOOKUP(11,$AD$80:$AT$91,17,FALSE)</f>
        <v/>
      </c>
      <c r="K91" s="103">
        <f>L91+M91+N91</f>
        <v/>
      </c>
      <c r="L91" s="103">
        <f>VLOOKUP(11,$AD$80:$AN$91,3,FALSE)</f>
        <v/>
      </c>
      <c r="M91" s="103">
        <f>VLOOKUP(11,$AD$80:$AN$91,4,FALSE)</f>
        <v/>
      </c>
      <c r="N91" s="103">
        <f>VLOOKUP(11,$AD$80:$AN$91,5,FALSE)</f>
        <v/>
      </c>
      <c r="O91" s="103">
        <f>VLOOKUP(11,$AD$80:$AN$91,6,FALSE) &amp; " - " &amp; VLOOKUP(11,$AD$80:$AN$91,7,FALSE)</f>
        <v/>
      </c>
      <c r="P91" s="104">
        <f>L91*3+M91</f>
        <v/>
      </c>
      <c r="R91" s="123">
        <f>DATE(2026,12,6)+TIME(8,0,0)+gmt_delta</f>
        <v/>
      </c>
      <c r="S91" s="127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>
        <f t="array" ref="T91">IF(OR(S91="",S91="draw"),INDEX(T,93,lang),S91)</f>
        <v/>
      </c>
      <c r="AD91" s="123">
        <f>COUNTIF($AP$80:$AP$91,CONCATENATE("&gt;=",AP91))</f>
        <v/>
      </c>
      <c r="AE91" s="124">
        <f>J77</f>
        <v/>
      </c>
      <c r="AF91" s="123">
        <f>VLOOKUP($AE91,$AE$8:$AQ$78,2,FALSE)</f>
        <v/>
      </c>
      <c r="AG91" s="123">
        <f>VLOOKUP($AE91,$AE$8:$AQ$78,3,FALSE)</f>
        <v/>
      </c>
      <c r="AH91" s="123">
        <f>VLOOKUP($AE91,$AE$8:$AQ$78,4,FALSE)</f>
        <v/>
      </c>
      <c r="AI91" s="123">
        <f>VLOOKUP($AE91,$AE$8:$AQ$78,5,FALSE)</f>
        <v/>
      </c>
      <c r="AJ91" s="123">
        <f>VLOOKUP($AE91,$AE$8:$AQ$78,6,FALSE)</f>
        <v/>
      </c>
      <c r="AK91" s="123" t="inlineStr">
        <is>
          <t>3L</t>
        </is>
      </c>
      <c r="AL91" s="123">
        <f>VLOOKUP($AE91,$AE$8:$AQ$78,8,FALSE)</f>
        <v/>
      </c>
      <c r="AM91" s="123">
        <f>AL91-$AL$92</f>
        <v/>
      </c>
      <c r="AN91" s="123">
        <f>VLOOKUP($AE91,$AE$8:$AQ$78,10,FALSE)</f>
        <v/>
      </c>
      <c r="AP91" s="123">
        <f>AN91/AN92*10000+AM91/AM92*1000+AI91/AI92*100+IF(AQ91=0,ROW(),AQ91)/2000000</f>
        <v/>
      </c>
      <c r="AQ91" s="126">
        <f>VLOOKUP($AE91,$AE$8:$AQ$78,13,FALSE)</f>
        <v/>
      </c>
      <c r="AR91" s="125">
        <f>AR90&amp;IF(AD91&lt;=8,RIGHT(AK91,1),"")</f>
        <v/>
      </c>
      <c r="AS91" s="129">
        <f>IF(AD91&lt;=8,AE91,"")</f>
        <v/>
      </c>
      <c r="AT91" s="130">
        <f>"Ⓛ "&amp;AE91</f>
        <v/>
      </c>
    </row>
    <row r="92" ht="15" customHeight="1">
      <c r="A92" s="73" t="n"/>
      <c r="B92" s="73" t="n"/>
      <c r="C92" s="73" t="n"/>
      <c r="D92" s="73" t="n"/>
      <c r="E92" s="74" t="n"/>
      <c r="F92" s="71" t="n"/>
      <c r="G92" s="71" t="n"/>
      <c r="H92" s="75" t="n"/>
      <c r="I92" s="69" t="n"/>
      <c r="J92" s="105">
        <f>VLOOKUP(12,$AD$80:$AT$91,17,FALSE)</f>
        <v/>
      </c>
      <c r="K92" s="106">
        <f>L92+M92+N92</f>
        <v/>
      </c>
      <c r="L92" s="106">
        <f>VLOOKUP(12,$AD$80:$AN$91,3,FALSE)</f>
        <v/>
      </c>
      <c r="M92" s="106">
        <f>VLOOKUP(12,$AD$80:$AN$91,4,FALSE)</f>
        <v/>
      </c>
      <c r="N92" s="106">
        <f>VLOOKUP(12,$AD$80:$AN$91,5,FALSE)</f>
        <v/>
      </c>
      <c r="O92" s="106">
        <f>VLOOKUP(12,$AD$80:$AN$91,6,FALSE) &amp; " - " &amp; VLOOKUP(12,$AD$80:$AN$91,7,FALSE)</f>
        <v/>
      </c>
      <c r="P92" s="107">
        <f>L92*3+M92</f>
        <v/>
      </c>
      <c r="AF92" s="123">
        <f>MAX(AF80:AF91)+1</f>
        <v/>
      </c>
      <c r="AG92" s="123">
        <f>MAX(AG80:AG91)+1</f>
        <v/>
      </c>
      <c r="AH92" s="123">
        <f>MAX(AH80:AH91)+1</f>
        <v/>
      </c>
      <c r="AI92" s="123">
        <f>MAX(AI80:AI91)+1</f>
        <v/>
      </c>
      <c r="AJ92" s="123">
        <f>MAX(AJ80:AJ91)+1</f>
        <v/>
      </c>
      <c r="AL92" s="123">
        <f>MIN(AL80:AL91)</f>
        <v/>
      </c>
      <c r="AM92" s="123">
        <f>MAX(AM80:AM91)+1</f>
        <v/>
      </c>
      <c r="AN92" s="123">
        <f>MAX(AN80:AN91)+1</f>
        <v/>
      </c>
      <c r="AS92" s="126">
        <f>SUM(K9:K78)=144</f>
        <v/>
      </c>
    </row>
    <row r="93">
      <c r="A93" s="73" t="n"/>
      <c r="B93" s="73" t="n"/>
      <c r="C93" s="73" t="n"/>
      <c r="D93" s="73" t="n"/>
      <c r="E93" s="74" t="n"/>
      <c r="F93" s="71" t="n"/>
      <c r="G93" s="71" t="n"/>
      <c r="H93" s="75" t="n"/>
      <c r="I93" s="69" t="n"/>
      <c r="J93" s="72" t="n"/>
      <c r="K93" s="70" t="n"/>
      <c r="L93" s="70" t="n"/>
      <c r="M93" s="70" t="n"/>
      <c r="N93" s="70" t="n"/>
      <c r="O93" s="70" t="n"/>
      <c r="P93" s="70" t="n"/>
    </row>
    <row r="95">
      <c r="R95" s="123">
        <f>DATE(2026,12,9)+TIME(8,0,0)+gmt_delta</f>
        <v/>
      </c>
      <c r="S95" s="127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>
        <f t="array" ref="T95">IF(OR(S95="",S95="draw"),INDEX(T,94,lang),S95)</f>
        <v/>
      </c>
    </row>
    <row r="96" ht="12.75" customHeight="1">
      <c r="R96" s="123">
        <f>DATE(2026,12,9)+TIME(4,0,0)+gmt_delta</f>
        <v/>
      </c>
      <c r="S96" s="127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>
        <f t="array" ref="T96">IF(OR(S96="",S96="draw"),INDEX(T,95,lang),S96)</f>
        <v/>
      </c>
    </row>
    <row r="97" ht="12.75" customHeight="1">
      <c r="R97" s="123">
        <f>DATE(2026,12,10)+TIME(8,0,0)+gmt_delta</f>
        <v/>
      </c>
      <c r="S97" s="127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>
        <f t="array" ref="T97">IF(OR(S97="",S97="draw"),INDEX(T,96,lang),S97)</f>
        <v/>
      </c>
    </row>
    <row r="98">
      <c r="R98" s="123">
        <f>DATE(2026,12,10)+TIME(4,0,0)+gmt_delta</f>
        <v/>
      </c>
      <c r="S98" s="127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>
        <f t="array" ref="T98">IF(OR(S98="",S98="draw"),INDEX(T,97,lang),S98)</f>
        <v/>
      </c>
    </row>
    <row r="102">
      <c r="R102" s="123">
        <f>DATE(2026,12,13)+TIME(8,0,0)+gmt_delta</f>
        <v/>
      </c>
      <c r="S102" s="127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>
        <f t="array" ref="T102">IF(OR(S102="",S102="draw"),INDEX(T,98,lang),S102)</f>
        <v/>
      </c>
      <c r="U102" s="123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>
        <f t="array" ref="AC102">IF(OR(U102="",U102="draw"),INDEX(T,100,lang),U102)</f>
        <v/>
      </c>
    </row>
    <row r="103">
      <c r="R103" s="123">
        <f>DATE(2026,12,14)+TIME(8,0,0)+gmt_delta</f>
        <v/>
      </c>
      <c r="S103" s="127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>
        <f t="array" ref="T103">IF(OR(S103="",S103="draw"),INDEX(T,99,lang),S103)</f>
        <v/>
      </c>
      <c r="U103" s="123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>
        <f t="array" ref="AC103">IF(OR(U103="",U103="draw"),INDEX(T,101,lang),U103)</f>
        <v/>
      </c>
    </row>
    <row r="107">
      <c r="R107" s="123">
        <f>DATE(2026,12,17)+TIME(8,0,0)+gmt_delta</f>
        <v/>
      </c>
      <c r="T107" s="127">
        <f>IF(OR(#REF!="",#REF!=""),"",IF(#REF!&gt;#REF!,#REF!,IF(#REF!&lt;#REF!,#REF!,IF(OR(#REF!="",#REF!=""),"",IF(#REF!&gt;#REF!,#REF!,IF(#REF!&lt;#REF!,#REF!,IF(OR(#REF!="",#REF!=""),"",IF(#REF!&gt;#REF!,#REF!,IF(#REF!&lt;#REF!,#REF!,"")))))))))</f>
        <v/>
      </c>
    </row>
    <row r="111">
      <c r="R111" s="123">
        <f>DATE(2026,12,18)+TIME(8,0,0)+gmt_delta</f>
        <v/>
      </c>
      <c r="S111" s="127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>
        <f>S111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w23KnM8csnTioq5H8upCA==" formatRows="1" sort="1" spinCount="100000" hashValue="7nWuIQAsd0NKRlhwUK3tOeNHpTch5B5FULy2gxNNaIdJM5RfhFSMzPcx55y+pmM3d73guUy+p5Y+SvIjJZQRaA=="/>
  <mergeCells count="45">
    <mergeCell ref="BK46:BK47"/>
    <mergeCell ref="O3:P3"/>
    <mergeCell ref="BK30:BK31"/>
    <mergeCell ref="BR44:BR45"/>
    <mergeCell ref="BY16:BY17"/>
    <mergeCell ref="BK26:BK27"/>
    <mergeCell ref="BK66:BK67"/>
    <mergeCell ref="BK42:BK43"/>
    <mergeCell ref="A5:H6"/>
    <mergeCell ref="BR28:BR29"/>
    <mergeCell ref="CF6:CJ7"/>
    <mergeCell ref="BR36:BR37"/>
    <mergeCell ref="BK62:BK63"/>
    <mergeCell ref="BR52:BR53"/>
    <mergeCell ref="BR6:BV7"/>
    <mergeCell ref="BY32:BY33"/>
    <mergeCell ref="BK6:BO7"/>
    <mergeCell ref="BK18:BK19"/>
    <mergeCell ref="BK58:BK59"/>
    <mergeCell ref="BK14:BK15"/>
    <mergeCell ref="A1:P1"/>
    <mergeCell ref="BK54:BK55"/>
    <mergeCell ref="CE68:CJ69"/>
    <mergeCell ref="CM33:CQ34"/>
    <mergeCell ref="BK10:BK11"/>
    <mergeCell ref="CK68:CQ69"/>
    <mergeCell ref="BK38:BK39"/>
    <mergeCell ref="BY6:CC7"/>
    <mergeCell ref="BY64:BY65"/>
    <mergeCell ref="CM37:CM38"/>
    <mergeCell ref="BR12:BR13"/>
    <mergeCell ref="BR68:BR69"/>
    <mergeCell ref="CF23:CF24"/>
    <mergeCell ref="C83:G88"/>
    <mergeCell ref="BK50:BK51"/>
    <mergeCell ref="CM44:CQ45"/>
    <mergeCell ref="BR20:BR21"/>
    <mergeCell ref="J5:P6"/>
    <mergeCell ref="BK22:BK23"/>
    <mergeCell ref="BY48:BY49"/>
    <mergeCell ref="BK34:BK35"/>
    <mergeCell ref="CM48:CM49"/>
    <mergeCell ref="BK70:BK71"/>
    <mergeCell ref="CF55:CF56"/>
    <mergeCell ref="BR60:BR61"/>
  </mergeCells>
  <conditionalFormatting sqref="A7:E78">
    <cfRule type="expression" priority="339" dxfId="219">
      <formula>IF($AA7=1,1,0)</formula>
    </cfRule>
  </conditionalFormatting>
  <conditionalFormatting sqref="E7:E78">
    <cfRule type="expression" priority="351" dxfId="218">
      <formula>IF(AND(AA7=1,AB7=0),1,0)</formula>
    </cfRule>
    <cfRule type="expression" priority="350" dxfId="217">
      <formula>IF(AND(AA7=0,AB7=0),1,0)</formula>
    </cfRule>
    <cfRule type="expression" priority="349" dxfId="214">
      <formula>IF(AND(AA7=1,AB7=1),1,0)</formula>
    </cfRule>
    <cfRule type="expression" priority="348" dxfId="213">
      <formula>IF(AND(AA7=0,AB7=1),1,0)</formula>
    </cfRule>
    <cfRule type="expression" priority="347" dxfId="216">
      <formula>IF(AND(AA7=1,AB7=-1),1,0)</formula>
    </cfRule>
    <cfRule type="expression" priority="346" dxfId="6">
      <formula>IF(AND(AA7=0,AB7=-1),1,0)</formula>
    </cfRule>
  </conditionalFormatting>
  <conditionalFormatting sqref="F7:F78">
    <cfRule type="expression" priority="354" dxfId="220" stopIfTrue="1">
      <formula>IF(AND($F7&gt;$G7,ISNUMBER($F7),ISNUMBER($G7)),1,0)</formula>
    </cfRule>
  </conditionalFormatting>
  <conditionalFormatting sqref="G7:G78">
    <cfRule type="expression" priority="355" dxfId="220" stopIfTrue="1">
      <formula>IF(AND($F7&lt;$G7,ISNUMBER($F7),ISNUMBER($G7)),1,0)</formula>
    </cfRule>
  </conditionalFormatting>
  <conditionalFormatting sqref="H7:H78">
    <cfRule type="expression" priority="352" dxfId="219">
      <formula>IF(AND(AA7=1,AB7=""),1,0)</formula>
    </cfRule>
    <cfRule type="expression" priority="345" dxfId="218">
      <formula>IF(AND(AA7=1,AB7=0),1,0)</formula>
    </cfRule>
    <cfRule type="expression" priority="344" dxfId="217">
      <formula>IF(AND(AA7=0,AB7=0),1,0)</formula>
    </cfRule>
    <cfRule type="expression" priority="343" dxfId="216">
      <formula>IF(AND(AA7=1,AB7=1),1,0)</formula>
    </cfRule>
    <cfRule type="expression" priority="342" dxfId="6">
      <formula>IF(AND(AA7=0,AB7=1),1,0)</formula>
    </cfRule>
    <cfRule type="expression" priority="341" dxfId="214">
      <formula>IF(AND(AA7=1,AB7=-1),1,0)</formula>
    </cfRule>
    <cfRule type="expression" priority="340" dxfId="213">
      <formula>IF(AND(AA7=0,AB7=-1),1,0)</formula>
    </cfRule>
  </conditionalFormatting>
  <conditionalFormatting sqref="J9:P9 J15:P15 J21:P21 J27:P27 J33:P33 J39:P39 J45:P45 J51:P51">
    <cfRule type="expression" priority="356" dxfId="196" stopIfTrue="1">
      <formula>IF(SUM($K9:$K12)=12,1,0)</formula>
    </cfRule>
  </conditionalFormatting>
  <conditionalFormatting sqref="J10:P10 J16:P16 J22:P22 J28:P28 J34:P34 J40:P40 J46:P46 J52:P52">
    <cfRule type="expression" priority="357" dxfId="195" stopIfTrue="1">
      <formula>IF(SUM($K9:$K12)=12,1,0)</formula>
    </cfRule>
  </conditionalFormatting>
  <conditionalFormatting sqref="J11:P11 J17:P17 J23:P23 J29:P29 J35:P35 J41:P41 J47:P47 J53:P53">
    <cfRule type="expression" priority="359" dxfId="193" stopIfTrue="1">
      <formula>IF(SUM($K9:$K12)=12,1,0)</formula>
    </cfRule>
  </conditionalFormatting>
  <conditionalFormatting sqref="J12:P12 J18:P18 J24:P24 J30:P30 J36:P36 J42:P42 J48:P48 J54:P55">
    <cfRule type="expression" priority="358" dxfId="193" stopIfTrue="1">
      <formula>IF(SUM($K9:$K12)=12,1,0)</formula>
    </cfRule>
  </conditionalFormatting>
  <conditionalFormatting sqref="J57:P57">
    <cfRule type="expression" priority="235" dxfId="196" stopIfTrue="1">
      <formula>IF(SUM($K57:$K60)=12,1,0)</formula>
    </cfRule>
  </conditionalFormatting>
  <conditionalFormatting sqref="J58:P58">
    <cfRule type="expression" priority="236" dxfId="195" stopIfTrue="1">
      <formula>IF(SUM($K57:$K60)=12,1,0)</formula>
    </cfRule>
  </conditionalFormatting>
  <conditionalFormatting sqref="J59:P59">
    <cfRule type="expression" priority="238" dxfId="193" stopIfTrue="1">
      <formula>IF(SUM($K57:$K60)=12,1,0)</formula>
    </cfRule>
  </conditionalFormatting>
  <conditionalFormatting sqref="J60:P61">
    <cfRule type="expression" priority="237" dxfId="193" stopIfTrue="1">
      <formula>IF(SUM($K57:$K60)=12,1,0)</formula>
    </cfRule>
  </conditionalFormatting>
  <conditionalFormatting sqref="J63:P63">
    <cfRule type="expression" priority="231" dxfId="196" stopIfTrue="1">
      <formula>IF(SUM($K63:$K66)=12,1,0)</formula>
    </cfRule>
  </conditionalFormatting>
  <conditionalFormatting sqref="J64:P64">
    <cfRule type="expression" priority="232" dxfId="195" stopIfTrue="1">
      <formula>IF(SUM($K63:$K66)=12,1,0)</formula>
    </cfRule>
  </conditionalFormatting>
  <conditionalFormatting sqref="J65:P65">
    <cfRule type="expression" priority="234" dxfId="193" stopIfTrue="1">
      <formula>IF(SUM($K63:$K66)=12,1,0)</formula>
    </cfRule>
  </conditionalFormatting>
  <conditionalFormatting sqref="J66:P67">
    <cfRule type="expression" priority="233" dxfId="193" stopIfTrue="1">
      <formula>IF(SUM($K63:$K66)=12,1,0)</formula>
    </cfRule>
  </conditionalFormatting>
  <conditionalFormatting sqref="J69:P69">
    <cfRule type="expression" priority="227" dxfId="196" stopIfTrue="1">
      <formula>IF(SUM($K69:$K72)=12,1,0)</formula>
    </cfRule>
  </conditionalFormatting>
  <conditionalFormatting sqref="J70:P70">
    <cfRule type="expression" priority="228" dxfId="195" stopIfTrue="1">
      <formula>IF(SUM($K69:$K72)=12,1,0)</formula>
    </cfRule>
  </conditionalFormatting>
  <conditionalFormatting sqref="J71:P71">
    <cfRule type="expression" priority="230" dxfId="193" stopIfTrue="1">
      <formula>IF(SUM($K69:$K72)=12,1,0)</formula>
    </cfRule>
  </conditionalFormatting>
  <conditionalFormatting sqref="J72:P73">
    <cfRule type="expression" priority="229" dxfId="193" stopIfTrue="1">
      <formula>IF(SUM($K69:$K72)=12,1,0)</formula>
    </cfRule>
  </conditionalFormatting>
  <conditionalFormatting sqref="J75:P75">
    <cfRule type="expression" priority="223" dxfId="196" stopIfTrue="1">
      <formula>IF(SUM($K75:$K78)=12,1,0)</formula>
    </cfRule>
  </conditionalFormatting>
  <conditionalFormatting sqref="J76:P76">
    <cfRule type="expression" priority="224" dxfId="195" stopIfTrue="1">
      <formula>IF(SUM($K75:$K78)=12,1,0)</formula>
    </cfRule>
  </conditionalFormatting>
  <conditionalFormatting sqref="J77:P77">
    <cfRule type="expression" priority="226" dxfId="193" stopIfTrue="1">
      <formula>IF(SUM($K75:$K78)=12,1,0)</formula>
    </cfRule>
  </conditionalFormatting>
  <conditionalFormatting sqref="J78:P79">
    <cfRule type="expression" priority="225" dxfId="193" stopIfTrue="1">
      <formula>IF(SUM($K75:$K78)=12,1,0)</formula>
    </cfRule>
  </conditionalFormatting>
  <conditionalFormatting sqref="BL10">
    <cfRule type="expression" priority="220" dxfId="5">
      <formula>IF(BP10&gt;BP11,1,0)</formula>
    </cfRule>
    <cfRule type="expression" priority="218" dxfId="6">
      <formula>IF(BP10&lt;BP11,1,0)</formula>
    </cfRule>
  </conditionalFormatting>
  <conditionalFormatting sqref="BL11">
    <cfRule type="expression" priority="219" dxfId="6">
      <formula>IF(BP10&gt;BP11,1,0)</formula>
    </cfRule>
    <cfRule type="expression" priority="217" dxfId="5">
      <formula>IF(BP10&lt;BP11,1,0)</formula>
    </cfRule>
  </conditionalFormatting>
  <conditionalFormatting sqref="BL14">
    <cfRule type="expression" priority="184" dxfId="5">
      <formula>IF(BP14&gt;BP15,1,0)</formula>
    </cfRule>
    <cfRule type="expression" priority="182" dxfId="6">
      <formula>IF(BP14&lt;BP15,1,0)</formula>
    </cfRule>
  </conditionalFormatting>
  <conditionalFormatting sqref="BL15">
    <cfRule type="expression" priority="181" dxfId="5">
      <formula>IF(BP14&lt;BP15,1,0)</formula>
    </cfRule>
    <cfRule type="expression" priority="183" dxfId="6">
      <formula>IF(BP14&gt;BP15,1,0)</formula>
    </cfRule>
  </conditionalFormatting>
  <conditionalFormatting sqref="BL18">
    <cfRule type="expression" priority="178" dxfId="5">
      <formula>IF(BP18&gt;BP19,1,0)</formula>
    </cfRule>
    <cfRule type="expression" priority="176" dxfId="6">
      <formula>IF(BP18&lt;BP19,1,0)</formula>
    </cfRule>
  </conditionalFormatting>
  <conditionalFormatting sqref="BL19">
    <cfRule type="expression" priority="177" dxfId="6">
      <formula>IF(BP18&gt;BP19,1,0)</formula>
    </cfRule>
    <cfRule type="expression" priority="175" dxfId="5">
      <formula>IF(BP18&lt;BP19,1,0)</formula>
    </cfRule>
  </conditionalFormatting>
  <conditionalFormatting sqref="BL22">
    <cfRule type="expression" priority="172" dxfId="5">
      <formula>IF(BP22&gt;BP23,1,0)</formula>
    </cfRule>
    <cfRule type="expression" priority="170" dxfId="6">
      <formula>IF(BP22&lt;BP23,1,0)</formula>
    </cfRule>
  </conditionalFormatting>
  <conditionalFormatting sqref="BL23">
    <cfRule type="expression" priority="171" dxfId="6">
      <formula>IF(BP22&gt;BP23,1,0)</formula>
    </cfRule>
    <cfRule type="expression" priority="169" dxfId="5">
      <formula>IF(BP22&lt;BP23,1,0)</formula>
    </cfRule>
  </conditionalFormatting>
  <conditionalFormatting sqref="BL26">
    <cfRule type="expression" priority="166" dxfId="5">
      <formula>IF(BP26&gt;BP27,1,0)</formula>
    </cfRule>
    <cfRule type="expression" priority="164" dxfId="6">
      <formula>IF(BP26&lt;BP27,1,0)</formula>
    </cfRule>
  </conditionalFormatting>
  <conditionalFormatting sqref="BL27">
    <cfRule type="expression" priority="165" dxfId="6">
      <formula>IF(BP26&gt;BP27,1,0)</formula>
    </cfRule>
    <cfRule type="expression" priority="163" dxfId="5">
      <formula>IF(BP26&lt;BP27,1,0)</formula>
    </cfRule>
  </conditionalFormatting>
  <conditionalFormatting sqref="BL30">
    <cfRule type="expression" priority="160" dxfId="5">
      <formula>IF(BP30&gt;BP31,1,0)</formula>
    </cfRule>
    <cfRule type="expression" priority="158" dxfId="6">
      <formula>IF(BP30&lt;BP31,1,0)</formula>
    </cfRule>
  </conditionalFormatting>
  <conditionalFormatting sqref="BL31">
    <cfRule type="expression" priority="159" dxfId="6">
      <formula>IF(BP30&gt;BP31,1,0)</formula>
    </cfRule>
    <cfRule type="expression" priority="157" dxfId="5">
      <formula>IF(BP30&lt;BP31,1,0)</formula>
    </cfRule>
  </conditionalFormatting>
  <conditionalFormatting sqref="BL34">
    <cfRule type="expression" priority="154" dxfId="5">
      <formula>IF(BP34&gt;BP35,1,0)</formula>
    </cfRule>
    <cfRule type="expression" priority="152" dxfId="6">
      <formula>IF(BP34&lt;BP35,1,0)</formula>
    </cfRule>
  </conditionalFormatting>
  <conditionalFormatting sqref="BL35">
    <cfRule type="expression" priority="153" dxfId="6">
      <formula>IF(BP34&gt;BP35,1,0)</formula>
    </cfRule>
    <cfRule type="expression" priority="151" dxfId="5">
      <formula>IF(BP34&lt;BP35,1,0)</formula>
    </cfRule>
  </conditionalFormatting>
  <conditionalFormatting sqref="BL38">
    <cfRule type="expression" priority="148" dxfId="5">
      <formula>IF(BP38&gt;BP39,1,0)</formula>
    </cfRule>
    <cfRule type="expression" priority="146" dxfId="6">
      <formula>IF(BP38&lt;BP39,1,0)</formula>
    </cfRule>
  </conditionalFormatting>
  <conditionalFormatting sqref="BL39">
    <cfRule type="expression" priority="147" dxfId="6">
      <formula>IF(BP38&gt;BP39,1,0)</formula>
    </cfRule>
    <cfRule type="expression" priority="145" dxfId="5">
      <formula>IF(BP38&lt;BP39,1,0)</formula>
    </cfRule>
  </conditionalFormatting>
  <conditionalFormatting sqref="BL42">
    <cfRule type="expression" priority="142" dxfId="5">
      <formula>IF(BP42&gt;BP43,1,0)</formula>
    </cfRule>
    <cfRule type="expression" priority="140" dxfId="6">
      <formula>IF(BP42&lt;BP43,1,0)</formula>
    </cfRule>
  </conditionalFormatting>
  <conditionalFormatting sqref="BL43">
    <cfRule type="expression" priority="141" dxfId="6">
      <formula>IF(BP42&gt;BP43,1,0)</formula>
    </cfRule>
    <cfRule type="expression" priority="139" dxfId="5">
      <formula>IF(BP42&lt;BP43,1,0)</formula>
    </cfRule>
  </conditionalFormatting>
  <conditionalFormatting sqref="BL46">
    <cfRule type="expression" priority="136" dxfId="5">
      <formula>IF(BP46&gt;BP47,1,0)</formula>
    </cfRule>
    <cfRule type="expression" priority="134" dxfId="6">
      <formula>IF(BP46&lt;BP47,1,0)</formula>
    </cfRule>
  </conditionalFormatting>
  <conditionalFormatting sqref="BL47">
    <cfRule type="expression" priority="135" dxfId="6">
      <formula>IF(BP46&gt;BP47,1,0)</formula>
    </cfRule>
    <cfRule type="expression" priority="133" dxfId="5">
      <formula>IF(BP46&lt;BP47,1,0)</formula>
    </cfRule>
  </conditionalFormatting>
  <conditionalFormatting sqref="BL50">
    <cfRule type="expression" priority="130" dxfId="5">
      <formula>IF(BP50&gt;BP51,1,0)</formula>
    </cfRule>
    <cfRule type="expression" priority="128" dxfId="6">
      <formula>IF(BP50&lt;BP51,1,0)</formula>
    </cfRule>
  </conditionalFormatting>
  <conditionalFormatting sqref="BL51">
    <cfRule type="expression" priority="129" dxfId="6">
      <formula>IF(BP50&gt;BP51,1,0)</formula>
    </cfRule>
    <cfRule type="expression" priority="127" dxfId="5">
      <formula>IF(BP50&lt;BP51,1,0)</formula>
    </cfRule>
  </conditionalFormatting>
  <conditionalFormatting sqref="BL54">
    <cfRule type="expression" priority="124" dxfId="5">
      <formula>IF(BP54&gt;BP55,1,0)</formula>
    </cfRule>
    <cfRule type="expression" priority="122" dxfId="6">
      <formula>IF(BP54&lt;BP55,1,0)</formula>
    </cfRule>
  </conditionalFormatting>
  <conditionalFormatting sqref="BL55">
    <cfRule type="expression" priority="123" dxfId="6">
      <formula>IF(BP54&gt;BP55,1,0)</formula>
    </cfRule>
    <cfRule type="expression" priority="121" dxfId="5">
      <formula>IF(BP54&lt;BP55,1,0)</formula>
    </cfRule>
  </conditionalFormatting>
  <conditionalFormatting sqref="BL58">
    <cfRule type="expression" priority="118" dxfId="5">
      <formula>IF(BP58&gt;BP59,1,0)</formula>
    </cfRule>
    <cfRule type="expression" priority="116" dxfId="6">
      <formula>IF(BP58&lt;BP59,1,0)</formula>
    </cfRule>
  </conditionalFormatting>
  <conditionalFormatting sqref="BL59">
    <cfRule type="expression" priority="115" dxfId="5">
      <formula>IF(BP58&lt;BP59,1,0)</formula>
    </cfRule>
    <cfRule type="expression" priority="117" dxfId="6">
      <formula>IF(BP58&gt;BP59,1,0)</formula>
    </cfRule>
  </conditionalFormatting>
  <conditionalFormatting sqref="BL62">
    <cfRule type="expression" priority="112" dxfId="5">
      <formula>IF(BP62&gt;BP63,1,0)</formula>
    </cfRule>
    <cfRule type="expression" priority="110" dxfId="6">
      <formula>IF(BP62&lt;BP63,1,0)</formula>
    </cfRule>
  </conditionalFormatting>
  <conditionalFormatting sqref="BL63">
    <cfRule type="expression" priority="111" dxfId="6">
      <formula>IF(BP62&gt;BP63,1,0)</formula>
    </cfRule>
    <cfRule type="expression" priority="109" dxfId="5">
      <formula>IF(BP62&lt;BP63,1,0)</formula>
    </cfRule>
  </conditionalFormatting>
  <conditionalFormatting sqref="BL66">
    <cfRule type="expression" priority="106" dxfId="5">
      <formula>IF(BP66&gt;BP67,1,0)</formula>
    </cfRule>
    <cfRule type="expression" priority="104" dxfId="6">
      <formula>IF(BP66&lt;BP67,1,0)</formula>
    </cfRule>
  </conditionalFormatting>
  <conditionalFormatting sqref="BL67">
    <cfRule type="expression" priority="103" dxfId="5">
      <formula>IF(BP66&lt;BP67,1,0)</formula>
    </cfRule>
    <cfRule type="expression" priority="105" dxfId="6">
      <formula>IF(BP66&gt;BP67,1,0)</formula>
    </cfRule>
  </conditionalFormatting>
  <conditionalFormatting sqref="BL70">
    <cfRule type="expression" priority="98" dxfId="6">
      <formula>IF(BP70&lt;BP71,1,0)</formula>
    </cfRule>
    <cfRule type="expression" priority="100" dxfId="5">
      <formula>IF(BP70&gt;BP71,1,0)</formula>
    </cfRule>
  </conditionalFormatting>
  <conditionalFormatting sqref="BL71">
    <cfRule type="expression" priority="97" dxfId="5">
      <formula>IF(BP70&lt;BP71,1,0)</formula>
    </cfRule>
    <cfRule type="expression" priority="99" dxfId="6">
      <formula>IF(BP70&gt;BP71,1,0)</formula>
    </cfRule>
  </conditionalFormatting>
  <conditionalFormatting sqref="BM10:BO10">
    <cfRule type="expression" priority="222" dxfId="1">
      <formula>IF(OR(BM10="",BM11=""),0,IF(BM10&gt;BM11,1,0))</formula>
    </cfRule>
  </conditionalFormatting>
  <conditionalFormatting sqref="BM11:BO11">
    <cfRule type="expression" priority="221" dxfId="1">
      <formula>IF(OR(BM10="",BM11=""),0,IF(BM10&lt;BM11,1,0))</formula>
    </cfRule>
  </conditionalFormatting>
  <conditionalFormatting sqref="BM14:BO14">
    <cfRule type="expression" priority="186" dxfId="1">
      <formula>IF(OR(BM14="",BM15=""),0,IF(BM14&gt;BM15,1,0))</formula>
    </cfRule>
  </conditionalFormatting>
  <conditionalFormatting sqref="BM15:BO15">
    <cfRule type="expression" priority="185" dxfId="1">
      <formula>IF(OR(BM14="",BM15=""),0,IF(BM14&lt;BM15,1,0))</formula>
    </cfRule>
  </conditionalFormatting>
  <conditionalFormatting sqref="BM18:BO18">
    <cfRule type="expression" priority="180" dxfId="1">
      <formula>IF(OR(BM18="",BM19=""),0,IF(BM18&gt;BM19,1,0))</formula>
    </cfRule>
  </conditionalFormatting>
  <conditionalFormatting sqref="BM19:BO19">
    <cfRule type="expression" priority="179" dxfId="1">
      <formula>IF(OR(BM18="",BM19=""),0,IF(BM18&lt;BM19,1,0))</formula>
    </cfRule>
  </conditionalFormatting>
  <conditionalFormatting sqref="BM22:BO22">
    <cfRule type="expression" priority="174" dxfId="1">
      <formula>IF(OR(BM22="",BM23=""),0,IF(BM22&gt;BM23,1,0))</formula>
    </cfRule>
  </conditionalFormatting>
  <conditionalFormatting sqref="BM23:BO23">
    <cfRule type="expression" priority="173" dxfId="1">
      <formula>IF(OR(BM22="",BM23=""),0,IF(BM22&lt;BM23,1,0))</formula>
    </cfRule>
  </conditionalFormatting>
  <conditionalFormatting sqref="BM26:BO26">
    <cfRule type="expression" priority="168" dxfId="1">
      <formula>IF(OR(BM26="",BM27=""),0,IF(BM26&gt;BM27,1,0))</formula>
    </cfRule>
  </conditionalFormatting>
  <conditionalFormatting sqref="BM27:BO27">
    <cfRule type="expression" priority="167" dxfId="1">
      <formula>IF(OR(BM26="",BM27=""),0,IF(BM26&lt;BM27,1,0))</formula>
    </cfRule>
  </conditionalFormatting>
  <conditionalFormatting sqref="BM30:BO30">
    <cfRule type="expression" priority="162" dxfId="1">
      <formula>IF(OR(BM30="",BM31=""),0,IF(BM30&gt;BM31,1,0))</formula>
    </cfRule>
  </conditionalFormatting>
  <conditionalFormatting sqref="BM31:BO31">
    <cfRule type="expression" priority="161" dxfId="1">
      <formula>IF(OR(BM30="",BM31=""),0,IF(BM30&lt;BM31,1,0))</formula>
    </cfRule>
  </conditionalFormatting>
  <conditionalFormatting sqref="BM34:BO34">
    <cfRule type="expression" priority="156" dxfId="1">
      <formula>IF(OR(BM34="",BM35=""),0,IF(BM34&gt;BM35,1,0))</formula>
    </cfRule>
  </conditionalFormatting>
  <conditionalFormatting sqref="BM35:BO35">
    <cfRule type="expression" priority="155" dxfId="1">
      <formula>IF(OR(BM34="",BM35=""),0,IF(BM34&lt;BM35,1,0))</formula>
    </cfRule>
  </conditionalFormatting>
  <conditionalFormatting sqref="BM38:BO38">
    <cfRule type="expression" priority="150" dxfId="1">
      <formula>IF(OR(BM38="",BM39=""),0,IF(BM38&gt;BM39,1,0))</formula>
    </cfRule>
  </conditionalFormatting>
  <conditionalFormatting sqref="BM39:BO39">
    <cfRule type="expression" priority="149" dxfId="1">
      <formula>IF(OR(BM38="",BM39=""),0,IF(BM38&lt;BM39,1,0))</formula>
    </cfRule>
  </conditionalFormatting>
  <conditionalFormatting sqref="BM42:BO42">
    <cfRule type="expression" priority="144" dxfId="1">
      <formula>IF(OR(BM42="",BM43=""),0,IF(BM42&gt;BM43,1,0))</formula>
    </cfRule>
  </conditionalFormatting>
  <conditionalFormatting sqref="BM43:BO43">
    <cfRule type="expression" priority="143" dxfId="1">
      <formula>IF(OR(BM42="",BM43=""),0,IF(BM42&lt;BM43,1,0))</formula>
    </cfRule>
  </conditionalFormatting>
  <conditionalFormatting sqref="BM46:BO46">
    <cfRule type="expression" priority="138" dxfId="1">
      <formula>IF(OR(BM46="",BM47=""),0,IF(BM46&gt;BM47,1,0))</formula>
    </cfRule>
  </conditionalFormatting>
  <conditionalFormatting sqref="BM47:BO47">
    <cfRule type="expression" priority="137" dxfId="1">
      <formula>IF(OR(BM46="",BM47=""),0,IF(BM46&lt;BM47,1,0))</formula>
    </cfRule>
  </conditionalFormatting>
  <conditionalFormatting sqref="BM50:BO50">
    <cfRule type="expression" priority="132" dxfId="1">
      <formula>IF(OR(BM50="",BM51=""),0,IF(BM50&gt;BM51,1,0))</formula>
    </cfRule>
  </conditionalFormatting>
  <conditionalFormatting sqref="BM51:BO51">
    <cfRule type="expression" priority="131" dxfId="1">
      <formula>IF(OR(BM50="",BM51=""),0,IF(BM50&lt;BM51,1,0))</formula>
    </cfRule>
  </conditionalFormatting>
  <conditionalFormatting sqref="BM54:BO54">
    <cfRule type="expression" priority="126" dxfId="1">
      <formula>IF(OR(BM54="",BM55=""),0,IF(BM54&gt;BM55,1,0))</formula>
    </cfRule>
  </conditionalFormatting>
  <conditionalFormatting sqref="BM55:BO55">
    <cfRule type="expression" priority="125" dxfId="1">
      <formula>IF(OR(BM54="",BM55=""),0,IF(BM54&lt;BM55,1,0))</formula>
    </cfRule>
  </conditionalFormatting>
  <conditionalFormatting sqref="BM58:BO58">
    <cfRule type="expression" priority="120" dxfId="1">
      <formula>IF(OR(BM58="",BM59=""),0,IF(BM58&gt;BM59,1,0))</formula>
    </cfRule>
  </conditionalFormatting>
  <conditionalFormatting sqref="BM59:BO59">
    <cfRule type="expression" priority="119" dxfId="1">
      <formula>IF(OR(BM58="",BM59=""),0,IF(BM58&lt;BM59,1,0))</formula>
    </cfRule>
  </conditionalFormatting>
  <conditionalFormatting sqref="BM62:BO62">
    <cfRule type="expression" priority="114" dxfId="1">
      <formula>IF(OR(BM62="",BM63=""),0,IF(BM62&gt;BM63,1,0))</formula>
    </cfRule>
  </conditionalFormatting>
  <conditionalFormatting sqref="BM63:BO63">
    <cfRule type="expression" priority="113" dxfId="1">
      <formula>IF(OR(BM62="",BM63=""),0,IF(BM62&lt;BM63,1,0))</formula>
    </cfRule>
  </conditionalFormatting>
  <conditionalFormatting sqref="BM66:BO66">
    <cfRule type="expression" priority="108" dxfId="1">
      <formula>IF(OR(BM66="",BM67=""),0,IF(BM66&gt;BM67,1,0))</formula>
    </cfRule>
  </conditionalFormatting>
  <conditionalFormatting sqref="BM67:BO67">
    <cfRule type="expression" priority="107" dxfId="1">
      <formula>IF(OR(BM66="",BM67=""),0,IF(BM66&lt;BM67,1,0))</formula>
    </cfRule>
  </conditionalFormatting>
  <conditionalFormatting sqref="BM70:BO70">
    <cfRule type="expression" priority="102" dxfId="1">
      <formula>IF(OR(BM70="",BM71=""),0,IF(BM70&gt;BM71,1,0))</formula>
    </cfRule>
  </conditionalFormatting>
  <conditionalFormatting sqref="BM71:BO71">
    <cfRule type="expression" priority="101" dxfId="1">
      <formula>IF(OR(BM70="",BM71=""),0,IF(BM70&lt;BM71,1,0))</formula>
    </cfRule>
  </conditionalFormatting>
  <conditionalFormatting sqref="BS12">
    <cfRule type="expression" priority="50" dxfId="6">
      <formula>IF(BW12&lt;BW13,1,0)</formula>
    </cfRule>
    <cfRule type="expression" priority="52" dxfId="5">
      <formula>IF(BW12&gt;BW13,1,0)</formula>
    </cfRule>
  </conditionalFormatting>
  <conditionalFormatting sqref="BS13">
    <cfRule type="expression" priority="49" dxfId="5">
      <formula>IF(BW12&lt;BW13,1,0)</formula>
    </cfRule>
    <cfRule type="expression" priority="51" dxfId="6">
      <formula>IF(BW12&gt;BW13,1,0)</formula>
    </cfRule>
  </conditionalFormatting>
  <conditionalFormatting sqref="BS20">
    <cfRule type="expression" priority="56" dxfId="6">
      <formula>IF(BW20&lt;BW21,1,0)</formula>
    </cfRule>
    <cfRule type="expression" priority="58" dxfId="5">
      <formula>IF(BW20&gt;BW21,1,0)</formula>
    </cfRule>
  </conditionalFormatting>
  <conditionalFormatting sqref="BS21">
    <cfRule type="expression" priority="55" dxfId="5">
      <formula>IF(BW20&lt;BW21,1,0)</formula>
    </cfRule>
    <cfRule type="expression" priority="57" dxfId="6">
      <formula>IF(BW20&gt;BW21,1,0)</formula>
    </cfRule>
  </conditionalFormatting>
  <conditionalFormatting sqref="BS28">
    <cfRule type="expression" priority="64" dxfId="5">
      <formula>IF(BW28&gt;BW29,1,0)</formula>
    </cfRule>
    <cfRule type="expression" priority="62" dxfId="6">
      <formula>IF(BW28&lt;BW29,1,0)</formula>
    </cfRule>
  </conditionalFormatting>
  <conditionalFormatting sqref="BS29">
    <cfRule type="expression" priority="61" dxfId="5">
      <formula>IF(BW28&lt;BW29,1,0)</formula>
    </cfRule>
    <cfRule type="expression" priority="63" dxfId="6">
      <formula>IF(BW28&gt;BW29,1,0)</formula>
    </cfRule>
  </conditionalFormatting>
  <conditionalFormatting sqref="BS36">
    <cfRule type="expression" priority="70" dxfId="5">
      <formula>IF(BW36&gt;BW37,1,0)</formula>
    </cfRule>
    <cfRule type="expression" priority="68" dxfId="6">
      <formula>IF(BW36&lt;BW37,1,0)</formula>
    </cfRule>
  </conditionalFormatting>
  <conditionalFormatting sqref="BS37">
    <cfRule type="expression" priority="69" dxfId="6">
      <formula>IF(BW36&gt;BW37,1,0)</formula>
    </cfRule>
    <cfRule type="expression" priority="67" dxfId="5">
      <formula>IF(BW36&lt;BW37,1,0)</formula>
    </cfRule>
  </conditionalFormatting>
  <conditionalFormatting sqref="BS44">
    <cfRule type="expression" priority="76" dxfId="5">
      <formula>IF(BW44&gt;BW45,1,0)</formula>
    </cfRule>
    <cfRule type="expression" priority="74" dxfId="6">
      <formula>IF(BW44&lt;BW45,1,0)</formula>
    </cfRule>
  </conditionalFormatting>
  <conditionalFormatting sqref="BS45">
    <cfRule type="expression" priority="73" dxfId="5">
      <formula>IF(BW44&lt;BW45,1,0)</formula>
    </cfRule>
    <cfRule type="expression" priority="75" dxfId="6">
      <formula>IF(BW44&gt;BW45,1,0)</formula>
    </cfRule>
  </conditionalFormatting>
  <conditionalFormatting sqref="BS52">
    <cfRule type="expression" priority="82" dxfId="5">
      <formula>IF(BW52&gt;BW53,1,0)</formula>
    </cfRule>
    <cfRule type="expression" priority="80" dxfId="6">
      <formula>IF(BW52&lt;BW53,1,0)</formula>
    </cfRule>
  </conditionalFormatting>
  <conditionalFormatting sqref="BS53">
    <cfRule type="expression" priority="81" dxfId="6">
      <formula>IF(BW52&gt;BW53,1,0)</formula>
    </cfRule>
    <cfRule type="expression" priority="79" dxfId="5">
      <formula>IF(BW52&lt;BW53,1,0)</formula>
    </cfRule>
  </conditionalFormatting>
  <conditionalFormatting sqref="BS60">
    <cfRule type="expression" priority="88" dxfId="5">
      <formula>IF(BW60&gt;BW61,1,0)</formula>
    </cfRule>
    <cfRule type="expression" priority="86" dxfId="6">
      <formula>IF(BW60&lt;BW61,1,0)</formula>
    </cfRule>
  </conditionalFormatting>
  <conditionalFormatting sqref="BS61">
    <cfRule type="expression" priority="85" dxfId="5">
      <formula>IF(BW60&lt;BW61,1,0)</formula>
    </cfRule>
    <cfRule type="expression" priority="87" dxfId="6">
      <formula>IF(BW60&gt;BW61,1,0)</formula>
    </cfRule>
  </conditionalFormatting>
  <conditionalFormatting sqref="BS68">
    <cfRule type="expression" priority="92" dxfId="6">
      <formula>IF(BW68&lt;BW69,1,0)</formula>
    </cfRule>
    <cfRule type="expression" priority="94" dxfId="5">
      <formula>IF(BW68&gt;BW69,1,0)</formula>
    </cfRule>
  </conditionalFormatting>
  <conditionalFormatting sqref="BS69">
    <cfRule type="expression" priority="91" dxfId="5">
      <formula>IF(BW68&lt;BW69,1,0)</formula>
    </cfRule>
    <cfRule type="expression" priority="93" dxfId="6">
      <formula>IF(BW68&gt;BW69,1,0)</formula>
    </cfRule>
  </conditionalFormatting>
  <conditionalFormatting sqref="BT12:BV12">
    <cfRule type="expression" priority="54" dxfId="1">
      <formula>IF(OR(BT12="",BT13=""),0,IF(BT12&gt;BT13,1,0))</formula>
    </cfRule>
  </conditionalFormatting>
  <conditionalFormatting sqref="BT13:BV13">
    <cfRule type="expression" priority="53" dxfId="1">
      <formula>IF(OR(BT12="",BT13=""),0,IF(BT12&lt;BT13,1,0))</formula>
    </cfRule>
  </conditionalFormatting>
  <conditionalFormatting sqref="BT20:BV20">
    <cfRule type="expression" priority="60" dxfId="1">
      <formula>IF(OR(BT20="",BT21=""),0,IF(BT20&gt;BT21,1,0))</formula>
    </cfRule>
  </conditionalFormatting>
  <conditionalFormatting sqref="BT21:BV21">
    <cfRule type="expression" priority="59" dxfId="1">
      <formula>IF(OR(BT20="",BT21=""),0,IF(BT20&lt;BT21,1,0))</formula>
    </cfRule>
  </conditionalFormatting>
  <conditionalFormatting sqref="BT28:BV28">
    <cfRule type="expression" priority="66" dxfId="1">
      <formula>IF(OR(BT28="",BT29=""),0,IF(BT28&gt;BT29,1,0))</formula>
    </cfRule>
  </conditionalFormatting>
  <conditionalFormatting sqref="BT29:BV29">
    <cfRule type="expression" priority="65" dxfId="1">
      <formula>IF(OR(BT28="",BT29=""),0,IF(BT28&lt;BT29,1,0))</formula>
    </cfRule>
  </conditionalFormatting>
  <conditionalFormatting sqref="BT36:BV36">
    <cfRule type="expression" priority="72" dxfId="1">
      <formula>IF(OR(BT36="",BT37=""),0,IF(BT36&gt;BT37,1,0))</formula>
    </cfRule>
  </conditionalFormatting>
  <conditionalFormatting sqref="BT37:BV37">
    <cfRule type="expression" priority="71" dxfId="1">
      <formula>IF(OR(BT36="",BT37=""),0,IF(BT36&lt;BT37,1,0))</formula>
    </cfRule>
  </conditionalFormatting>
  <conditionalFormatting sqref="BT44:BV44">
    <cfRule type="expression" priority="78" dxfId="1">
      <formula>IF(OR(BT44="",BT45=""),0,IF(BT44&gt;BT45,1,0))</formula>
    </cfRule>
  </conditionalFormatting>
  <conditionalFormatting sqref="BT45:BV45">
    <cfRule type="expression" priority="77" dxfId="1">
      <formula>IF(OR(BT44="",BT45=""),0,IF(BT44&lt;BT45,1,0))</formula>
    </cfRule>
  </conditionalFormatting>
  <conditionalFormatting sqref="BT52:BV52">
    <cfRule type="expression" priority="84" dxfId="1">
      <formula>IF(OR(BT52="",BT53=""),0,IF(BT52&gt;BT53,1,0))</formula>
    </cfRule>
  </conditionalFormatting>
  <conditionalFormatting sqref="BT53:BV53">
    <cfRule type="expression" priority="83" dxfId="1">
      <formula>IF(OR(BT52="",BT53=""),0,IF(BT52&lt;BT53,1,0))</formula>
    </cfRule>
  </conditionalFormatting>
  <conditionalFormatting sqref="BT60:BV60">
    <cfRule type="expression" priority="90" dxfId="1">
      <formula>IF(OR(BT60="",BT61=""),0,IF(BT60&gt;BT61,1,0))</formula>
    </cfRule>
  </conditionalFormatting>
  <conditionalFormatting sqref="BT61:BV61">
    <cfRule type="expression" priority="89" dxfId="1">
      <formula>IF(OR(BT60="",BT61=""),0,IF(BT60&lt;BT61,1,0))</formula>
    </cfRule>
  </conditionalFormatting>
  <conditionalFormatting sqref="BT68:BV68">
    <cfRule type="expression" priority="96" dxfId="1">
      <formula>IF(OR(BT68="",BT69=""),0,IF(BT68&gt;BT69,1,0))</formula>
    </cfRule>
  </conditionalFormatting>
  <conditionalFormatting sqref="BT69:BV69">
    <cfRule type="expression" priority="95" dxfId="1">
      <formula>IF(OR(BT68="",BT69=""),0,IF(BT68&lt;BT69,1,0))</formula>
    </cfRule>
  </conditionalFormatting>
  <conditionalFormatting sqref="BZ16">
    <cfRule type="expression" priority="46" dxfId="5">
      <formula>IF(CD16&gt;CD17,1,0)</formula>
    </cfRule>
    <cfRule type="expression" priority="44" dxfId="6">
      <formula>IF(CD16&lt;CD17,1,0)</formula>
    </cfRule>
  </conditionalFormatting>
  <conditionalFormatting sqref="BZ17">
    <cfRule type="expression" priority="45" dxfId="6">
      <formula>IF(CD16&gt;CD17,1,0)</formula>
    </cfRule>
    <cfRule type="expression" priority="43" dxfId="5">
      <formula>IF(CD16&lt;CD17,1,0)</formula>
    </cfRule>
  </conditionalFormatting>
  <conditionalFormatting sqref="BZ32">
    <cfRule type="expression" priority="40" dxfId="5">
      <formula>IF(CD32&gt;CD33,1,0)</formula>
    </cfRule>
    <cfRule type="expression" priority="38" dxfId="6">
      <formula>IF(CD32&lt;CD33,1,0)</formula>
    </cfRule>
  </conditionalFormatting>
  <conditionalFormatting sqref="BZ33">
    <cfRule type="expression" priority="39" dxfId="6">
      <formula>IF(CD32&gt;CD33,1,0)</formula>
    </cfRule>
    <cfRule type="expression" priority="37" dxfId="5">
      <formula>IF(CD32&lt;CD33,1,0)</formula>
    </cfRule>
  </conditionalFormatting>
  <conditionalFormatting sqref="BZ48">
    <cfRule type="expression" priority="34" dxfId="5">
      <formula>IF(CD48&gt;CD49,1,0)</formula>
    </cfRule>
    <cfRule type="expression" priority="32" dxfId="6">
      <formula>IF(CD48&lt;CD49,1,0)</formula>
    </cfRule>
  </conditionalFormatting>
  <conditionalFormatting sqref="BZ49">
    <cfRule type="expression" priority="31" dxfId="5">
      <formula>IF(CD48&lt;CD49,1,0)</formula>
    </cfRule>
    <cfRule type="expression" priority="33" dxfId="6">
      <formula>IF(CD48&gt;CD49,1,0)</formula>
    </cfRule>
  </conditionalFormatting>
  <conditionalFormatting sqref="BZ64">
    <cfRule type="expression" priority="26" dxfId="6">
      <formula>IF(CD64&lt;CD65,1,0)</formula>
    </cfRule>
    <cfRule type="expression" priority="28" dxfId="5">
      <formula>IF(CD64&gt;CD65,1,0)</formula>
    </cfRule>
  </conditionalFormatting>
  <conditionalFormatting sqref="BZ65">
    <cfRule type="expression" priority="27" dxfId="6">
      <formula>IF(CD64&gt;CD65,1,0)</formula>
    </cfRule>
    <cfRule type="expression" priority="25" dxfId="5">
      <formula>IF(CD64&lt;CD65,1,0)</formula>
    </cfRule>
  </conditionalFormatting>
  <conditionalFormatting sqref="CA16:CC16">
    <cfRule type="expression" priority="48" dxfId="1">
      <formula>IF(OR(CA16="",CA17=""),0,IF(CA16&gt;CA17,1,0))</formula>
    </cfRule>
  </conditionalFormatting>
  <conditionalFormatting sqref="CA17:CC17">
    <cfRule type="expression" priority="47" dxfId="1">
      <formula>IF(OR(CA16="",CA17=""),0,IF(CA16&lt;CA17,1,0))</formula>
    </cfRule>
  </conditionalFormatting>
  <conditionalFormatting sqref="CA32:CC32">
    <cfRule type="expression" priority="42" dxfId="1">
      <formula>IF(OR(CA32="",CA33=""),0,IF(CA32&gt;CA33,1,0))</formula>
    </cfRule>
  </conditionalFormatting>
  <conditionalFormatting sqref="CA33:CC33">
    <cfRule type="expression" priority="41" dxfId="1">
      <formula>IF(OR(CA32="",CA33=""),0,IF(CA32&lt;CA33,1,0))</formula>
    </cfRule>
  </conditionalFormatting>
  <conditionalFormatting sqref="CA48:CC48">
    <cfRule type="expression" priority="36" dxfId="1">
      <formula>IF(OR(CA48="",CA49=""),0,IF(CA48&gt;CA49,1,0))</formula>
    </cfRule>
  </conditionalFormatting>
  <conditionalFormatting sqref="CA49:CC49">
    <cfRule type="expression" priority="35" dxfId="1">
      <formula>IF(OR(CA48="",CA49=""),0,IF(CA48&lt;CA49,1,0))</formula>
    </cfRule>
  </conditionalFormatting>
  <conditionalFormatting sqref="CA64:CC64">
    <cfRule type="expression" priority="30" dxfId="1">
      <formula>IF(OR(CA64="",CA65=""),0,IF(CA64&gt;CA65,1,0))</formula>
    </cfRule>
  </conditionalFormatting>
  <conditionalFormatting sqref="CA65:CC65">
    <cfRule type="expression" priority="29" dxfId="1">
      <formula>IF(OR(CA64="",CA65=""),0,IF(CA64&lt;CA65,1,0))</formula>
    </cfRule>
  </conditionalFormatting>
  <conditionalFormatting sqref="CG23">
    <cfRule type="expression" priority="16" dxfId="5">
      <formula>IF(CK23&gt;CK24,1,0)</formula>
    </cfRule>
    <cfRule type="expression" priority="14" dxfId="6">
      <formula>IF(CK23&lt;CK24,1,0)</formula>
    </cfRule>
  </conditionalFormatting>
  <conditionalFormatting sqref="CG24">
    <cfRule type="expression" priority="13" dxfId="5">
      <formula>IF(CK23&lt;CK24,1,0)</formula>
    </cfRule>
    <cfRule type="expression" priority="15" dxfId="6">
      <formula>IF(CK23&gt;CK24,1,0)</formula>
    </cfRule>
  </conditionalFormatting>
  <conditionalFormatting sqref="CG55">
    <cfRule type="expression" priority="22" dxfId="5">
      <formula>IF(CK55&gt;CK56,1,0)</formula>
    </cfRule>
    <cfRule type="expression" priority="20" dxfId="6">
      <formula>IF(CK55&lt;CK56,1,0)</formula>
    </cfRule>
  </conditionalFormatting>
  <conditionalFormatting sqref="CG56">
    <cfRule type="expression" priority="21" dxfId="6">
      <formula>IF(CK55&gt;CK56,1,0)</formula>
    </cfRule>
    <cfRule type="expression" priority="19" dxfId="5">
      <formula>IF(CK55&lt;CK56,1,0)</formula>
    </cfRule>
  </conditionalFormatting>
  <conditionalFormatting sqref="CH23:CJ23">
    <cfRule type="expression" priority="18" dxfId="1">
      <formula>IF(OR(CH23="",CH24=""),0,IF(CH23&gt;CH24,1,0))</formula>
    </cfRule>
  </conditionalFormatting>
  <conditionalFormatting sqref="CH24:CJ24">
    <cfRule type="expression" priority="17" dxfId="1">
      <formula>IF(OR(CH23="",CH24=""),0,IF(CH23&lt;CH24,1,0))</formula>
    </cfRule>
  </conditionalFormatting>
  <conditionalFormatting sqref="CH55:CJ55">
    <cfRule type="expression" priority="24" dxfId="1">
      <formula>IF(OR(CH55="",CH56=""),0,IF(CH55&gt;CH56,1,0))</formula>
    </cfRule>
  </conditionalFormatting>
  <conditionalFormatting sqref="CH56:CJ56">
    <cfRule type="expression" priority="23" dxfId="1">
      <formula>IF(OR(CH55="",CH56=""),0,IF(CH55&lt;CH56,1,0))</formula>
    </cfRule>
  </conditionalFormatting>
  <conditionalFormatting sqref="CN37">
    <cfRule type="expression" priority="10" dxfId="5">
      <formula>IF(CR37&gt;CR38,1,0)</formula>
    </cfRule>
    <cfRule type="expression" priority="8" dxfId="6">
      <formula>IF(CR37&lt;CR38,1,0)</formula>
    </cfRule>
  </conditionalFormatting>
  <conditionalFormatting sqref="CN38">
    <cfRule type="expression" priority="9" dxfId="6">
      <formula>IF(CR37&gt;CR38,1,0)</formula>
    </cfRule>
    <cfRule type="expression" priority="7" dxfId="5">
      <formula>IF(CR37&lt;CR38,1,0)</formula>
    </cfRule>
  </conditionalFormatting>
  <conditionalFormatting sqref="CN48">
    <cfRule type="expression" priority="4" dxfId="5">
      <formula>IF(CR48&gt;CR49,1,0)</formula>
    </cfRule>
    <cfRule type="expression" priority="2" dxfId="6">
      <formula>IF(CR48&lt;CR49,1,0)</formula>
    </cfRule>
  </conditionalFormatting>
  <conditionalFormatting sqref="CN49">
    <cfRule type="expression" priority="3" dxfId="6">
      <formula>IF(CR48&gt;CR49,1,0)</formula>
    </cfRule>
    <cfRule type="expression" priority="1" dxfId="5">
      <formula>IF(CR48&lt;CR49,1,0)</formula>
    </cfRule>
  </conditionalFormatting>
  <conditionalFormatting sqref="CO37:CQ37">
    <cfRule type="expression" priority="12" dxfId="1">
      <formula>IF(OR(CO37="",CO38=""),0,IF(CO37&gt;CO38,1,0))</formula>
    </cfRule>
  </conditionalFormatting>
  <conditionalFormatting sqref="CO38:CQ38">
    <cfRule type="expression" priority="11" dxfId="1">
      <formula>IF(OR(CO37="",CO38=""),0,IF(CO37&lt;CO38,1,0))</formula>
    </cfRule>
  </conditionalFormatting>
  <conditionalFormatting sqref="CO48:CQ48">
    <cfRule type="expression" priority="6" dxfId="1">
      <formula>IF(OR(CO48="",CO49=""),0,IF(CO48&gt;CO49,1,0))</formula>
    </cfRule>
  </conditionalFormatting>
  <conditionalFormatting sqref="CO49:CQ49">
    <cfRule type="expression" priority="5" dxfId="1">
      <formula>IF(OR(CO48="",CO49=""),0,IF(CO48&lt;CO49,1,0))</formula>
    </cfRule>
  </conditionalFormatting>
  <dataValidations count="4">
    <dataValidation sqref="BM10:BM11 BM14:BM15 BM18:BM19 BM22:BM23 BM26:BM27 BM30:BM31 BM34:BM35 BM38:BM39 BM42:BM43 BM46:BM47 BM50:BM51 BM54:BM55 BM58:BM59 BM62:BM63 BM66:BM67 BM70:BM71 BT12:BT13 BT20:BT21 BT28:BT29 BT36:BT37 BT44:BT45 BT52:BT53 BT60:BT61 BT68:BT69 CA16:CA17 CA32:CA33 CA48:CA49 CA64:CA65 CH23:CH24 CH55:CH56 CO37:CO38 CO48:CO49" showDropDown="0" showInputMessage="1" showErrorMessage="1" allowBlank="1" promptTitle="Match results" prompt="Regular time result (90 min)" type="list">
      <formula1>"0,1,2,3,4,5,6,7,8,9,10,11,12,13,14,15,16,17,18,19,20"</formula1>
    </dataValidation>
    <dataValidation sqref="BN10:BN11 BN14:BN15 BN18:BN19 BN22:BN23 BN26:BN27 BN30:BN31 BN34:BN35 BN38:BN39 BN42:BN43 BN46:BN47 BN50:BN51 BN54:BN55 BN58:BN59 BN62:BN63 BN66:BN67 BN70:BN71 BU12:BU13 BU20:BU21 BU28:BU29 BU36:BU37 BU44:BU45 BU52:BU53 BU60:BU61 BU68:BU69 CB16:CB17 CB32:CB33 CB48:CB49 CB64:CB65 CI23:CI24 CI55:CI56 CP37:CP38 CP48:CP49" showDropDown="0" showInputMessage="1" showErrorMessage="1" allowBlank="1" promptTitle="Match result" prompt="Extra-time result (+30 min)" type="list">
      <formula1>"0,1,2,3,4,5"</formula1>
    </dataValidation>
    <dataValidation sqref="BO10:BO11 BO14:BO15 BO18:BO19 BO22:BO23 BO26:BO27 BO30:BO31 BO34:BO35 BO38:BO39 BO42:BO43 BO46:BO47 BO50:BO51 BO54:BO55 BO58:BO59 BO62:BO63 BO66:BO67 BO70:BO71 BV12:BV13 BV20:BV21 BV28:BV29 BV36:BV37 BV44:BV45 BV52:BV53 BV60:BV61 BV68:BV69 CC16:CC17 CC32:CC33 CC48:CC49 CC64:CC65 CJ23:CJ24 CJ55:CJ56 CQ37:CQ38 CQ48:CQ49" showDropDown="0" showInputMessage="1" showErrorMessage="1" allowBlank="1" promptTitle="Match result" prompt="Penalties" type="list">
      <formula1>"0,1,2,3,4,5,6,7,8,9,10,11,12,13,14,15,16,17,18,19,20"</formula1>
    </dataValidation>
    <dataValidation sqref="F7:G78" showDropDown="0" showInputMessage="1" showErrorMessage="1" allowBlank="1" type="list">
      <formula1>"0,1,2,3,4,5,6,7,8,9"</formula1>
    </dataValidation>
  </dataValidations>
  <hyperlinks>
    <hyperlink ref="O3" location="Settings!C4" tooltip="Settings" display="Settings!C4"/>
    <hyperlink xmlns:r="http://schemas.openxmlformats.org/officeDocument/2006/relationships" ref="J5" tooltip="World Cup 2026 Schedule in Excel" display="Home Page: www.excely.com" r:id="rId1"/>
    <hyperlink xmlns:r="http://schemas.openxmlformats.org/officeDocument/2006/relationships" ref="C83" tooltip="World Cup 2026 Interactive Schedule Online - www.wallchart.io" display="http://www.wallchart.io/football/world-cup-2026.html" r:id="rId2"/>
  </hyperlinks>
  <printOptions horizontalCentered="1" verticalCentered="1"/>
  <pageMargins left="0.7" right="0.7" top="0.75" bottom="0.75" header="0.3" footer="0.3"/>
  <pageSetup orientation="landscape" paperSize="9" scale="35"/>
  <headerFooter>
    <oddHeader/>
    <oddFooter>&amp;Cwww.excely.com (c) 2026</oddFooter>
    <evenHeader/>
    <evenFooter/>
    <firstHeader/>
    <firstFooter/>
  </headerFooter>
  <drawing xmlns:r="http://schemas.openxmlformats.org/officeDocument/2006/relationships" r:id="rId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00"/>
  <sheetViews>
    <sheetView showGridLines="0" topLeftCell="A2" workbookViewId="0">
      <selection activeCell="D6" sqref="D6"/>
    </sheetView>
  </sheetViews>
  <sheetFormatPr baseColWidth="10" defaultColWidth="9.1640625" defaultRowHeight="15"/>
  <cols>
    <col width="2.5" customWidth="1" style="82" min="1" max="1"/>
    <col width="9.1640625" customWidth="1" style="81" min="2" max="2"/>
    <col width="13.6640625" customWidth="1" style="81" min="3" max="3"/>
    <col width="9.5" customWidth="1" style="81" min="4" max="11"/>
    <col width="9.1640625" customWidth="1" style="82" min="12" max="16384"/>
  </cols>
  <sheetData>
    <row r="1" ht="8.25" customHeight="1"/>
    <row r="2" ht="21" customHeight="1">
      <c r="B2" s="108" t="inlineStr">
        <is>
          <t>Best 3rds</t>
        </is>
      </c>
    </row>
    <row r="3">
      <c r="B3" s="109">
        <f>MATCH(C3,C6:C500,0)</f>
        <v/>
      </c>
      <c r="C3" s="121">
        <f>'2026 World Cup'!AR91</f>
        <v/>
      </c>
      <c r="D3" s="121">
        <f>VLOOKUP($C3,$C$6:$K$500,2,FALSE)</f>
        <v/>
      </c>
      <c r="E3" s="121">
        <f>VLOOKUP($C3,$C$6:$K$500,3,FALSE)</f>
        <v/>
      </c>
      <c r="F3" s="121">
        <f>VLOOKUP($C3,$C$6:$K$500,4,FALSE)</f>
        <v/>
      </c>
      <c r="G3" s="121">
        <f>VLOOKUP($C3,$C$6:$K$500,5,FALSE)</f>
        <v/>
      </c>
      <c r="H3" s="121">
        <f>VLOOKUP($C3,$C$6:$K$500,6,FALSE)</f>
        <v/>
      </c>
      <c r="I3" s="121">
        <f>VLOOKUP($C3,$C$6:$K$500,7,FALSE)</f>
        <v/>
      </c>
      <c r="J3" s="121">
        <f>VLOOKUP($C3,$C$6:$K$500,8,FALSE)</f>
        <v/>
      </c>
      <c r="K3" s="122">
        <f>VLOOKUP($C3,$C$6:$K$500,9,FALSE)</f>
        <v/>
      </c>
    </row>
    <row r="5" ht="19.5" customHeight="1">
      <c r="B5" s="84" t="inlineStr">
        <is>
          <t>No.</t>
        </is>
      </c>
      <c r="C5" s="85" t="n"/>
      <c r="D5" s="86" t="inlineStr">
        <is>
          <t>1A vs</t>
        </is>
      </c>
      <c r="E5" s="86" t="inlineStr">
        <is>
          <t>1B vs</t>
        </is>
      </c>
      <c r="F5" s="86" t="inlineStr">
        <is>
          <t>1D vs</t>
        </is>
      </c>
      <c r="G5" s="86" t="inlineStr">
        <is>
          <t>1E vs</t>
        </is>
      </c>
      <c r="H5" s="86" t="inlineStr">
        <is>
          <t>1G vs</t>
        </is>
      </c>
      <c r="I5" s="86" t="inlineStr">
        <is>
          <t>1I vs</t>
        </is>
      </c>
      <c r="J5" s="86" t="inlineStr">
        <is>
          <t>1K vs</t>
        </is>
      </c>
      <c r="K5" s="87" t="inlineStr">
        <is>
          <t>1L vs</t>
        </is>
      </c>
    </row>
    <row r="6">
      <c r="B6" s="88" t="n">
        <v>1</v>
      </c>
      <c r="C6" s="83" t="inlineStr">
        <is>
          <t>EFGHIJKL</t>
        </is>
      </c>
      <c r="D6" s="83" t="inlineStr">
        <is>
          <t>3E</t>
        </is>
      </c>
      <c r="E6" s="83" t="inlineStr">
        <is>
          <t>3J</t>
        </is>
      </c>
      <c r="F6" s="83" t="inlineStr">
        <is>
          <t>3I</t>
        </is>
      </c>
      <c r="G6" s="83" t="inlineStr">
        <is>
          <t>3F</t>
        </is>
      </c>
      <c r="H6" s="83" t="inlineStr">
        <is>
          <t>3H</t>
        </is>
      </c>
      <c r="I6" s="83" t="inlineStr">
        <is>
          <t>3G</t>
        </is>
      </c>
      <c r="J6" s="83" t="inlineStr">
        <is>
          <t>3L</t>
        </is>
      </c>
      <c r="K6" s="89" t="inlineStr">
        <is>
          <t>3K</t>
        </is>
      </c>
    </row>
    <row r="7">
      <c r="B7" s="88" t="n">
        <v>2</v>
      </c>
      <c r="C7" s="83" t="inlineStr">
        <is>
          <t>DFGHIJKL</t>
        </is>
      </c>
      <c r="D7" s="83" t="inlineStr">
        <is>
          <t>3H</t>
        </is>
      </c>
      <c r="E7" s="83" t="inlineStr">
        <is>
          <t>3G</t>
        </is>
      </c>
      <c r="F7" s="83" t="inlineStr">
        <is>
          <t>3I</t>
        </is>
      </c>
      <c r="G7" s="83" t="inlineStr">
        <is>
          <t>3D</t>
        </is>
      </c>
      <c r="H7" s="83" t="inlineStr">
        <is>
          <t>3J</t>
        </is>
      </c>
      <c r="I7" s="83" t="inlineStr">
        <is>
          <t>3F</t>
        </is>
      </c>
      <c r="J7" s="83" t="inlineStr">
        <is>
          <t>3L</t>
        </is>
      </c>
      <c r="K7" s="89" t="inlineStr">
        <is>
          <t>3K</t>
        </is>
      </c>
    </row>
    <row r="8">
      <c r="B8" s="88" t="n">
        <v>3</v>
      </c>
      <c r="C8" s="83" t="inlineStr">
        <is>
          <t>DEGHIJKL</t>
        </is>
      </c>
      <c r="D8" s="83" t="inlineStr">
        <is>
          <t>3E</t>
        </is>
      </c>
      <c r="E8" s="83" t="inlineStr">
        <is>
          <t>3J</t>
        </is>
      </c>
      <c r="F8" s="83" t="inlineStr">
        <is>
          <t>3I</t>
        </is>
      </c>
      <c r="G8" s="83" t="inlineStr">
        <is>
          <t>3D</t>
        </is>
      </c>
      <c r="H8" s="83" t="inlineStr">
        <is>
          <t>3H</t>
        </is>
      </c>
      <c r="I8" s="83" t="inlineStr">
        <is>
          <t>3G</t>
        </is>
      </c>
      <c r="J8" s="83" t="inlineStr">
        <is>
          <t>3L</t>
        </is>
      </c>
      <c r="K8" s="89" t="inlineStr">
        <is>
          <t>3K</t>
        </is>
      </c>
    </row>
    <row r="9">
      <c r="B9" s="88" t="n">
        <v>4</v>
      </c>
      <c r="C9" s="83" t="inlineStr">
        <is>
          <t>DEFHIJKL</t>
        </is>
      </c>
      <c r="D9" s="83" t="inlineStr">
        <is>
          <t>3E</t>
        </is>
      </c>
      <c r="E9" s="83" t="inlineStr">
        <is>
          <t>3J</t>
        </is>
      </c>
      <c r="F9" s="83" t="inlineStr">
        <is>
          <t>3I</t>
        </is>
      </c>
      <c r="G9" s="83" t="inlineStr">
        <is>
          <t>3D</t>
        </is>
      </c>
      <c r="H9" s="83" t="inlineStr">
        <is>
          <t>3H</t>
        </is>
      </c>
      <c r="I9" s="83" t="inlineStr">
        <is>
          <t>3F</t>
        </is>
      </c>
      <c r="J9" s="83" t="inlineStr">
        <is>
          <t>3L</t>
        </is>
      </c>
      <c r="K9" s="89" t="inlineStr">
        <is>
          <t>3K</t>
        </is>
      </c>
    </row>
    <row r="10">
      <c r="B10" s="88" t="n">
        <v>5</v>
      </c>
      <c r="C10" s="83" t="inlineStr">
        <is>
          <t>DEFGIJKL</t>
        </is>
      </c>
      <c r="D10" s="83" t="inlineStr">
        <is>
          <t>3E</t>
        </is>
      </c>
      <c r="E10" s="83" t="inlineStr">
        <is>
          <t>3G</t>
        </is>
      </c>
      <c r="F10" s="83" t="inlineStr">
        <is>
          <t>3I</t>
        </is>
      </c>
      <c r="G10" s="83" t="inlineStr">
        <is>
          <t>3D</t>
        </is>
      </c>
      <c r="H10" s="83" t="inlineStr">
        <is>
          <t>3J</t>
        </is>
      </c>
      <c r="I10" s="83" t="inlineStr">
        <is>
          <t>3F</t>
        </is>
      </c>
      <c r="J10" s="83" t="inlineStr">
        <is>
          <t>3L</t>
        </is>
      </c>
      <c r="K10" s="89" t="inlineStr">
        <is>
          <t>3K</t>
        </is>
      </c>
    </row>
    <row r="11">
      <c r="B11" s="88" t="n">
        <v>6</v>
      </c>
      <c r="C11" s="83" t="inlineStr">
        <is>
          <t>DEFGHJKL</t>
        </is>
      </c>
      <c r="D11" s="83" t="inlineStr">
        <is>
          <t>3E</t>
        </is>
      </c>
      <c r="E11" s="83" t="inlineStr">
        <is>
          <t>3G</t>
        </is>
      </c>
      <c r="F11" s="83" t="inlineStr">
        <is>
          <t>3J</t>
        </is>
      </c>
      <c r="G11" s="83" t="inlineStr">
        <is>
          <t>3D</t>
        </is>
      </c>
      <c r="H11" s="83" t="inlineStr">
        <is>
          <t>3H</t>
        </is>
      </c>
      <c r="I11" s="83" t="inlineStr">
        <is>
          <t>3F</t>
        </is>
      </c>
      <c r="J11" s="83" t="inlineStr">
        <is>
          <t>3L</t>
        </is>
      </c>
      <c r="K11" s="89" t="inlineStr">
        <is>
          <t>3K</t>
        </is>
      </c>
    </row>
    <row r="12">
      <c r="B12" s="88" t="n">
        <v>7</v>
      </c>
      <c r="C12" s="83" t="inlineStr">
        <is>
          <t>DEFGHIKL</t>
        </is>
      </c>
      <c r="D12" s="83" t="inlineStr">
        <is>
          <t>3E</t>
        </is>
      </c>
      <c r="E12" s="83" t="inlineStr">
        <is>
          <t>3G</t>
        </is>
      </c>
      <c r="F12" s="83" t="inlineStr">
        <is>
          <t>3I</t>
        </is>
      </c>
      <c r="G12" s="83" t="inlineStr">
        <is>
          <t>3D</t>
        </is>
      </c>
      <c r="H12" s="83" t="inlineStr">
        <is>
          <t>3H</t>
        </is>
      </c>
      <c r="I12" s="83" t="inlineStr">
        <is>
          <t>3F</t>
        </is>
      </c>
      <c r="J12" s="83" t="inlineStr">
        <is>
          <t>3L</t>
        </is>
      </c>
      <c r="K12" s="89" t="inlineStr">
        <is>
          <t>3K</t>
        </is>
      </c>
    </row>
    <row r="13">
      <c r="B13" s="88" t="n">
        <v>8</v>
      </c>
      <c r="C13" s="83" t="inlineStr">
        <is>
          <t>DEFGHIJL</t>
        </is>
      </c>
      <c r="D13" s="83" t="inlineStr">
        <is>
          <t>3E</t>
        </is>
      </c>
      <c r="E13" s="83" t="inlineStr">
        <is>
          <t>3G</t>
        </is>
      </c>
      <c r="F13" s="83" t="inlineStr">
        <is>
          <t>3J</t>
        </is>
      </c>
      <c r="G13" s="83" t="inlineStr">
        <is>
          <t>3D</t>
        </is>
      </c>
      <c r="H13" s="83" t="inlineStr">
        <is>
          <t>3H</t>
        </is>
      </c>
      <c r="I13" s="83" t="inlineStr">
        <is>
          <t>3F</t>
        </is>
      </c>
      <c r="J13" s="83" t="inlineStr">
        <is>
          <t>3L</t>
        </is>
      </c>
      <c r="K13" s="89" t="inlineStr">
        <is>
          <t>3I</t>
        </is>
      </c>
    </row>
    <row r="14">
      <c r="B14" s="88" t="n">
        <v>9</v>
      </c>
      <c r="C14" s="83" t="inlineStr">
        <is>
          <t>DEFGHIJK</t>
        </is>
      </c>
      <c r="D14" s="83" t="inlineStr">
        <is>
          <t>3E</t>
        </is>
      </c>
      <c r="E14" s="83" t="inlineStr">
        <is>
          <t>3G</t>
        </is>
      </c>
      <c r="F14" s="83" t="inlineStr">
        <is>
          <t>3J</t>
        </is>
      </c>
      <c r="G14" s="83" t="inlineStr">
        <is>
          <t>3D</t>
        </is>
      </c>
      <c r="H14" s="83" t="inlineStr">
        <is>
          <t>3H</t>
        </is>
      </c>
      <c r="I14" s="83" t="inlineStr">
        <is>
          <t>3F</t>
        </is>
      </c>
      <c r="J14" s="83" t="inlineStr">
        <is>
          <t>3I</t>
        </is>
      </c>
      <c r="K14" s="89" t="inlineStr">
        <is>
          <t>3K</t>
        </is>
      </c>
    </row>
    <row r="15">
      <c r="B15" s="88" t="n">
        <v>10</v>
      </c>
      <c r="C15" s="83" t="inlineStr">
        <is>
          <t>CFGHIJKL</t>
        </is>
      </c>
      <c r="D15" s="83" t="inlineStr">
        <is>
          <t>3H</t>
        </is>
      </c>
      <c r="E15" s="83" t="inlineStr">
        <is>
          <t>3G</t>
        </is>
      </c>
      <c r="F15" s="83" t="inlineStr">
        <is>
          <t>3I</t>
        </is>
      </c>
      <c r="G15" s="83" t="inlineStr">
        <is>
          <t>3C</t>
        </is>
      </c>
      <c r="H15" s="83" t="inlineStr">
        <is>
          <t>3J</t>
        </is>
      </c>
      <c r="I15" s="83" t="inlineStr">
        <is>
          <t>3F</t>
        </is>
      </c>
      <c r="J15" s="83" t="inlineStr">
        <is>
          <t>3L</t>
        </is>
      </c>
      <c r="K15" s="89" t="inlineStr">
        <is>
          <t>3K</t>
        </is>
      </c>
    </row>
    <row r="16">
      <c r="B16" s="88" t="n">
        <v>11</v>
      </c>
      <c r="C16" s="83" t="inlineStr">
        <is>
          <t>CEGHIJKL</t>
        </is>
      </c>
      <c r="D16" s="83" t="inlineStr">
        <is>
          <t>3E</t>
        </is>
      </c>
      <c r="E16" s="83" t="inlineStr">
        <is>
          <t>3J</t>
        </is>
      </c>
      <c r="F16" s="83" t="inlineStr">
        <is>
          <t>3I</t>
        </is>
      </c>
      <c r="G16" s="83" t="inlineStr">
        <is>
          <t>3C</t>
        </is>
      </c>
      <c r="H16" s="83" t="inlineStr">
        <is>
          <t>3H</t>
        </is>
      </c>
      <c r="I16" s="83" t="inlineStr">
        <is>
          <t>3G</t>
        </is>
      </c>
      <c r="J16" s="83" t="inlineStr">
        <is>
          <t>3L</t>
        </is>
      </c>
      <c r="K16" s="89" t="inlineStr">
        <is>
          <t>3K</t>
        </is>
      </c>
    </row>
    <row r="17">
      <c r="B17" s="88" t="n">
        <v>12</v>
      </c>
      <c r="C17" s="83" t="inlineStr">
        <is>
          <t>CEFHIJKL</t>
        </is>
      </c>
      <c r="D17" s="83" t="inlineStr">
        <is>
          <t>3E</t>
        </is>
      </c>
      <c r="E17" s="83" t="inlineStr">
        <is>
          <t>3J</t>
        </is>
      </c>
      <c r="F17" s="83" t="inlineStr">
        <is>
          <t>3I</t>
        </is>
      </c>
      <c r="G17" s="83" t="inlineStr">
        <is>
          <t>3C</t>
        </is>
      </c>
      <c r="H17" s="83" t="inlineStr">
        <is>
          <t>3H</t>
        </is>
      </c>
      <c r="I17" s="83" t="inlineStr">
        <is>
          <t>3F</t>
        </is>
      </c>
      <c r="J17" s="83" t="inlineStr">
        <is>
          <t>3L</t>
        </is>
      </c>
      <c r="K17" s="89" t="inlineStr">
        <is>
          <t>3K</t>
        </is>
      </c>
    </row>
    <row r="18">
      <c r="B18" s="88" t="n">
        <v>13</v>
      </c>
      <c r="C18" s="83" t="inlineStr">
        <is>
          <t>CEFGIJKL</t>
        </is>
      </c>
      <c r="D18" s="83" t="inlineStr">
        <is>
          <t>3E</t>
        </is>
      </c>
      <c r="E18" s="83" t="inlineStr">
        <is>
          <t>3G</t>
        </is>
      </c>
      <c r="F18" s="83" t="inlineStr">
        <is>
          <t>3I</t>
        </is>
      </c>
      <c r="G18" s="83" t="inlineStr">
        <is>
          <t>3C</t>
        </is>
      </c>
      <c r="H18" s="83" t="inlineStr">
        <is>
          <t>3J</t>
        </is>
      </c>
      <c r="I18" s="83" t="inlineStr">
        <is>
          <t>3F</t>
        </is>
      </c>
      <c r="J18" s="83" t="inlineStr">
        <is>
          <t>3L</t>
        </is>
      </c>
      <c r="K18" s="89" t="inlineStr">
        <is>
          <t>3K</t>
        </is>
      </c>
    </row>
    <row r="19">
      <c r="B19" s="88" t="n">
        <v>14</v>
      </c>
      <c r="C19" s="83" t="inlineStr">
        <is>
          <t>CEFGHJKL</t>
        </is>
      </c>
      <c r="D19" s="83" t="inlineStr">
        <is>
          <t>3E</t>
        </is>
      </c>
      <c r="E19" s="83" t="inlineStr">
        <is>
          <t>3G</t>
        </is>
      </c>
      <c r="F19" s="83" t="inlineStr">
        <is>
          <t>3J</t>
        </is>
      </c>
      <c r="G19" s="83" t="inlineStr">
        <is>
          <t>3C</t>
        </is>
      </c>
      <c r="H19" s="83" t="inlineStr">
        <is>
          <t>3H</t>
        </is>
      </c>
      <c r="I19" s="83" t="inlineStr">
        <is>
          <t>3F</t>
        </is>
      </c>
      <c r="J19" s="83" t="inlineStr">
        <is>
          <t>3L</t>
        </is>
      </c>
      <c r="K19" s="89" t="inlineStr">
        <is>
          <t>3K</t>
        </is>
      </c>
    </row>
    <row r="20">
      <c r="B20" s="88" t="n">
        <v>15</v>
      </c>
      <c r="C20" s="83" t="inlineStr">
        <is>
          <t>CEFGHIKL</t>
        </is>
      </c>
      <c r="D20" s="83" t="inlineStr">
        <is>
          <t>3E</t>
        </is>
      </c>
      <c r="E20" s="83" t="inlineStr">
        <is>
          <t>3G</t>
        </is>
      </c>
      <c r="F20" s="83" t="inlineStr">
        <is>
          <t>3I</t>
        </is>
      </c>
      <c r="G20" s="83" t="inlineStr">
        <is>
          <t>3C</t>
        </is>
      </c>
      <c r="H20" s="83" t="inlineStr">
        <is>
          <t>3H</t>
        </is>
      </c>
      <c r="I20" s="83" t="inlineStr">
        <is>
          <t>3F</t>
        </is>
      </c>
      <c r="J20" s="83" t="inlineStr">
        <is>
          <t>3L</t>
        </is>
      </c>
      <c r="K20" s="89" t="inlineStr">
        <is>
          <t>3K</t>
        </is>
      </c>
    </row>
    <row r="21">
      <c r="B21" s="88" t="n">
        <v>16</v>
      </c>
      <c r="C21" s="83" t="inlineStr">
        <is>
          <t>CEFGHIJL</t>
        </is>
      </c>
      <c r="D21" s="83" t="inlineStr">
        <is>
          <t>3E</t>
        </is>
      </c>
      <c r="E21" s="83" t="inlineStr">
        <is>
          <t>3G</t>
        </is>
      </c>
      <c r="F21" s="83" t="inlineStr">
        <is>
          <t>3J</t>
        </is>
      </c>
      <c r="G21" s="83" t="inlineStr">
        <is>
          <t>3C</t>
        </is>
      </c>
      <c r="H21" s="83" t="inlineStr">
        <is>
          <t>3H</t>
        </is>
      </c>
      <c r="I21" s="83" t="inlineStr">
        <is>
          <t>3F</t>
        </is>
      </c>
      <c r="J21" s="83" t="inlineStr">
        <is>
          <t>3L</t>
        </is>
      </c>
      <c r="K21" s="89" t="inlineStr">
        <is>
          <t>3I</t>
        </is>
      </c>
    </row>
    <row r="22">
      <c r="B22" s="88" t="n">
        <v>17</v>
      </c>
      <c r="C22" s="83" t="inlineStr">
        <is>
          <t>CEFGHIJK</t>
        </is>
      </c>
      <c r="D22" s="83" t="inlineStr">
        <is>
          <t>3E</t>
        </is>
      </c>
      <c r="E22" s="83" t="inlineStr">
        <is>
          <t>3G</t>
        </is>
      </c>
      <c r="F22" s="83" t="inlineStr">
        <is>
          <t>3J</t>
        </is>
      </c>
      <c r="G22" s="83" t="inlineStr">
        <is>
          <t>3C</t>
        </is>
      </c>
      <c r="H22" s="83" t="inlineStr">
        <is>
          <t>3H</t>
        </is>
      </c>
      <c r="I22" s="83" t="inlineStr">
        <is>
          <t>3F</t>
        </is>
      </c>
      <c r="J22" s="83" t="inlineStr">
        <is>
          <t>3I</t>
        </is>
      </c>
      <c r="K22" s="89" t="inlineStr">
        <is>
          <t>3K</t>
        </is>
      </c>
    </row>
    <row r="23">
      <c r="B23" s="88" t="n">
        <v>18</v>
      </c>
      <c r="C23" s="83" t="inlineStr">
        <is>
          <t>CDGHIJKL</t>
        </is>
      </c>
      <c r="D23" s="83" t="inlineStr">
        <is>
          <t>3H</t>
        </is>
      </c>
      <c r="E23" s="83" t="inlineStr">
        <is>
          <t>3G</t>
        </is>
      </c>
      <c r="F23" s="83" t="inlineStr">
        <is>
          <t>3I</t>
        </is>
      </c>
      <c r="G23" s="83" t="inlineStr">
        <is>
          <t>3C</t>
        </is>
      </c>
      <c r="H23" s="83" t="inlineStr">
        <is>
          <t>3J</t>
        </is>
      </c>
      <c r="I23" s="83" t="inlineStr">
        <is>
          <t>3D</t>
        </is>
      </c>
      <c r="J23" s="83" t="inlineStr">
        <is>
          <t>3L</t>
        </is>
      </c>
      <c r="K23" s="89" t="inlineStr">
        <is>
          <t>3K</t>
        </is>
      </c>
    </row>
    <row r="24">
      <c r="B24" s="88" t="n">
        <v>19</v>
      </c>
      <c r="C24" s="83" t="inlineStr">
        <is>
          <t>CDFHIJKL</t>
        </is>
      </c>
      <c r="D24" s="83" t="inlineStr">
        <is>
          <t>3C</t>
        </is>
      </c>
      <c r="E24" s="83" t="inlineStr">
        <is>
          <t>3J</t>
        </is>
      </c>
      <c r="F24" s="83" t="inlineStr">
        <is>
          <t>3I</t>
        </is>
      </c>
      <c r="G24" s="83" t="inlineStr">
        <is>
          <t>3D</t>
        </is>
      </c>
      <c r="H24" s="83" t="inlineStr">
        <is>
          <t>3H</t>
        </is>
      </c>
      <c r="I24" s="83" t="inlineStr">
        <is>
          <t>3F</t>
        </is>
      </c>
      <c r="J24" s="83" t="inlineStr">
        <is>
          <t>3L</t>
        </is>
      </c>
      <c r="K24" s="89" t="inlineStr">
        <is>
          <t>3K</t>
        </is>
      </c>
    </row>
    <row r="25">
      <c r="B25" s="88" t="n">
        <v>20</v>
      </c>
      <c r="C25" s="83" t="inlineStr">
        <is>
          <t>CDFGIJKL</t>
        </is>
      </c>
      <c r="D25" s="83" t="inlineStr">
        <is>
          <t>3C</t>
        </is>
      </c>
      <c r="E25" s="83" t="inlineStr">
        <is>
          <t>3G</t>
        </is>
      </c>
      <c r="F25" s="83" t="inlineStr">
        <is>
          <t>3I</t>
        </is>
      </c>
      <c r="G25" s="83" t="inlineStr">
        <is>
          <t>3D</t>
        </is>
      </c>
      <c r="H25" s="83" t="inlineStr">
        <is>
          <t>3J</t>
        </is>
      </c>
      <c r="I25" s="83" t="inlineStr">
        <is>
          <t>3F</t>
        </is>
      </c>
      <c r="J25" s="83" t="inlineStr">
        <is>
          <t>3L</t>
        </is>
      </c>
      <c r="K25" s="89" t="inlineStr">
        <is>
          <t>3K</t>
        </is>
      </c>
    </row>
    <row r="26">
      <c r="B26" s="88" t="n">
        <v>21</v>
      </c>
      <c r="C26" s="83" t="inlineStr">
        <is>
          <t>CDFGHJKL</t>
        </is>
      </c>
      <c r="D26" s="83" t="inlineStr">
        <is>
          <t>3C</t>
        </is>
      </c>
      <c r="E26" s="83" t="inlineStr">
        <is>
          <t>3G</t>
        </is>
      </c>
      <c r="F26" s="83" t="inlineStr">
        <is>
          <t>3J</t>
        </is>
      </c>
      <c r="G26" s="83" t="inlineStr">
        <is>
          <t>3D</t>
        </is>
      </c>
      <c r="H26" s="83" t="inlineStr">
        <is>
          <t>3H</t>
        </is>
      </c>
      <c r="I26" s="83" t="inlineStr">
        <is>
          <t>3F</t>
        </is>
      </c>
      <c r="J26" s="83" t="inlineStr">
        <is>
          <t>3L</t>
        </is>
      </c>
      <c r="K26" s="89" t="inlineStr">
        <is>
          <t>3K</t>
        </is>
      </c>
    </row>
    <row r="27">
      <c r="B27" s="88" t="n">
        <v>22</v>
      </c>
      <c r="C27" s="83" t="inlineStr">
        <is>
          <t>CDFGHIKL</t>
        </is>
      </c>
      <c r="D27" s="83" t="inlineStr">
        <is>
          <t>3C</t>
        </is>
      </c>
      <c r="E27" s="83" t="inlineStr">
        <is>
          <t>3G</t>
        </is>
      </c>
      <c r="F27" s="83" t="inlineStr">
        <is>
          <t>3I</t>
        </is>
      </c>
      <c r="G27" s="83" t="inlineStr">
        <is>
          <t>3D</t>
        </is>
      </c>
      <c r="H27" s="83" t="inlineStr">
        <is>
          <t>3H</t>
        </is>
      </c>
      <c r="I27" s="83" t="inlineStr">
        <is>
          <t>3F</t>
        </is>
      </c>
      <c r="J27" s="83" t="inlineStr">
        <is>
          <t>3L</t>
        </is>
      </c>
      <c r="K27" s="89" t="inlineStr">
        <is>
          <t>3K</t>
        </is>
      </c>
    </row>
    <row r="28">
      <c r="B28" s="88" t="n">
        <v>23</v>
      </c>
      <c r="C28" s="83" t="inlineStr">
        <is>
          <t>CDFGHIJL</t>
        </is>
      </c>
      <c r="D28" s="83" t="inlineStr">
        <is>
          <t>3C</t>
        </is>
      </c>
      <c r="E28" s="83" t="inlineStr">
        <is>
          <t>3G</t>
        </is>
      </c>
      <c r="F28" s="83" t="inlineStr">
        <is>
          <t>3J</t>
        </is>
      </c>
      <c r="G28" s="83" t="inlineStr">
        <is>
          <t>3D</t>
        </is>
      </c>
      <c r="H28" s="83" t="inlineStr">
        <is>
          <t>3H</t>
        </is>
      </c>
      <c r="I28" s="83" t="inlineStr">
        <is>
          <t>3F</t>
        </is>
      </c>
      <c r="J28" s="83" t="inlineStr">
        <is>
          <t>3L</t>
        </is>
      </c>
      <c r="K28" s="89" t="inlineStr">
        <is>
          <t>3I</t>
        </is>
      </c>
    </row>
    <row r="29">
      <c r="B29" s="88" t="n">
        <v>24</v>
      </c>
      <c r="C29" s="83" t="inlineStr">
        <is>
          <t>CDFGHIJK</t>
        </is>
      </c>
      <c r="D29" s="83" t="inlineStr">
        <is>
          <t>3C</t>
        </is>
      </c>
      <c r="E29" s="83" t="inlineStr">
        <is>
          <t>3G</t>
        </is>
      </c>
      <c r="F29" s="83" t="inlineStr">
        <is>
          <t>3J</t>
        </is>
      </c>
      <c r="G29" s="83" t="inlineStr">
        <is>
          <t>3D</t>
        </is>
      </c>
      <c r="H29" s="83" t="inlineStr">
        <is>
          <t>3H</t>
        </is>
      </c>
      <c r="I29" s="83" t="inlineStr">
        <is>
          <t>3F</t>
        </is>
      </c>
      <c r="J29" s="83" t="inlineStr">
        <is>
          <t>3I</t>
        </is>
      </c>
      <c r="K29" s="89" t="inlineStr">
        <is>
          <t>3K</t>
        </is>
      </c>
    </row>
    <row r="30">
      <c r="B30" s="88" t="n">
        <v>25</v>
      </c>
      <c r="C30" s="83" t="inlineStr">
        <is>
          <t>CDEHIJKL</t>
        </is>
      </c>
      <c r="D30" s="83" t="inlineStr">
        <is>
          <t>3E</t>
        </is>
      </c>
      <c r="E30" s="83" t="inlineStr">
        <is>
          <t>3J</t>
        </is>
      </c>
      <c r="F30" s="83" t="inlineStr">
        <is>
          <t>3I</t>
        </is>
      </c>
      <c r="G30" s="83" t="inlineStr">
        <is>
          <t>3C</t>
        </is>
      </c>
      <c r="H30" s="83" t="inlineStr">
        <is>
          <t>3H</t>
        </is>
      </c>
      <c r="I30" s="83" t="inlineStr">
        <is>
          <t>3D</t>
        </is>
      </c>
      <c r="J30" s="83" t="inlineStr">
        <is>
          <t>3L</t>
        </is>
      </c>
      <c r="K30" s="89" t="inlineStr">
        <is>
          <t>3K</t>
        </is>
      </c>
    </row>
    <row r="31">
      <c r="B31" s="88" t="n">
        <v>26</v>
      </c>
      <c r="C31" s="83" t="inlineStr">
        <is>
          <t>CDEGIJKL</t>
        </is>
      </c>
      <c r="D31" s="83" t="inlineStr">
        <is>
          <t>3E</t>
        </is>
      </c>
      <c r="E31" s="83" t="inlineStr">
        <is>
          <t>3G</t>
        </is>
      </c>
      <c r="F31" s="83" t="inlineStr">
        <is>
          <t>3I</t>
        </is>
      </c>
      <c r="G31" s="83" t="inlineStr">
        <is>
          <t>3C</t>
        </is>
      </c>
      <c r="H31" s="83" t="inlineStr">
        <is>
          <t>3J</t>
        </is>
      </c>
      <c r="I31" s="83" t="inlineStr">
        <is>
          <t>3D</t>
        </is>
      </c>
      <c r="J31" s="83" t="inlineStr">
        <is>
          <t>3L</t>
        </is>
      </c>
      <c r="K31" s="89" t="inlineStr">
        <is>
          <t>3K</t>
        </is>
      </c>
    </row>
    <row r="32">
      <c r="B32" s="88" t="n">
        <v>27</v>
      </c>
      <c r="C32" s="83" t="inlineStr">
        <is>
          <t>CDEGHJKL</t>
        </is>
      </c>
      <c r="D32" s="83" t="inlineStr">
        <is>
          <t>3E</t>
        </is>
      </c>
      <c r="E32" s="83" t="inlineStr">
        <is>
          <t>3G</t>
        </is>
      </c>
      <c r="F32" s="83" t="inlineStr">
        <is>
          <t>3J</t>
        </is>
      </c>
      <c r="G32" s="83" t="inlineStr">
        <is>
          <t>3C</t>
        </is>
      </c>
      <c r="H32" s="83" t="inlineStr">
        <is>
          <t>3H</t>
        </is>
      </c>
      <c r="I32" s="83" t="inlineStr">
        <is>
          <t>3D</t>
        </is>
      </c>
      <c r="J32" s="83" t="inlineStr">
        <is>
          <t>3L</t>
        </is>
      </c>
      <c r="K32" s="89" t="inlineStr">
        <is>
          <t>3K</t>
        </is>
      </c>
    </row>
    <row r="33">
      <c r="B33" s="88" t="n">
        <v>28</v>
      </c>
      <c r="C33" s="83" t="inlineStr">
        <is>
          <t>CDEGHIKL</t>
        </is>
      </c>
      <c r="D33" s="83" t="inlineStr">
        <is>
          <t>3E</t>
        </is>
      </c>
      <c r="E33" s="83" t="inlineStr">
        <is>
          <t>3G</t>
        </is>
      </c>
      <c r="F33" s="83" t="inlineStr">
        <is>
          <t>3I</t>
        </is>
      </c>
      <c r="G33" s="83" t="inlineStr">
        <is>
          <t>3C</t>
        </is>
      </c>
      <c r="H33" s="83" t="inlineStr">
        <is>
          <t>3H</t>
        </is>
      </c>
      <c r="I33" s="83" t="inlineStr">
        <is>
          <t>3D</t>
        </is>
      </c>
      <c r="J33" s="83" t="inlineStr">
        <is>
          <t>3L</t>
        </is>
      </c>
      <c r="K33" s="89" t="inlineStr">
        <is>
          <t>3K</t>
        </is>
      </c>
    </row>
    <row r="34">
      <c r="B34" s="88" t="n">
        <v>29</v>
      </c>
      <c r="C34" s="83" t="inlineStr">
        <is>
          <t>CDEGHIJL</t>
        </is>
      </c>
      <c r="D34" s="83" t="inlineStr">
        <is>
          <t>3E</t>
        </is>
      </c>
      <c r="E34" s="83" t="inlineStr">
        <is>
          <t>3G</t>
        </is>
      </c>
      <c r="F34" s="83" t="inlineStr">
        <is>
          <t>3J</t>
        </is>
      </c>
      <c r="G34" s="83" t="inlineStr">
        <is>
          <t>3C</t>
        </is>
      </c>
      <c r="H34" s="83" t="inlineStr">
        <is>
          <t>3H</t>
        </is>
      </c>
      <c r="I34" s="83" t="inlineStr">
        <is>
          <t>3D</t>
        </is>
      </c>
      <c r="J34" s="83" t="inlineStr">
        <is>
          <t>3L</t>
        </is>
      </c>
      <c r="K34" s="89" t="inlineStr">
        <is>
          <t>3I</t>
        </is>
      </c>
    </row>
    <row r="35">
      <c r="B35" s="88" t="n">
        <v>30</v>
      </c>
      <c r="C35" s="83" t="inlineStr">
        <is>
          <t>CDEGHIJK</t>
        </is>
      </c>
      <c r="D35" s="83" t="inlineStr">
        <is>
          <t>3E</t>
        </is>
      </c>
      <c r="E35" s="83" t="inlineStr">
        <is>
          <t>3G</t>
        </is>
      </c>
      <c r="F35" s="83" t="inlineStr">
        <is>
          <t>3J</t>
        </is>
      </c>
      <c r="G35" s="83" t="inlineStr">
        <is>
          <t>3C</t>
        </is>
      </c>
      <c r="H35" s="83" t="inlineStr">
        <is>
          <t>3H</t>
        </is>
      </c>
      <c r="I35" s="83" t="inlineStr">
        <is>
          <t>3D</t>
        </is>
      </c>
      <c r="J35" s="83" t="inlineStr">
        <is>
          <t>3I</t>
        </is>
      </c>
      <c r="K35" s="89" t="inlineStr">
        <is>
          <t>3K</t>
        </is>
      </c>
    </row>
    <row r="36">
      <c r="B36" s="88" t="n">
        <v>31</v>
      </c>
      <c r="C36" s="83" t="inlineStr">
        <is>
          <t>CDEFIJKL</t>
        </is>
      </c>
      <c r="D36" s="83" t="inlineStr">
        <is>
          <t>3C</t>
        </is>
      </c>
      <c r="E36" s="83" t="inlineStr">
        <is>
          <t>3J</t>
        </is>
      </c>
      <c r="F36" s="83" t="inlineStr">
        <is>
          <t>3E</t>
        </is>
      </c>
      <c r="G36" s="83" t="inlineStr">
        <is>
          <t>3D</t>
        </is>
      </c>
      <c r="H36" s="83" t="inlineStr">
        <is>
          <t>3I</t>
        </is>
      </c>
      <c r="I36" s="83" t="inlineStr">
        <is>
          <t>3F</t>
        </is>
      </c>
      <c r="J36" s="83" t="inlineStr">
        <is>
          <t>3L</t>
        </is>
      </c>
      <c r="K36" s="89" t="inlineStr">
        <is>
          <t>3K</t>
        </is>
      </c>
    </row>
    <row r="37">
      <c r="B37" s="88" t="n">
        <v>32</v>
      </c>
      <c r="C37" s="83" t="inlineStr">
        <is>
          <t>CDEFHJKL</t>
        </is>
      </c>
      <c r="D37" s="83" t="inlineStr">
        <is>
          <t>3C</t>
        </is>
      </c>
      <c r="E37" s="83" t="inlineStr">
        <is>
          <t>3J</t>
        </is>
      </c>
      <c r="F37" s="83" t="inlineStr">
        <is>
          <t>3E</t>
        </is>
      </c>
      <c r="G37" s="83" t="inlineStr">
        <is>
          <t>3D</t>
        </is>
      </c>
      <c r="H37" s="83" t="inlineStr">
        <is>
          <t>3H</t>
        </is>
      </c>
      <c r="I37" s="83" t="inlineStr">
        <is>
          <t>3F</t>
        </is>
      </c>
      <c r="J37" s="83" t="inlineStr">
        <is>
          <t>3L</t>
        </is>
      </c>
      <c r="K37" s="89" t="inlineStr">
        <is>
          <t>3K</t>
        </is>
      </c>
    </row>
    <row r="38">
      <c r="B38" s="88" t="n">
        <v>33</v>
      </c>
      <c r="C38" s="83" t="inlineStr">
        <is>
          <t>CDEFHIKL</t>
        </is>
      </c>
      <c r="D38" s="83" t="inlineStr">
        <is>
          <t>3C</t>
        </is>
      </c>
      <c r="E38" s="83" t="inlineStr">
        <is>
          <t>3E</t>
        </is>
      </c>
      <c r="F38" s="83" t="inlineStr">
        <is>
          <t>3I</t>
        </is>
      </c>
      <c r="G38" s="83" t="inlineStr">
        <is>
          <t>3D</t>
        </is>
      </c>
      <c r="H38" s="83" t="inlineStr">
        <is>
          <t>3H</t>
        </is>
      </c>
      <c r="I38" s="83" t="inlineStr">
        <is>
          <t>3F</t>
        </is>
      </c>
      <c r="J38" s="83" t="inlineStr">
        <is>
          <t>3L</t>
        </is>
      </c>
      <c r="K38" s="89" t="inlineStr">
        <is>
          <t>3K</t>
        </is>
      </c>
    </row>
    <row r="39">
      <c r="B39" s="88" t="n">
        <v>34</v>
      </c>
      <c r="C39" s="83" t="inlineStr">
        <is>
          <t>CDEFHIJL</t>
        </is>
      </c>
      <c r="D39" s="83" t="inlineStr">
        <is>
          <t>3C</t>
        </is>
      </c>
      <c r="E39" s="83" t="inlineStr">
        <is>
          <t>3J</t>
        </is>
      </c>
      <c r="F39" s="83" t="inlineStr">
        <is>
          <t>3E</t>
        </is>
      </c>
      <c r="G39" s="83" t="inlineStr">
        <is>
          <t>3D</t>
        </is>
      </c>
      <c r="H39" s="83" t="inlineStr">
        <is>
          <t>3H</t>
        </is>
      </c>
      <c r="I39" s="83" t="inlineStr">
        <is>
          <t>3F</t>
        </is>
      </c>
      <c r="J39" s="83" t="inlineStr">
        <is>
          <t>3L</t>
        </is>
      </c>
      <c r="K39" s="89" t="inlineStr">
        <is>
          <t>3I</t>
        </is>
      </c>
    </row>
    <row r="40">
      <c r="B40" s="88" t="n">
        <v>35</v>
      </c>
      <c r="C40" s="83" t="inlineStr">
        <is>
          <t>CDEFHIJK</t>
        </is>
      </c>
      <c r="D40" s="83" t="inlineStr">
        <is>
          <t>3C</t>
        </is>
      </c>
      <c r="E40" s="83" t="inlineStr">
        <is>
          <t>3J</t>
        </is>
      </c>
      <c r="F40" s="83" t="inlineStr">
        <is>
          <t>3E</t>
        </is>
      </c>
      <c r="G40" s="83" t="inlineStr">
        <is>
          <t>3D</t>
        </is>
      </c>
      <c r="H40" s="83" t="inlineStr">
        <is>
          <t>3H</t>
        </is>
      </c>
      <c r="I40" s="83" t="inlineStr">
        <is>
          <t>3F</t>
        </is>
      </c>
      <c r="J40" s="83" t="inlineStr">
        <is>
          <t>3I</t>
        </is>
      </c>
      <c r="K40" s="89" t="inlineStr">
        <is>
          <t>3K</t>
        </is>
      </c>
    </row>
    <row r="41">
      <c r="B41" s="88" t="n">
        <v>36</v>
      </c>
      <c r="C41" s="83" t="inlineStr">
        <is>
          <t>CDEFGJKL</t>
        </is>
      </c>
      <c r="D41" s="83" t="inlineStr">
        <is>
          <t>3C</t>
        </is>
      </c>
      <c r="E41" s="83" t="inlineStr">
        <is>
          <t>3G</t>
        </is>
      </c>
      <c r="F41" s="83" t="inlineStr">
        <is>
          <t>3E</t>
        </is>
      </c>
      <c r="G41" s="83" t="inlineStr">
        <is>
          <t>3D</t>
        </is>
      </c>
      <c r="H41" s="83" t="inlineStr">
        <is>
          <t>3J</t>
        </is>
      </c>
      <c r="I41" s="83" t="inlineStr">
        <is>
          <t>3F</t>
        </is>
      </c>
      <c r="J41" s="83" t="inlineStr">
        <is>
          <t>3L</t>
        </is>
      </c>
      <c r="K41" s="89" t="inlineStr">
        <is>
          <t>3K</t>
        </is>
      </c>
    </row>
    <row r="42">
      <c r="B42" s="88" t="n">
        <v>37</v>
      </c>
      <c r="C42" s="83" t="inlineStr">
        <is>
          <t>CDEFGIKL</t>
        </is>
      </c>
      <c r="D42" s="83" t="inlineStr">
        <is>
          <t>3C</t>
        </is>
      </c>
      <c r="E42" s="83" t="inlineStr">
        <is>
          <t>3G</t>
        </is>
      </c>
      <c r="F42" s="83" t="inlineStr">
        <is>
          <t>3E</t>
        </is>
      </c>
      <c r="G42" s="83" t="inlineStr">
        <is>
          <t>3D</t>
        </is>
      </c>
      <c r="H42" s="83" t="inlineStr">
        <is>
          <t>3I</t>
        </is>
      </c>
      <c r="I42" s="83" t="inlineStr">
        <is>
          <t>3F</t>
        </is>
      </c>
      <c r="J42" s="83" t="inlineStr">
        <is>
          <t>3L</t>
        </is>
      </c>
      <c r="K42" s="89" t="inlineStr">
        <is>
          <t>3K</t>
        </is>
      </c>
    </row>
    <row r="43">
      <c r="B43" s="88" t="n">
        <v>38</v>
      </c>
      <c r="C43" s="83" t="inlineStr">
        <is>
          <t>CDEFGIJL</t>
        </is>
      </c>
      <c r="D43" s="83" t="inlineStr">
        <is>
          <t>3C</t>
        </is>
      </c>
      <c r="E43" s="83" t="inlineStr">
        <is>
          <t>3G</t>
        </is>
      </c>
      <c r="F43" s="83" t="inlineStr">
        <is>
          <t>3E</t>
        </is>
      </c>
      <c r="G43" s="83" t="inlineStr">
        <is>
          <t>3D</t>
        </is>
      </c>
      <c r="H43" s="83" t="inlineStr">
        <is>
          <t>3J</t>
        </is>
      </c>
      <c r="I43" s="83" t="inlineStr">
        <is>
          <t>3F</t>
        </is>
      </c>
      <c r="J43" s="83" t="inlineStr">
        <is>
          <t>3L</t>
        </is>
      </c>
      <c r="K43" s="89" t="inlineStr">
        <is>
          <t>3I</t>
        </is>
      </c>
    </row>
    <row r="44">
      <c r="B44" s="88" t="n">
        <v>39</v>
      </c>
      <c r="C44" s="83" t="inlineStr">
        <is>
          <t>CDEFGIJK</t>
        </is>
      </c>
      <c r="D44" s="83" t="inlineStr">
        <is>
          <t>3C</t>
        </is>
      </c>
      <c r="E44" s="83" t="inlineStr">
        <is>
          <t>3G</t>
        </is>
      </c>
      <c r="F44" s="83" t="inlineStr">
        <is>
          <t>3E</t>
        </is>
      </c>
      <c r="G44" s="83" t="inlineStr">
        <is>
          <t>3D</t>
        </is>
      </c>
      <c r="H44" s="83" t="inlineStr">
        <is>
          <t>3J</t>
        </is>
      </c>
      <c r="I44" s="83" t="inlineStr">
        <is>
          <t>3F</t>
        </is>
      </c>
      <c r="J44" s="83" t="inlineStr">
        <is>
          <t>3I</t>
        </is>
      </c>
      <c r="K44" s="89" t="inlineStr">
        <is>
          <t>3K</t>
        </is>
      </c>
    </row>
    <row r="45">
      <c r="B45" s="88" t="n">
        <v>40</v>
      </c>
      <c r="C45" s="83" t="inlineStr">
        <is>
          <t>CDEFGHKL</t>
        </is>
      </c>
      <c r="D45" s="83" t="inlineStr">
        <is>
          <t>3C</t>
        </is>
      </c>
      <c r="E45" s="83" t="inlineStr">
        <is>
          <t>3G</t>
        </is>
      </c>
      <c r="F45" s="83" t="inlineStr">
        <is>
          <t>3E</t>
        </is>
      </c>
      <c r="G45" s="83" t="inlineStr">
        <is>
          <t>3D</t>
        </is>
      </c>
      <c r="H45" s="83" t="inlineStr">
        <is>
          <t>3H</t>
        </is>
      </c>
      <c r="I45" s="83" t="inlineStr">
        <is>
          <t>3F</t>
        </is>
      </c>
      <c r="J45" s="83" t="inlineStr">
        <is>
          <t>3L</t>
        </is>
      </c>
      <c r="K45" s="89" t="inlineStr">
        <is>
          <t>3K</t>
        </is>
      </c>
    </row>
    <row r="46">
      <c r="B46" s="88" t="n">
        <v>41</v>
      </c>
      <c r="C46" s="83" t="inlineStr">
        <is>
          <t>CDEFGHJL</t>
        </is>
      </c>
      <c r="D46" s="83" t="inlineStr">
        <is>
          <t>3C</t>
        </is>
      </c>
      <c r="E46" s="83" t="inlineStr">
        <is>
          <t>3G</t>
        </is>
      </c>
      <c r="F46" s="83" t="inlineStr">
        <is>
          <t>3J</t>
        </is>
      </c>
      <c r="G46" s="83" t="inlineStr">
        <is>
          <t>3D</t>
        </is>
      </c>
      <c r="H46" s="83" t="inlineStr">
        <is>
          <t>3H</t>
        </is>
      </c>
      <c r="I46" s="83" t="inlineStr">
        <is>
          <t>3F</t>
        </is>
      </c>
      <c r="J46" s="83" t="inlineStr">
        <is>
          <t>3L</t>
        </is>
      </c>
      <c r="K46" s="89" t="inlineStr">
        <is>
          <t>3E</t>
        </is>
      </c>
    </row>
    <row r="47">
      <c r="B47" s="88" t="n">
        <v>42</v>
      </c>
      <c r="C47" s="83" t="inlineStr">
        <is>
          <t>CDEFGHJK</t>
        </is>
      </c>
      <c r="D47" s="83" t="inlineStr">
        <is>
          <t>3C</t>
        </is>
      </c>
      <c r="E47" s="83" t="inlineStr">
        <is>
          <t>3G</t>
        </is>
      </c>
      <c r="F47" s="83" t="inlineStr">
        <is>
          <t>3J</t>
        </is>
      </c>
      <c r="G47" s="83" t="inlineStr">
        <is>
          <t>3D</t>
        </is>
      </c>
      <c r="H47" s="83" t="inlineStr">
        <is>
          <t>3H</t>
        </is>
      </c>
      <c r="I47" s="83" t="inlineStr">
        <is>
          <t>3F</t>
        </is>
      </c>
      <c r="J47" s="83" t="inlineStr">
        <is>
          <t>3E</t>
        </is>
      </c>
      <c r="K47" s="89" t="inlineStr">
        <is>
          <t>3K</t>
        </is>
      </c>
    </row>
    <row r="48">
      <c r="B48" s="88" t="n">
        <v>43</v>
      </c>
      <c r="C48" s="83" t="inlineStr">
        <is>
          <t>CDEFGHIL</t>
        </is>
      </c>
      <c r="D48" s="83" t="inlineStr">
        <is>
          <t>3C</t>
        </is>
      </c>
      <c r="E48" s="83" t="inlineStr">
        <is>
          <t>3G</t>
        </is>
      </c>
      <c r="F48" s="83" t="inlineStr">
        <is>
          <t>3E</t>
        </is>
      </c>
      <c r="G48" s="83" t="inlineStr">
        <is>
          <t>3D</t>
        </is>
      </c>
      <c r="H48" s="83" t="inlineStr">
        <is>
          <t>3H</t>
        </is>
      </c>
      <c r="I48" s="83" t="inlineStr">
        <is>
          <t>3F</t>
        </is>
      </c>
      <c r="J48" s="83" t="inlineStr">
        <is>
          <t>3L</t>
        </is>
      </c>
      <c r="K48" s="89" t="inlineStr">
        <is>
          <t>3I</t>
        </is>
      </c>
    </row>
    <row r="49">
      <c r="B49" s="88" t="n">
        <v>44</v>
      </c>
      <c r="C49" s="83" t="inlineStr">
        <is>
          <t>CDEFGHIK</t>
        </is>
      </c>
      <c r="D49" s="83" t="inlineStr">
        <is>
          <t>3C</t>
        </is>
      </c>
      <c r="E49" s="83" t="inlineStr">
        <is>
          <t>3G</t>
        </is>
      </c>
      <c r="F49" s="83" t="inlineStr">
        <is>
          <t>3E</t>
        </is>
      </c>
      <c r="G49" s="83" t="inlineStr">
        <is>
          <t>3D</t>
        </is>
      </c>
      <c r="H49" s="83" t="inlineStr">
        <is>
          <t>3H</t>
        </is>
      </c>
      <c r="I49" s="83" t="inlineStr">
        <is>
          <t>3F</t>
        </is>
      </c>
      <c r="J49" s="83" t="inlineStr">
        <is>
          <t>3I</t>
        </is>
      </c>
      <c r="K49" s="89" t="inlineStr">
        <is>
          <t>3K</t>
        </is>
      </c>
    </row>
    <row r="50">
      <c r="B50" s="88" t="n">
        <v>45</v>
      </c>
      <c r="C50" s="83" t="inlineStr">
        <is>
          <t>CDEFGHIJ</t>
        </is>
      </c>
      <c r="D50" s="83" t="inlineStr">
        <is>
          <t>3C</t>
        </is>
      </c>
      <c r="E50" s="83" t="inlineStr">
        <is>
          <t>3G</t>
        </is>
      </c>
      <c r="F50" s="83" t="inlineStr">
        <is>
          <t>3J</t>
        </is>
      </c>
      <c r="G50" s="83" t="inlineStr">
        <is>
          <t>3D</t>
        </is>
      </c>
      <c r="H50" s="83" t="inlineStr">
        <is>
          <t>3H</t>
        </is>
      </c>
      <c r="I50" s="83" t="inlineStr">
        <is>
          <t>3F</t>
        </is>
      </c>
      <c r="J50" s="83" t="inlineStr">
        <is>
          <t>3E</t>
        </is>
      </c>
      <c r="K50" s="89" t="inlineStr">
        <is>
          <t>3I</t>
        </is>
      </c>
    </row>
    <row r="51">
      <c r="B51" s="88" t="n">
        <v>46</v>
      </c>
      <c r="C51" s="83" t="inlineStr">
        <is>
          <t>BFGHIJKL</t>
        </is>
      </c>
      <c r="D51" s="83" t="inlineStr">
        <is>
          <t>3H</t>
        </is>
      </c>
      <c r="E51" s="83" t="inlineStr">
        <is>
          <t>3J</t>
        </is>
      </c>
      <c r="F51" s="83" t="inlineStr">
        <is>
          <t>3B</t>
        </is>
      </c>
      <c r="G51" s="83" t="inlineStr">
        <is>
          <t>3F</t>
        </is>
      </c>
      <c r="H51" s="83" t="inlineStr">
        <is>
          <t>3I</t>
        </is>
      </c>
      <c r="I51" s="83" t="inlineStr">
        <is>
          <t>3G</t>
        </is>
      </c>
      <c r="J51" s="83" t="inlineStr">
        <is>
          <t>3L</t>
        </is>
      </c>
      <c r="K51" s="89" t="inlineStr">
        <is>
          <t>3K</t>
        </is>
      </c>
    </row>
    <row r="52">
      <c r="B52" s="88" t="n">
        <v>47</v>
      </c>
      <c r="C52" s="83" t="inlineStr">
        <is>
          <t>BEGHIJKL</t>
        </is>
      </c>
      <c r="D52" s="83" t="inlineStr">
        <is>
          <t>3E</t>
        </is>
      </c>
      <c r="E52" s="83" t="inlineStr">
        <is>
          <t>3J</t>
        </is>
      </c>
      <c r="F52" s="83" t="inlineStr">
        <is>
          <t>3I</t>
        </is>
      </c>
      <c r="G52" s="83" t="inlineStr">
        <is>
          <t>3B</t>
        </is>
      </c>
      <c r="H52" s="83" t="inlineStr">
        <is>
          <t>3H</t>
        </is>
      </c>
      <c r="I52" s="83" t="inlineStr">
        <is>
          <t>3G</t>
        </is>
      </c>
      <c r="J52" s="83" t="inlineStr">
        <is>
          <t>3L</t>
        </is>
      </c>
      <c r="K52" s="89" t="inlineStr">
        <is>
          <t>3K</t>
        </is>
      </c>
    </row>
    <row r="53">
      <c r="B53" s="88" t="n">
        <v>48</v>
      </c>
      <c r="C53" s="83" t="inlineStr">
        <is>
          <t>BEFHIJKL</t>
        </is>
      </c>
      <c r="D53" s="83" t="inlineStr">
        <is>
          <t>3E</t>
        </is>
      </c>
      <c r="E53" s="83" t="inlineStr">
        <is>
          <t>3J</t>
        </is>
      </c>
      <c r="F53" s="83" t="inlineStr">
        <is>
          <t>3B</t>
        </is>
      </c>
      <c r="G53" s="83" t="inlineStr">
        <is>
          <t>3F</t>
        </is>
      </c>
      <c r="H53" s="83" t="inlineStr">
        <is>
          <t>3I</t>
        </is>
      </c>
      <c r="I53" s="83" t="inlineStr">
        <is>
          <t>3H</t>
        </is>
      </c>
      <c r="J53" s="83" t="inlineStr">
        <is>
          <t>3L</t>
        </is>
      </c>
      <c r="K53" s="89" t="inlineStr">
        <is>
          <t>3K</t>
        </is>
      </c>
    </row>
    <row r="54">
      <c r="B54" s="88" t="n">
        <v>49</v>
      </c>
      <c r="C54" s="83" t="inlineStr">
        <is>
          <t>BEFGIJKL</t>
        </is>
      </c>
      <c r="D54" s="83" t="inlineStr">
        <is>
          <t>3E</t>
        </is>
      </c>
      <c r="E54" s="83" t="inlineStr">
        <is>
          <t>3J</t>
        </is>
      </c>
      <c r="F54" s="83" t="inlineStr">
        <is>
          <t>3B</t>
        </is>
      </c>
      <c r="G54" s="83" t="inlineStr">
        <is>
          <t>3F</t>
        </is>
      </c>
      <c r="H54" s="83" t="inlineStr">
        <is>
          <t>3I</t>
        </is>
      </c>
      <c r="I54" s="83" t="inlineStr">
        <is>
          <t>3G</t>
        </is>
      </c>
      <c r="J54" s="83" t="inlineStr">
        <is>
          <t>3L</t>
        </is>
      </c>
      <c r="K54" s="89" t="inlineStr">
        <is>
          <t>3K</t>
        </is>
      </c>
    </row>
    <row r="55">
      <c r="B55" s="88" t="n">
        <v>50</v>
      </c>
      <c r="C55" s="83" t="inlineStr">
        <is>
          <t>BEFGHJKL</t>
        </is>
      </c>
      <c r="D55" s="83" t="inlineStr">
        <is>
          <t>3E</t>
        </is>
      </c>
      <c r="E55" s="83" t="inlineStr">
        <is>
          <t>3J</t>
        </is>
      </c>
      <c r="F55" s="83" t="inlineStr">
        <is>
          <t>3B</t>
        </is>
      </c>
      <c r="G55" s="83" t="inlineStr">
        <is>
          <t>3F</t>
        </is>
      </c>
      <c r="H55" s="83" t="inlineStr">
        <is>
          <t>3H</t>
        </is>
      </c>
      <c r="I55" s="83" t="inlineStr">
        <is>
          <t>3G</t>
        </is>
      </c>
      <c r="J55" s="83" t="inlineStr">
        <is>
          <t>3L</t>
        </is>
      </c>
      <c r="K55" s="89" t="inlineStr">
        <is>
          <t>3K</t>
        </is>
      </c>
    </row>
    <row r="56">
      <c r="B56" s="88" t="n">
        <v>51</v>
      </c>
      <c r="C56" s="83" t="inlineStr">
        <is>
          <t>BEFGHIKL</t>
        </is>
      </c>
      <c r="D56" s="83" t="inlineStr">
        <is>
          <t>3E</t>
        </is>
      </c>
      <c r="E56" s="83" t="inlineStr">
        <is>
          <t>3G</t>
        </is>
      </c>
      <c r="F56" s="83" t="inlineStr">
        <is>
          <t>3B</t>
        </is>
      </c>
      <c r="G56" s="83" t="inlineStr">
        <is>
          <t>3F</t>
        </is>
      </c>
      <c r="H56" s="83" t="inlineStr">
        <is>
          <t>3I</t>
        </is>
      </c>
      <c r="I56" s="83" t="inlineStr">
        <is>
          <t>3H</t>
        </is>
      </c>
      <c r="J56" s="83" t="inlineStr">
        <is>
          <t>3L</t>
        </is>
      </c>
      <c r="K56" s="89" t="inlineStr">
        <is>
          <t>3K</t>
        </is>
      </c>
    </row>
    <row r="57">
      <c r="B57" s="88" t="n">
        <v>52</v>
      </c>
      <c r="C57" s="83" t="inlineStr">
        <is>
          <t>BEFGHIJL</t>
        </is>
      </c>
      <c r="D57" s="83" t="inlineStr">
        <is>
          <t>3E</t>
        </is>
      </c>
      <c r="E57" s="83" t="inlineStr">
        <is>
          <t>3J</t>
        </is>
      </c>
      <c r="F57" s="83" t="inlineStr">
        <is>
          <t>3B</t>
        </is>
      </c>
      <c r="G57" s="83" t="inlineStr">
        <is>
          <t>3F</t>
        </is>
      </c>
      <c r="H57" s="83" t="inlineStr">
        <is>
          <t>3H</t>
        </is>
      </c>
      <c r="I57" s="83" t="inlineStr">
        <is>
          <t>3G</t>
        </is>
      </c>
      <c r="J57" s="83" t="inlineStr">
        <is>
          <t>3L</t>
        </is>
      </c>
      <c r="K57" s="89" t="inlineStr">
        <is>
          <t>3I</t>
        </is>
      </c>
    </row>
    <row r="58">
      <c r="B58" s="88" t="n">
        <v>53</v>
      </c>
      <c r="C58" s="83" t="inlineStr">
        <is>
          <t>BEFGHIJK</t>
        </is>
      </c>
      <c r="D58" s="83" t="inlineStr">
        <is>
          <t>3E</t>
        </is>
      </c>
      <c r="E58" s="83" t="inlineStr">
        <is>
          <t>3J</t>
        </is>
      </c>
      <c r="F58" s="83" t="inlineStr">
        <is>
          <t>3B</t>
        </is>
      </c>
      <c r="G58" s="83" t="inlineStr">
        <is>
          <t>3F</t>
        </is>
      </c>
      <c r="H58" s="83" t="inlineStr">
        <is>
          <t>3H</t>
        </is>
      </c>
      <c r="I58" s="83" t="inlineStr">
        <is>
          <t>3G</t>
        </is>
      </c>
      <c r="J58" s="83" t="inlineStr">
        <is>
          <t>3I</t>
        </is>
      </c>
      <c r="K58" s="89" t="inlineStr">
        <is>
          <t>3K</t>
        </is>
      </c>
    </row>
    <row r="59">
      <c r="B59" s="88" t="n">
        <v>54</v>
      </c>
      <c r="C59" s="83" t="inlineStr">
        <is>
          <t>BDGHIJKL</t>
        </is>
      </c>
      <c r="D59" s="83" t="inlineStr">
        <is>
          <t>3H</t>
        </is>
      </c>
      <c r="E59" s="83" t="inlineStr">
        <is>
          <t>3J</t>
        </is>
      </c>
      <c r="F59" s="83" t="inlineStr">
        <is>
          <t>3B</t>
        </is>
      </c>
      <c r="G59" s="83" t="inlineStr">
        <is>
          <t>3D</t>
        </is>
      </c>
      <c r="H59" s="83" t="inlineStr">
        <is>
          <t>3I</t>
        </is>
      </c>
      <c r="I59" s="83" t="inlineStr">
        <is>
          <t>3G</t>
        </is>
      </c>
      <c r="J59" s="83" t="inlineStr">
        <is>
          <t>3L</t>
        </is>
      </c>
      <c r="K59" s="89" t="inlineStr">
        <is>
          <t>3K</t>
        </is>
      </c>
    </row>
    <row r="60">
      <c r="B60" s="88" t="n">
        <v>55</v>
      </c>
      <c r="C60" s="83" t="inlineStr">
        <is>
          <t>BDFHIJKL</t>
        </is>
      </c>
      <c r="D60" s="83" t="inlineStr">
        <is>
          <t>3H</t>
        </is>
      </c>
      <c r="E60" s="83" t="inlineStr">
        <is>
          <t>3J</t>
        </is>
      </c>
      <c r="F60" s="83" t="inlineStr">
        <is>
          <t>3B</t>
        </is>
      </c>
      <c r="G60" s="83" t="inlineStr">
        <is>
          <t>3D</t>
        </is>
      </c>
      <c r="H60" s="83" t="inlineStr">
        <is>
          <t>3I</t>
        </is>
      </c>
      <c r="I60" s="83" t="inlineStr">
        <is>
          <t>3F</t>
        </is>
      </c>
      <c r="J60" s="83" t="inlineStr">
        <is>
          <t>3L</t>
        </is>
      </c>
      <c r="K60" s="89" t="inlineStr">
        <is>
          <t>3K</t>
        </is>
      </c>
    </row>
    <row r="61">
      <c r="B61" s="88" t="n">
        <v>56</v>
      </c>
      <c r="C61" s="83" t="inlineStr">
        <is>
          <t>BDFGIJKL</t>
        </is>
      </c>
      <c r="D61" s="83" t="inlineStr">
        <is>
          <t>3I</t>
        </is>
      </c>
      <c r="E61" s="83" t="inlineStr">
        <is>
          <t>3G</t>
        </is>
      </c>
      <c r="F61" s="83" t="inlineStr">
        <is>
          <t>3B</t>
        </is>
      </c>
      <c r="G61" s="83" t="inlineStr">
        <is>
          <t>3D</t>
        </is>
      </c>
      <c r="H61" s="83" t="inlineStr">
        <is>
          <t>3J</t>
        </is>
      </c>
      <c r="I61" s="83" t="inlineStr">
        <is>
          <t>3F</t>
        </is>
      </c>
      <c r="J61" s="83" t="inlineStr">
        <is>
          <t>3L</t>
        </is>
      </c>
      <c r="K61" s="89" t="inlineStr">
        <is>
          <t>3K</t>
        </is>
      </c>
    </row>
    <row r="62">
      <c r="B62" s="88" t="n">
        <v>57</v>
      </c>
      <c r="C62" s="83" t="inlineStr">
        <is>
          <t>BDFGHJKL</t>
        </is>
      </c>
      <c r="D62" s="83" t="inlineStr">
        <is>
          <t>3H</t>
        </is>
      </c>
      <c r="E62" s="83" t="inlineStr">
        <is>
          <t>3G</t>
        </is>
      </c>
      <c r="F62" s="83" t="inlineStr">
        <is>
          <t>3B</t>
        </is>
      </c>
      <c r="G62" s="83" t="inlineStr">
        <is>
          <t>3D</t>
        </is>
      </c>
      <c r="H62" s="83" t="inlineStr">
        <is>
          <t>3J</t>
        </is>
      </c>
      <c r="I62" s="83" t="inlineStr">
        <is>
          <t>3F</t>
        </is>
      </c>
      <c r="J62" s="83" t="inlineStr">
        <is>
          <t>3L</t>
        </is>
      </c>
      <c r="K62" s="89" t="inlineStr">
        <is>
          <t>3K</t>
        </is>
      </c>
    </row>
    <row r="63">
      <c r="B63" s="88" t="n">
        <v>58</v>
      </c>
      <c r="C63" s="83" t="inlineStr">
        <is>
          <t>BDFGHIKL</t>
        </is>
      </c>
      <c r="D63" s="83" t="inlineStr">
        <is>
          <t>3H</t>
        </is>
      </c>
      <c r="E63" s="83" t="inlineStr">
        <is>
          <t>3G</t>
        </is>
      </c>
      <c r="F63" s="83" t="inlineStr">
        <is>
          <t>3B</t>
        </is>
      </c>
      <c r="G63" s="83" t="inlineStr">
        <is>
          <t>3D</t>
        </is>
      </c>
      <c r="H63" s="83" t="inlineStr">
        <is>
          <t>3I</t>
        </is>
      </c>
      <c r="I63" s="83" t="inlineStr">
        <is>
          <t>3F</t>
        </is>
      </c>
      <c r="J63" s="83" t="inlineStr">
        <is>
          <t>3L</t>
        </is>
      </c>
      <c r="K63" s="89" t="inlineStr">
        <is>
          <t>3K</t>
        </is>
      </c>
    </row>
    <row r="64">
      <c r="B64" s="88" t="n">
        <v>59</v>
      </c>
      <c r="C64" s="83" t="inlineStr">
        <is>
          <t>BDFGHIJL</t>
        </is>
      </c>
      <c r="D64" s="83" t="inlineStr">
        <is>
          <t>3H</t>
        </is>
      </c>
      <c r="E64" s="83" t="inlineStr">
        <is>
          <t>3G</t>
        </is>
      </c>
      <c r="F64" s="83" t="inlineStr">
        <is>
          <t>3B</t>
        </is>
      </c>
      <c r="G64" s="83" t="inlineStr">
        <is>
          <t>3D</t>
        </is>
      </c>
      <c r="H64" s="83" t="inlineStr">
        <is>
          <t>3J</t>
        </is>
      </c>
      <c r="I64" s="83" t="inlineStr">
        <is>
          <t>3F</t>
        </is>
      </c>
      <c r="J64" s="83" t="inlineStr">
        <is>
          <t>3L</t>
        </is>
      </c>
      <c r="K64" s="89" t="inlineStr">
        <is>
          <t>3I</t>
        </is>
      </c>
    </row>
    <row r="65">
      <c r="B65" s="88" t="n">
        <v>60</v>
      </c>
      <c r="C65" s="83" t="inlineStr">
        <is>
          <t>BDFGHIJK</t>
        </is>
      </c>
      <c r="D65" s="83" t="inlineStr">
        <is>
          <t>3H</t>
        </is>
      </c>
      <c r="E65" s="83" t="inlineStr">
        <is>
          <t>3G</t>
        </is>
      </c>
      <c r="F65" s="83" t="inlineStr">
        <is>
          <t>3B</t>
        </is>
      </c>
      <c r="G65" s="83" t="inlineStr">
        <is>
          <t>3D</t>
        </is>
      </c>
      <c r="H65" s="83" t="inlineStr">
        <is>
          <t>3J</t>
        </is>
      </c>
      <c r="I65" s="83" t="inlineStr">
        <is>
          <t>3F</t>
        </is>
      </c>
      <c r="J65" s="83" t="inlineStr">
        <is>
          <t>3I</t>
        </is>
      </c>
      <c r="K65" s="89" t="inlineStr">
        <is>
          <t>3K</t>
        </is>
      </c>
    </row>
    <row r="66">
      <c r="B66" s="88" t="n">
        <v>61</v>
      </c>
      <c r="C66" s="83" t="inlineStr">
        <is>
          <t>BDEHIJKL</t>
        </is>
      </c>
      <c r="D66" s="83" t="inlineStr">
        <is>
          <t>3E</t>
        </is>
      </c>
      <c r="E66" s="83" t="inlineStr">
        <is>
          <t>3J</t>
        </is>
      </c>
      <c r="F66" s="83" t="inlineStr">
        <is>
          <t>3B</t>
        </is>
      </c>
      <c r="G66" s="83" t="inlineStr">
        <is>
          <t>3D</t>
        </is>
      </c>
      <c r="H66" s="83" t="inlineStr">
        <is>
          <t>3I</t>
        </is>
      </c>
      <c r="I66" s="83" t="inlineStr">
        <is>
          <t>3H</t>
        </is>
      </c>
      <c r="J66" s="83" t="inlineStr">
        <is>
          <t>3L</t>
        </is>
      </c>
      <c r="K66" s="89" t="inlineStr">
        <is>
          <t>3K</t>
        </is>
      </c>
    </row>
    <row r="67">
      <c r="B67" s="88" t="n">
        <v>62</v>
      </c>
      <c r="C67" s="83" t="inlineStr">
        <is>
          <t>BDEGIJKL</t>
        </is>
      </c>
      <c r="D67" s="83" t="inlineStr">
        <is>
          <t>3E</t>
        </is>
      </c>
      <c r="E67" s="83" t="inlineStr">
        <is>
          <t>3J</t>
        </is>
      </c>
      <c r="F67" s="83" t="inlineStr">
        <is>
          <t>3B</t>
        </is>
      </c>
      <c r="G67" s="83" t="inlineStr">
        <is>
          <t>3D</t>
        </is>
      </c>
      <c r="H67" s="83" t="inlineStr">
        <is>
          <t>3I</t>
        </is>
      </c>
      <c r="I67" s="83" t="inlineStr">
        <is>
          <t>3G</t>
        </is>
      </c>
      <c r="J67" s="83" t="inlineStr">
        <is>
          <t>3L</t>
        </is>
      </c>
      <c r="K67" s="89" t="inlineStr">
        <is>
          <t>3K</t>
        </is>
      </c>
    </row>
    <row r="68">
      <c r="B68" s="88" t="n">
        <v>63</v>
      </c>
      <c r="C68" s="83" t="inlineStr">
        <is>
          <t>BDEGHJKL</t>
        </is>
      </c>
      <c r="D68" s="83" t="inlineStr">
        <is>
          <t>3E</t>
        </is>
      </c>
      <c r="E68" s="83" t="inlineStr">
        <is>
          <t>3J</t>
        </is>
      </c>
      <c r="F68" s="83" t="inlineStr">
        <is>
          <t>3B</t>
        </is>
      </c>
      <c r="G68" s="83" t="inlineStr">
        <is>
          <t>3D</t>
        </is>
      </c>
      <c r="H68" s="83" t="inlineStr">
        <is>
          <t>3H</t>
        </is>
      </c>
      <c r="I68" s="83" t="inlineStr">
        <is>
          <t>3G</t>
        </is>
      </c>
      <c r="J68" s="83" t="inlineStr">
        <is>
          <t>3L</t>
        </is>
      </c>
      <c r="K68" s="89" t="inlineStr">
        <is>
          <t>3K</t>
        </is>
      </c>
    </row>
    <row r="69">
      <c r="B69" s="88" t="n">
        <v>64</v>
      </c>
      <c r="C69" s="83" t="inlineStr">
        <is>
          <t>BDEGHIKL</t>
        </is>
      </c>
      <c r="D69" s="83" t="inlineStr">
        <is>
          <t>3E</t>
        </is>
      </c>
      <c r="E69" s="83" t="inlineStr">
        <is>
          <t>3G</t>
        </is>
      </c>
      <c r="F69" s="83" t="inlineStr">
        <is>
          <t>3B</t>
        </is>
      </c>
      <c r="G69" s="83" t="inlineStr">
        <is>
          <t>3D</t>
        </is>
      </c>
      <c r="H69" s="83" t="inlineStr">
        <is>
          <t>3I</t>
        </is>
      </c>
      <c r="I69" s="83" t="inlineStr">
        <is>
          <t>3H</t>
        </is>
      </c>
      <c r="J69" s="83" t="inlineStr">
        <is>
          <t>3L</t>
        </is>
      </c>
      <c r="K69" s="89" t="inlineStr">
        <is>
          <t>3K</t>
        </is>
      </c>
    </row>
    <row r="70">
      <c r="B70" s="88" t="n">
        <v>65</v>
      </c>
      <c r="C70" s="83" t="inlineStr">
        <is>
          <t>BDEGHIJL</t>
        </is>
      </c>
      <c r="D70" s="83" t="inlineStr">
        <is>
          <t>3E</t>
        </is>
      </c>
      <c r="E70" s="83" t="inlineStr">
        <is>
          <t>3J</t>
        </is>
      </c>
      <c r="F70" s="83" t="inlineStr">
        <is>
          <t>3B</t>
        </is>
      </c>
      <c r="G70" s="83" t="inlineStr">
        <is>
          <t>3D</t>
        </is>
      </c>
      <c r="H70" s="83" t="inlineStr">
        <is>
          <t>3H</t>
        </is>
      </c>
      <c r="I70" s="83" t="inlineStr">
        <is>
          <t>3G</t>
        </is>
      </c>
      <c r="J70" s="83" t="inlineStr">
        <is>
          <t>3L</t>
        </is>
      </c>
      <c r="K70" s="89" t="inlineStr">
        <is>
          <t>3I</t>
        </is>
      </c>
    </row>
    <row r="71">
      <c r="B71" s="88" t="n">
        <v>66</v>
      </c>
      <c r="C71" s="83" t="inlineStr">
        <is>
          <t>BDEGHIJK</t>
        </is>
      </c>
      <c r="D71" s="83" t="inlineStr">
        <is>
          <t>3E</t>
        </is>
      </c>
      <c r="E71" s="83" t="inlineStr">
        <is>
          <t>3J</t>
        </is>
      </c>
      <c r="F71" s="83" t="inlineStr">
        <is>
          <t>3B</t>
        </is>
      </c>
      <c r="G71" s="83" t="inlineStr">
        <is>
          <t>3D</t>
        </is>
      </c>
      <c r="H71" s="83" t="inlineStr">
        <is>
          <t>3H</t>
        </is>
      </c>
      <c r="I71" s="83" t="inlineStr">
        <is>
          <t>3G</t>
        </is>
      </c>
      <c r="J71" s="83" t="inlineStr">
        <is>
          <t>3I</t>
        </is>
      </c>
      <c r="K71" s="89" t="inlineStr">
        <is>
          <t>3K</t>
        </is>
      </c>
    </row>
    <row r="72">
      <c r="B72" s="88" t="n">
        <v>67</v>
      </c>
      <c r="C72" s="83" t="inlineStr">
        <is>
          <t>BDEFIJKL</t>
        </is>
      </c>
      <c r="D72" s="83" t="inlineStr">
        <is>
          <t>3E</t>
        </is>
      </c>
      <c r="E72" s="83" t="inlineStr">
        <is>
          <t>3J</t>
        </is>
      </c>
      <c r="F72" s="83" t="inlineStr">
        <is>
          <t>3B</t>
        </is>
      </c>
      <c r="G72" s="83" t="inlineStr">
        <is>
          <t>3D</t>
        </is>
      </c>
      <c r="H72" s="83" t="inlineStr">
        <is>
          <t>3I</t>
        </is>
      </c>
      <c r="I72" s="83" t="inlineStr">
        <is>
          <t>3F</t>
        </is>
      </c>
      <c r="J72" s="83" t="inlineStr">
        <is>
          <t>3L</t>
        </is>
      </c>
      <c r="K72" s="89" t="inlineStr">
        <is>
          <t>3K</t>
        </is>
      </c>
    </row>
    <row r="73">
      <c r="B73" s="88" t="n">
        <v>68</v>
      </c>
      <c r="C73" s="83" t="inlineStr">
        <is>
          <t>BDEFHJKL</t>
        </is>
      </c>
      <c r="D73" s="83" t="inlineStr">
        <is>
          <t>3E</t>
        </is>
      </c>
      <c r="E73" s="83" t="inlineStr">
        <is>
          <t>3J</t>
        </is>
      </c>
      <c r="F73" s="83" t="inlineStr">
        <is>
          <t>3B</t>
        </is>
      </c>
      <c r="G73" s="83" t="inlineStr">
        <is>
          <t>3D</t>
        </is>
      </c>
      <c r="H73" s="83" t="inlineStr">
        <is>
          <t>3H</t>
        </is>
      </c>
      <c r="I73" s="83" t="inlineStr">
        <is>
          <t>3F</t>
        </is>
      </c>
      <c r="J73" s="83" t="inlineStr">
        <is>
          <t>3L</t>
        </is>
      </c>
      <c r="K73" s="89" t="inlineStr">
        <is>
          <t>3K</t>
        </is>
      </c>
    </row>
    <row r="74">
      <c r="B74" s="88" t="n">
        <v>69</v>
      </c>
      <c r="C74" s="83" t="inlineStr">
        <is>
          <t>BDEFHIKL</t>
        </is>
      </c>
      <c r="D74" s="83" t="inlineStr">
        <is>
          <t>3E</t>
        </is>
      </c>
      <c r="E74" s="83" t="inlineStr">
        <is>
          <t>3I</t>
        </is>
      </c>
      <c r="F74" s="83" t="inlineStr">
        <is>
          <t>3B</t>
        </is>
      </c>
      <c r="G74" s="83" t="inlineStr">
        <is>
          <t>3D</t>
        </is>
      </c>
      <c r="H74" s="83" t="inlineStr">
        <is>
          <t>3H</t>
        </is>
      </c>
      <c r="I74" s="83" t="inlineStr">
        <is>
          <t>3F</t>
        </is>
      </c>
      <c r="J74" s="83" t="inlineStr">
        <is>
          <t>3L</t>
        </is>
      </c>
      <c r="K74" s="89" t="inlineStr">
        <is>
          <t>3K</t>
        </is>
      </c>
    </row>
    <row r="75">
      <c r="B75" s="88" t="n">
        <v>70</v>
      </c>
      <c r="C75" s="83" t="inlineStr">
        <is>
          <t>BDEFHIJL</t>
        </is>
      </c>
      <c r="D75" s="83" t="inlineStr">
        <is>
          <t>3E</t>
        </is>
      </c>
      <c r="E75" s="83" t="inlineStr">
        <is>
          <t>3J</t>
        </is>
      </c>
      <c r="F75" s="83" t="inlineStr">
        <is>
          <t>3B</t>
        </is>
      </c>
      <c r="G75" s="83" t="inlineStr">
        <is>
          <t>3D</t>
        </is>
      </c>
      <c r="H75" s="83" t="inlineStr">
        <is>
          <t>3H</t>
        </is>
      </c>
      <c r="I75" s="83" t="inlineStr">
        <is>
          <t>3F</t>
        </is>
      </c>
      <c r="J75" s="83" t="inlineStr">
        <is>
          <t>3L</t>
        </is>
      </c>
      <c r="K75" s="89" t="inlineStr">
        <is>
          <t>3I</t>
        </is>
      </c>
    </row>
    <row r="76">
      <c r="B76" s="88" t="n">
        <v>71</v>
      </c>
      <c r="C76" s="83" t="inlineStr">
        <is>
          <t>BDEFHIJK</t>
        </is>
      </c>
      <c r="D76" s="83" t="inlineStr">
        <is>
          <t>3E</t>
        </is>
      </c>
      <c r="E76" s="83" t="inlineStr">
        <is>
          <t>3J</t>
        </is>
      </c>
      <c r="F76" s="83" t="inlineStr">
        <is>
          <t>3B</t>
        </is>
      </c>
      <c r="G76" s="83" t="inlineStr">
        <is>
          <t>3D</t>
        </is>
      </c>
      <c r="H76" s="83" t="inlineStr">
        <is>
          <t>3H</t>
        </is>
      </c>
      <c r="I76" s="83" t="inlineStr">
        <is>
          <t>3F</t>
        </is>
      </c>
      <c r="J76" s="83" t="inlineStr">
        <is>
          <t>3I</t>
        </is>
      </c>
      <c r="K76" s="89" t="inlineStr">
        <is>
          <t>3K</t>
        </is>
      </c>
    </row>
    <row r="77">
      <c r="B77" s="88" t="n">
        <v>72</v>
      </c>
      <c r="C77" s="83" t="inlineStr">
        <is>
          <t>BDEFGJKL</t>
        </is>
      </c>
      <c r="D77" s="83" t="inlineStr">
        <is>
          <t>3E</t>
        </is>
      </c>
      <c r="E77" s="83" t="inlineStr">
        <is>
          <t>3G</t>
        </is>
      </c>
      <c r="F77" s="83" t="inlineStr">
        <is>
          <t>3B</t>
        </is>
      </c>
      <c r="G77" s="83" t="inlineStr">
        <is>
          <t>3D</t>
        </is>
      </c>
      <c r="H77" s="83" t="inlineStr">
        <is>
          <t>3J</t>
        </is>
      </c>
      <c r="I77" s="83" t="inlineStr">
        <is>
          <t>3F</t>
        </is>
      </c>
      <c r="J77" s="83" t="inlineStr">
        <is>
          <t>3L</t>
        </is>
      </c>
      <c r="K77" s="89" t="inlineStr">
        <is>
          <t>3K</t>
        </is>
      </c>
    </row>
    <row r="78">
      <c r="B78" s="88" t="n">
        <v>73</v>
      </c>
      <c r="C78" s="83" t="inlineStr">
        <is>
          <t>BDEFGIKL</t>
        </is>
      </c>
      <c r="D78" s="83" t="inlineStr">
        <is>
          <t>3E</t>
        </is>
      </c>
      <c r="E78" s="83" t="inlineStr">
        <is>
          <t>3G</t>
        </is>
      </c>
      <c r="F78" s="83" t="inlineStr">
        <is>
          <t>3B</t>
        </is>
      </c>
      <c r="G78" s="83" t="inlineStr">
        <is>
          <t>3D</t>
        </is>
      </c>
      <c r="H78" s="83" t="inlineStr">
        <is>
          <t>3I</t>
        </is>
      </c>
      <c r="I78" s="83" t="inlineStr">
        <is>
          <t>3F</t>
        </is>
      </c>
      <c r="J78" s="83" t="inlineStr">
        <is>
          <t>3L</t>
        </is>
      </c>
      <c r="K78" s="89" t="inlineStr">
        <is>
          <t>3K</t>
        </is>
      </c>
    </row>
    <row r="79">
      <c r="B79" s="88" t="n">
        <v>74</v>
      </c>
      <c r="C79" s="83" t="inlineStr">
        <is>
          <t>BDEFGIJL</t>
        </is>
      </c>
      <c r="D79" s="83" t="inlineStr">
        <is>
          <t>3E</t>
        </is>
      </c>
      <c r="E79" s="83" t="inlineStr">
        <is>
          <t>3G</t>
        </is>
      </c>
      <c r="F79" s="83" t="inlineStr">
        <is>
          <t>3B</t>
        </is>
      </c>
      <c r="G79" s="83" t="inlineStr">
        <is>
          <t>3D</t>
        </is>
      </c>
      <c r="H79" s="83" t="inlineStr">
        <is>
          <t>3J</t>
        </is>
      </c>
      <c r="I79" s="83" t="inlineStr">
        <is>
          <t>3F</t>
        </is>
      </c>
      <c r="J79" s="83" t="inlineStr">
        <is>
          <t>3L</t>
        </is>
      </c>
      <c r="K79" s="89" t="inlineStr">
        <is>
          <t>3I</t>
        </is>
      </c>
    </row>
    <row r="80">
      <c r="B80" s="88" t="n">
        <v>75</v>
      </c>
      <c r="C80" s="83" t="inlineStr">
        <is>
          <t>BDEFGIJK</t>
        </is>
      </c>
      <c r="D80" s="83" t="inlineStr">
        <is>
          <t>3E</t>
        </is>
      </c>
      <c r="E80" s="83" t="inlineStr">
        <is>
          <t>3G</t>
        </is>
      </c>
      <c r="F80" s="83" t="inlineStr">
        <is>
          <t>3B</t>
        </is>
      </c>
      <c r="G80" s="83" t="inlineStr">
        <is>
          <t>3D</t>
        </is>
      </c>
      <c r="H80" s="83" t="inlineStr">
        <is>
          <t>3J</t>
        </is>
      </c>
      <c r="I80" s="83" t="inlineStr">
        <is>
          <t>3F</t>
        </is>
      </c>
      <c r="J80" s="83" t="inlineStr">
        <is>
          <t>3I</t>
        </is>
      </c>
      <c r="K80" s="89" t="inlineStr">
        <is>
          <t>3K</t>
        </is>
      </c>
    </row>
    <row r="81">
      <c r="B81" s="88" t="n">
        <v>76</v>
      </c>
      <c r="C81" s="83" t="inlineStr">
        <is>
          <t>BDEFGHKL</t>
        </is>
      </c>
      <c r="D81" s="83" t="inlineStr">
        <is>
          <t>3E</t>
        </is>
      </c>
      <c r="E81" s="83" t="inlineStr">
        <is>
          <t>3G</t>
        </is>
      </c>
      <c r="F81" s="83" t="inlineStr">
        <is>
          <t>3B</t>
        </is>
      </c>
      <c r="G81" s="83" t="inlineStr">
        <is>
          <t>3D</t>
        </is>
      </c>
      <c r="H81" s="83" t="inlineStr">
        <is>
          <t>3H</t>
        </is>
      </c>
      <c r="I81" s="83" t="inlineStr">
        <is>
          <t>3F</t>
        </is>
      </c>
      <c r="J81" s="83" t="inlineStr">
        <is>
          <t>3L</t>
        </is>
      </c>
      <c r="K81" s="89" t="inlineStr">
        <is>
          <t>3K</t>
        </is>
      </c>
    </row>
    <row r="82">
      <c r="B82" s="88" t="n">
        <v>77</v>
      </c>
      <c r="C82" s="83" t="inlineStr">
        <is>
          <t>BDEFGHJL</t>
        </is>
      </c>
      <c r="D82" s="83" t="inlineStr">
        <is>
          <t>3H</t>
        </is>
      </c>
      <c r="E82" s="83" t="inlineStr">
        <is>
          <t>3G</t>
        </is>
      </c>
      <c r="F82" s="83" t="inlineStr">
        <is>
          <t>3B</t>
        </is>
      </c>
      <c r="G82" s="83" t="inlineStr">
        <is>
          <t>3D</t>
        </is>
      </c>
      <c r="H82" s="83" t="inlineStr">
        <is>
          <t>3J</t>
        </is>
      </c>
      <c r="I82" s="83" t="inlineStr">
        <is>
          <t>3F</t>
        </is>
      </c>
      <c r="J82" s="83" t="inlineStr">
        <is>
          <t>3L</t>
        </is>
      </c>
      <c r="K82" s="89" t="inlineStr">
        <is>
          <t>3E</t>
        </is>
      </c>
    </row>
    <row r="83">
      <c r="B83" s="88" t="n">
        <v>78</v>
      </c>
      <c r="C83" s="83" t="inlineStr">
        <is>
          <t>BDEFGHJK</t>
        </is>
      </c>
      <c r="D83" s="83" t="inlineStr">
        <is>
          <t>3H</t>
        </is>
      </c>
      <c r="E83" s="83" t="inlineStr">
        <is>
          <t>3G</t>
        </is>
      </c>
      <c r="F83" s="83" t="inlineStr">
        <is>
          <t>3B</t>
        </is>
      </c>
      <c r="G83" s="83" t="inlineStr">
        <is>
          <t>3D</t>
        </is>
      </c>
      <c r="H83" s="83" t="inlineStr">
        <is>
          <t>3J</t>
        </is>
      </c>
      <c r="I83" s="83" t="inlineStr">
        <is>
          <t>3F</t>
        </is>
      </c>
      <c r="J83" s="83" t="inlineStr">
        <is>
          <t>3E</t>
        </is>
      </c>
      <c r="K83" s="89" t="inlineStr">
        <is>
          <t>3K</t>
        </is>
      </c>
    </row>
    <row r="84">
      <c r="B84" s="88" t="n">
        <v>79</v>
      </c>
      <c r="C84" s="83" t="inlineStr">
        <is>
          <t>BDEFGHIL</t>
        </is>
      </c>
      <c r="D84" s="83" t="inlineStr">
        <is>
          <t>3E</t>
        </is>
      </c>
      <c r="E84" s="83" t="inlineStr">
        <is>
          <t>3G</t>
        </is>
      </c>
      <c r="F84" s="83" t="inlineStr">
        <is>
          <t>3B</t>
        </is>
      </c>
      <c r="G84" s="83" t="inlineStr">
        <is>
          <t>3D</t>
        </is>
      </c>
      <c r="H84" s="83" t="inlineStr">
        <is>
          <t>3H</t>
        </is>
      </c>
      <c r="I84" s="83" t="inlineStr">
        <is>
          <t>3F</t>
        </is>
      </c>
      <c r="J84" s="83" t="inlineStr">
        <is>
          <t>3L</t>
        </is>
      </c>
      <c r="K84" s="89" t="inlineStr">
        <is>
          <t>3I</t>
        </is>
      </c>
    </row>
    <row r="85">
      <c r="B85" s="88" t="n">
        <v>80</v>
      </c>
      <c r="C85" s="83" t="inlineStr">
        <is>
          <t>BDEFGHIK</t>
        </is>
      </c>
      <c r="D85" s="83" t="inlineStr">
        <is>
          <t>3E</t>
        </is>
      </c>
      <c r="E85" s="83" t="inlineStr">
        <is>
          <t>3G</t>
        </is>
      </c>
      <c r="F85" s="83" t="inlineStr">
        <is>
          <t>3B</t>
        </is>
      </c>
      <c r="G85" s="83" t="inlineStr">
        <is>
          <t>3D</t>
        </is>
      </c>
      <c r="H85" s="83" t="inlineStr">
        <is>
          <t>3H</t>
        </is>
      </c>
      <c r="I85" s="83" t="inlineStr">
        <is>
          <t>3F</t>
        </is>
      </c>
      <c r="J85" s="83" t="inlineStr">
        <is>
          <t>3I</t>
        </is>
      </c>
      <c r="K85" s="89" t="inlineStr">
        <is>
          <t>3K</t>
        </is>
      </c>
    </row>
    <row r="86">
      <c r="B86" s="88" t="n">
        <v>81</v>
      </c>
      <c r="C86" s="83" t="inlineStr">
        <is>
          <t>BDEFGHIJ</t>
        </is>
      </c>
      <c r="D86" s="83" t="inlineStr">
        <is>
          <t>3H</t>
        </is>
      </c>
      <c r="E86" s="83" t="inlineStr">
        <is>
          <t>3G</t>
        </is>
      </c>
      <c r="F86" s="83" t="inlineStr">
        <is>
          <t>3B</t>
        </is>
      </c>
      <c r="G86" s="83" t="inlineStr">
        <is>
          <t>3D</t>
        </is>
      </c>
      <c r="H86" s="83" t="inlineStr">
        <is>
          <t>3J</t>
        </is>
      </c>
      <c r="I86" s="83" t="inlineStr">
        <is>
          <t>3F</t>
        </is>
      </c>
      <c r="J86" s="83" t="inlineStr">
        <is>
          <t>3E</t>
        </is>
      </c>
      <c r="K86" s="89" t="inlineStr">
        <is>
          <t>3I</t>
        </is>
      </c>
    </row>
    <row r="87">
      <c r="B87" s="88" t="n">
        <v>82</v>
      </c>
      <c r="C87" s="83" t="inlineStr">
        <is>
          <t>BCGHIJKL</t>
        </is>
      </c>
      <c r="D87" s="83" t="inlineStr">
        <is>
          <t>3H</t>
        </is>
      </c>
      <c r="E87" s="83" t="inlineStr">
        <is>
          <t>3J</t>
        </is>
      </c>
      <c r="F87" s="83" t="inlineStr">
        <is>
          <t>3B</t>
        </is>
      </c>
      <c r="G87" s="83" t="inlineStr">
        <is>
          <t>3C</t>
        </is>
      </c>
      <c r="H87" s="83" t="inlineStr">
        <is>
          <t>3I</t>
        </is>
      </c>
      <c r="I87" s="83" t="inlineStr">
        <is>
          <t>3G</t>
        </is>
      </c>
      <c r="J87" s="83" t="inlineStr">
        <is>
          <t>3L</t>
        </is>
      </c>
      <c r="K87" s="89" t="inlineStr">
        <is>
          <t>3K</t>
        </is>
      </c>
    </row>
    <row r="88">
      <c r="B88" s="88" t="n">
        <v>83</v>
      </c>
      <c r="C88" s="83" t="inlineStr">
        <is>
          <t>BCFHIJKL</t>
        </is>
      </c>
      <c r="D88" s="83" t="inlineStr">
        <is>
          <t>3H</t>
        </is>
      </c>
      <c r="E88" s="83" t="inlineStr">
        <is>
          <t>3J</t>
        </is>
      </c>
      <c r="F88" s="83" t="inlineStr">
        <is>
          <t>3B</t>
        </is>
      </c>
      <c r="G88" s="83" t="inlineStr">
        <is>
          <t>3C</t>
        </is>
      </c>
      <c r="H88" s="83" t="inlineStr">
        <is>
          <t>3I</t>
        </is>
      </c>
      <c r="I88" s="83" t="inlineStr">
        <is>
          <t>3F</t>
        </is>
      </c>
      <c r="J88" s="83" t="inlineStr">
        <is>
          <t>3L</t>
        </is>
      </c>
      <c r="K88" s="89" t="inlineStr">
        <is>
          <t>3K</t>
        </is>
      </c>
    </row>
    <row r="89">
      <c r="B89" s="88" t="n">
        <v>84</v>
      </c>
      <c r="C89" s="83" t="inlineStr">
        <is>
          <t>BCFGIJKL</t>
        </is>
      </c>
      <c r="D89" s="83" t="inlineStr">
        <is>
          <t>3I</t>
        </is>
      </c>
      <c r="E89" s="83" t="inlineStr">
        <is>
          <t>3G</t>
        </is>
      </c>
      <c r="F89" s="83" t="inlineStr">
        <is>
          <t>3B</t>
        </is>
      </c>
      <c r="G89" s="83" t="inlineStr">
        <is>
          <t>3C</t>
        </is>
      </c>
      <c r="H89" s="83" t="inlineStr">
        <is>
          <t>3J</t>
        </is>
      </c>
      <c r="I89" s="83" t="inlineStr">
        <is>
          <t>3F</t>
        </is>
      </c>
      <c r="J89" s="83" t="inlineStr">
        <is>
          <t>3L</t>
        </is>
      </c>
      <c r="K89" s="89" t="inlineStr">
        <is>
          <t>3K</t>
        </is>
      </c>
    </row>
    <row r="90">
      <c r="B90" s="88" t="n">
        <v>85</v>
      </c>
      <c r="C90" s="83" t="inlineStr">
        <is>
          <t>BCFGHJKL</t>
        </is>
      </c>
      <c r="D90" s="83" t="inlineStr">
        <is>
          <t>3H</t>
        </is>
      </c>
      <c r="E90" s="83" t="inlineStr">
        <is>
          <t>3G</t>
        </is>
      </c>
      <c r="F90" s="83" t="inlineStr">
        <is>
          <t>3B</t>
        </is>
      </c>
      <c r="G90" s="83" t="inlineStr">
        <is>
          <t>3C</t>
        </is>
      </c>
      <c r="H90" s="83" t="inlineStr">
        <is>
          <t>3J</t>
        </is>
      </c>
      <c r="I90" s="83" t="inlineStr">
        <is>
          <t>3F</t>
        </is>
      </c>
      <c r="J90" s="83" t="inlineStr">
        <is>
          <t>3L</t>
        </is>
      </c>
      <c r="K90" s="89" t="inlineStr">
        <is>
          <t>3K</t>
        </is>
      </c>
    </row>
    <row r="91">
      <c r="B91" s="88" t="n">
        <v>86</v>
      </c>
      <c r="C91" s="83" t="inlineStr">
        <is>
          <t>BCFGHIKL</t>
        </is>
      </c>
      <c r="D91" s="83" t="inlineStr">
        <is>
          <t>3H</t>
        </is>
      </c>
      <c r="E91" s="83" t="inlineStr">
        <is>
          <t>3G</t>
        </is>
      </c>
      <c r="F91" s="83" t="inlineStr">
        <is>
          <t>3B</t>
        </is>
      </c>
      <c r="G91" s="83" t="inlineStr">
        <is>
          <t>3C</t>
        </is>
      </c>
      <c r="H91" s="83" t="inlineStr">
        <is>
          <t>3I</t>
        </is>
      </c>
      <c r="I91" s="83" t="inlineStr">
        <is>
          <t>3F</t>
        </is>
      </c>
      <c r="J91" s="83" t="inlineStr">
        <is>
          <t>3L</t>
        </is>
      </c>
      <c r="K91" s="89" t="inlineStr">
        <is>
          <t>3K</t>
        </is>
      </c>
    </row>
    <row r="92">
      <c r="B92" s="88" t="n">
        <v>87</v>
      </c>
      <c r="C92" s="83" t="inlineStr">
        <is>
          <t>BCFGHIJL</t>
        </is>
      </c>
      <c r="D92" s="83" t="inlineStr">
        <is>
          <t>3H</t>
        </is>
      </c>
      <c r="E92" s="83" t="inlineStr">
        <is>
          <t>3G</t>
        </is>
      </c>
      <c r="F92" s="83" t="inlineStr">
        <is>
          <t>3B</t>
        </is>
      </c>
      <c r="G92" s="83" t="inlineStr">
        <is>
          <t>3C</t>
        </is>
      </c>
      <c r="H92" s="83" t="inlineStr">
        <is>
          <t>3J</t>
        </is>
      </c>
      <c r="I92" s="83" t="inlineStr">
        <is>
          <t>3F</t>
        </is>
      </c>
      <c r="J92" s="83" t="inlineStr">
        <is>
          <t>3L</t>
        </is>
      </c>
      <c r="K92" s="89" t="inlineStr">
        <is>
          <t>3I</t>
        </is>
      </c>
    </row>
    <row r="93">
      <c r="B93" s="88" t="n">
        <v>88</v>
      </c>
      <c r="C93" s="83" t="inlineStr">
        <is>
          <t>BCFGHIJK</t>
        </is>
      </c>
      <c r="D93" s="83" t="inlineStr">
        <is>
          <t>3H</t>
        </is>
      </c>
      <c r="E93" s="83" t="inlineStr">
        <is>
          <t>3G</t>
        </is>
      </c>
      <c r="F93" s="83" t="inlineStr">
        <is>
          <t>3B</t>
        </is>
      </c>
      <c r="G93" s="83" t="inlineStr">
        <is>
          <t>3C</t>
        </is>
      </c>
      <c r="H93" s="83" t="inlineStr">
        <is>
          <t>3J</t>
        </is>
      </c>
      <c r="I93" s="83" t="inlineStr">
        <is>
          <t>3F</t>
        </is>
      </c>
      <c r="J93" s="83" t="inlineStr">
        <is>
          <t>3I</t>
        </is>
      </c>
      <c r="K93" s="89" t="inlineStr">
        <is>
          <t>3K</t>
        </is>
      </c>
    </row>
    <row r="94">
      <c r="B94" s="88" t="n">
        <v>89</v>
      </c>
      <c r="C94" s="83" t="inlineStr">
        <is>
          <t>BCEHIJKL</t>
        </is>
      </c>
      <c r="D94" s="83" t="inlineStr">
        <is>
          <t>3E</t>
        </is>
      </c>
      <c r="E94" s="83" t="inlineStr">
        <is>
          <t>3J</t>
        </is>
      </c>
      <c r="F94" s="83" t="inlineStr">
        <is>
          <t>3B</t>
        </is>
      </c>
      <c r="G94" s="83" t="inlineStr">
        <is>
          <t>3C</t>
        </is>
      </c>
      <c r="H94" s="83" t="inlineStr">
        <is>
          <t>3I</t>
        </is>
      </c>
      <c r="I94" s="83" t="inlineStr">
        <is>
          <t>3H</t>
        </is>
      </c>
      <c r="J94" s="83" t="inlineStr">
        <is>
          <t>3L</t>
        </is>
      </c>
      <c r="K94" s="89" t="inlineStr">
        <is>
          <t>3K</t>
        </is>
      </c>
    </row>
    <row r="95">
      <c r="B95" s="88" t="n">
        <v>90</v>
      </c>
      <c r="C95" s="83" t="inlineStr">
        <is>
          <t>BCEGIJKL</t>
        </is>
      </c>
      <c r="D95" s="83" t="inlineStr">
        <is>
          <t>3E</t>
        </is>
      </c>
      <c r="E95" s="83" t="inlineStr">
        <is>
          <t>3J</t>
        </is>
      </c>
      <c r="F95" s="83" t="inlineStr">
        <is>
          <t>3B</t>
        </is>
      </c>
      <c r="G95" s="83" t="inlineStr">
        <is>
          <t>3C</t>
        </is>
      </c>
      <c r="H95" s="83" t="inlineStr">
        <is>
          <t>3I</t>
        </is>
      </c>
      <c r="I95" s="83" t="inlineStr">
        <is>
          <t>3G</t>
        </is>
      </c>
      <c r="J95" s="83" t="inlineStr">
        <is>
          <t>3L</t>
        </is>
      </c>
      <c r="K95" s="89" t="inlineStr">
        <is>
          <t>3K</t>
        </is>
      </c>
    </row>
    <row r="96">
      <c r="B96" s="88" t="n">
        <v>91</v>
      </c>
      <c r="C96" s="83" t="inlineStr">
        <is>
          <t>BCEGHJKL</t>
        </is>
      </c>
      <c r="D96" s="83" t="inlineStr">
        <is>
          <t>3E</t>
        </is>
      </c>
      <c r="E96" s="83" t="inlineStr">
        <is>
          <t>3J</t>
        </is>
      </c>
      <c r="F96" s="83" t="inlineStr">
        <is>
          <t>3B</t>
        </is>
      </c>
      <c r="G96" s="83" t="inlineStr">
        <is>
          <t>3C</t>
        </is>
      </c>
      <c r="H96" s="83" t="inlineStr">
        <is>
          <t>3H</t>
        </is>
      </c>
      <c r="I96" s="83" t="inlineStr">
        <is>
          <t>3G</t>
        </is>
      </c>
      <c r="J96" s="83" t="inlineStr">
        <is>
          <t>3L</t>
        </is>
      </c>
      <c r="K96" s="89" t="inlineStr">
        <is>
          <t>3K</t>
        </is>
      </c>
    </row>
    <row r="97">
      <c r="B97" s="88" t="n">
        <v>92</v>
      </c>
      <c r="C97" s="83" t="inlineStr">
        <is>
          <t>BCEGHIKL</t>
        </is>
      </c>
      <c r="D97" s="83" t="inlineStr">
        <is>
          <t>3E</t>
        </is>
      </c>
      <c r="E97" s="83" t="inlineStr">
        <is>
          <t>3G</t>
        </is>
      </c>
      <c r="F97" s="83" t="inlineStr">
        <is>
          <t>3B</t>
        </is>
      </c>
      <c r="G97" s="83" t="inlineStr">
        <is>
          <t>3C</t>
        </is>
      </c>
      <c r="H97" s="83" t="inlineStr">
        <is>
          <t>3I</t>
        </is>
      </c>
      <c r="I97" s="83" t="inlineStr">
        <is>
          <t>3H</t>
        </is>
      </c>
      <c r="J97" s="83" t="inlineStr">
        <is>
          <t>3L</t>
        </is>
      </c>
      <c r="K97" s="89" t="inlineStr">
        <is>
          <t>3K</t>
        </is>
      </c>
    </row>
    <row r="98">
      <c r="B98" s="88" t="n">
        <v>93</v>
      </c>
      <c r="C98" s="83" t="inlineStr">
        <is>
          <t>BCEGHIJL</t>
        </is>
      </c>
      <c r="D98" s="83" t="inlineStr">
        <is>
          <t>3E</t>
        </is>
      </c>
      <c r="E98" s="83" t="inlineStr">
        <is>
          <t>3J</t>
        </is>
      </c>
      <c r="F98" s="83" t="inlineStr">
        <is>
          <t>3B</t>
        </is>
      </c>
      <c r="G98" s="83" t="inlineStr">
        <is>
          <t>3C</t>
        </is>
      </c>
      <c r="H98" s="83" t="inlineStr">
        <is>
          <t>3H</t>
        </is>
      </c>
      <c r="I98" s="83" t="inlineStr">
        <is>
          <t>3G</t>
        </is>
      </c>
      <c r="J98" s="83" t="inlineStr">
        <is>
          <t>3L</t>
        </is>
      </c>
      <c r="K98" s="89" t="inlineStr">
        <is>
          <t>3I</t>
        </is>
      </c>
    </row>
    <row r="99">
      <c r="B99" s="88" t="n">
        <v>94</v>
      </c>
      <c r="C99" s="83" t="inlineStr">
        <is>
          <t>BCEGHIJK</t>
        </is>
      </c>
      <c r="D99" s="83" t="inlineStr">
        <is>
          <t>3E</t>
        </is>
      </c>
      <c r="E99" s="83" t="inlineStr">
        <is>
          <t>3J</t>
        </is>
      </c>
      <c r="F99" s="83" t="inlineStr">
        <is>
          <t>3B</t>
        </is>
      </c>
      <c r="G99" s="83" t="inlineStr">
        <is>
          <t>3C</t>
        </is>
      </c>
      <c r="H99" s="83" t="inlineStr">
        <is>
          <t>3H</t>
        </is>
      </c>
      <c r="I99" s="83" t="inlineStr">
        <is>
          <t>3G</t>
        </is>
      </c>
      <c r="J99" s="83" t="inlineStr">
        <is>
          <t>3I</t>
        </is>
      </c>
      <c r="K99" s="89" t="inlineStr">
        <is>
          <t>3K</t>
        </is>
      </c>
    </row>
    <row r="100">
      <c r="B100" s="88" t="n">
        <v>95</v>
      </c>
      <c r="C100" s="83" t="inlineStr">
        <is>
          <t>BCEFIJKL</t>
        </is>
      </c>
      <c r="D100" s="83" t="inlineStr">
        <is>
          <t>3E</t>
        </is>
      </c>
      <c r="E100" s="83" t="inlineStr">
        <is>
          <t>3J</t>
        </is>
      </c>
      <c r="F100" s="83" t="inlineStr">
        <is>
          <t>3B</t>
        </is>
      </c>
      <c r="G100" s="83" t="inlineStr">
        <is>
          <t>3C</t>
        </is>
      </c>
      <c r="H100" s="83" t="inlineStr">
        <is>
          <t>3I</t>
        </is>
      </c>
      <c r="I100" s="83" t="inlineStr">
        <is>
          <t>3F</t>
        </is>
      </c>
      <c r="J100" s="83" t="inlineStr">
        <is>
          <t>3L</t>
        </is>
      </c>
      <c r="K100" s="89" t="inlineStr">
        <is>
          <t>3K</t>
        </is>
      </c>
    </row>
    <row r="101">
      <c r="B101" s="88" t="n">
        <v>96</v>
      </c>
      <c r="C101" s="83" t="inlineStr">
        <is>
          <t>BCEFHJKL</t>
        </is>
      </c>
      <c r="D101" s="83" t="inlineStr">
        <is>
          <t>3E</t>
        </is>
      </c>
      <c r="E101" s="83" t="inlineStr">
        <is>
          <t>3J</t>
        </is>
      </c>
      <c r="F101" s="83" t="inlineStr">
        <is>
          <t>3B</t>
        </is>
      </c>
      <c r="G101" s="83" t="inlineStr">
        <is>
          <t>3C</t>
        </is>
      </c>
      <c r="H101" s="83" t="inlineStr">
        <is>
          <t>3H</t>
        </is>
      </c>
      <c r="I101" s="83" t="inlineStr">
        <is>
          <t>3F</t>
        </is>
      </c>
      <c r="J101" s="83" t="inlineStr">
        <is>
          <t>3L</t>
        </is>
      </c>
      <c r="K101" s="89" t="inlineStr">
        <is>
          <t>3K</t>
        </is>
      </c>
    </row>
    <row r="102">
      <c r="B102" s="88" t="n">
        <v>97</v>
      </c>
      <c r="C102" s="83" t="inlineStr">
        <is>
          <t>BCEFHIKL</t>
        </is>
      </c>
      <c r="D102" s="83" t="inlineStr">
        <is>
          <t>3E</t>
        </is>
      </c>
      <c r="E102" s="83" t="inlineStr">
        <is>
          <t>3I</t>
        </is>
      </c>
      <c r="F102" s="83" t="inlineStr">
        <is>
          <t>3B</t>
        </is>
      </c>
      <c r="G102" s="83" t="inlineStr">
        <is>
          <t>3C</t>
        </is>
      </c>
      <c r="H102" s="83" t="inlineStr">
        <is>
          <t>3H</t>
        </is>
      </c>
      <c r="I102" s="83" t="inlineStr">
        <is>
          <t>3F</t>
        </is>
      </c>
      <c r="J102" s="83" t="inlineStr">
        <is>
          <t>3L</t>
        </is>
      </c>
      <c r="K102" s="89" t="inlineStr">
        <is>
          <t>3K</t>
        </is>
      </c>
    </row>
    <row r="103">
      <c r="B103" s="88" t="n">
        <v>98</v>
      </c>
      <c r="C103" s="83" t="inlineStr">
        <is>
          <t>BCEFHIJL</t>
        </is>
      </c>
      <c r="D103" s="83" t="inlineStr">
        <is>
          <t>3E</t>
        </is>
      </c>
      <c r="E103" s="83" t="inlineStr">
        <is>
          <t>3J</t>
        </is>
      </c>
      <c r="F103" s="83" t="inlineStr">
        <is>
          <t>3B</t>
        </is>
      </c>
      <c r="G103" s="83" t="inlineStr">
        <is>
          <t>3C</t>
        </is>
      </c>
      <c r="H103" s="83" t="inlineStr">
        <is>
          <t>3H</t>
        </is>
      </c>
      <c r="I103" s="83" t="inlineStr">
        <is>
          <t>3F</t>
        </is>
      </c>
      <c r="J103" s="83" t="inlineStr">
        <is>
          <t>3L</t>
        </is>
      </c>
      <c r="K103" s="89" t="inlineStr">
        <is>
          <t>3I</t>
        </is>
      </c>
    </row>
    <row r="104">
      <c r="B104" s="88" t="n">
        <v>99</v>
      </c>
      <c r="C104" s="83" t="inlineStr">
        <is>
          <t>BCEFHIJK</t>
        </is>
      </c>
      <c r="D104" s="83" t="inlineStr">
        <is>
          <t>3E</t>
        </is>
      </c>
      <c r="E104" s="83" t="inlineStr">
        <is>
          <t>3J</t>
        </is>
      </c>
      <c r="F104" s="83" t="inlineStr">
        <is>
          <t>3B</t>
        </is>
      </c>
      <c r="G104" s="83" t="inlineStr">
        <is>
          <t>3C</t>
        </is>
      </c>
      <c r="H104" s="83" t="inlineStr">
        <is>
          <t>3H</t>
        </is>
      </c>
      <c r="I104" s="83" t="inlineStr">
        <is>
          <t>3F</t>
        </is>
      </c>
      <c r="J104" s="83" t="inlineStr">
        <is>
          <t>3I</t>
        </is>
      </c>
      <c r="K104" s="89" t="inlineStr">
        <is>
          <t>3K</t>
        </is>
      </c>
    </row>
    <row r="105">
      <c r="B105" s="88" t="n">
        <v>100</v>
      </c>
      <c r="C105" s="83" t="inlineStr">
        <is>
          <t>BCEFGJKL</t>
        </is>
      </c>
      <c r="D105" s="83" t="inlineStr">
        <is>
          <t>3E</t>
        </is>
      </c>
      <c r="E105" s="83" t="inlineStr">
        <is>
          <t>3G</t>
        </is>
      </c>
      <c r="F105" s="83" t="inlineStr">
        <is>
          <t>3B</t>
        </is>
      </c>
      <c r="G105" s="83" t="inlineStr">
        <is>
          <t>3C</t>
        </is>
      </c>
      <c r="H105" s="83" t="inlineStr">
        <is>
          <t>3J</t>
        </is>
      </c>
      <c r="I105" s="83" t="inlineStr">
        <is>
          <t>3F</t>
        </is>
      </c>
      <c r="J105" s="83" t="inlineStr">
        <is>
          <t>3L</t>
        </is>
      </c>
      <c r="K105" s="89" t="inlineStr">
        <is>
          <t>3K</t>
        </is>
      </c>
    </row>
    <row r="106">
      <c r="B106" s="88" t="n">
        <v>101</v>
      </c>
      <c r="C106" s="83" t="inlineStr">
        <is>
          <t>BCEFGIKL</t>
        </is>
      </c>
      <c r="D106" s="83" t="inlineStr">
        <is>
          <t>3E</t>
        </is>
      </c>
      <c r="E106" s="83" t="inlineStr">
        <is>
          <t>3G</t>
        </is>
      </c>
      <c r="F106" s="83" t="inlineStr">
        <is>
          <t>3B</t>
        </is>
      </c>
      <c r="G106" s="83" t="inlineStr">
        <is>
          <t>3C</t>
        </is>
      </c>
      <c r="H106" s="83" t="inlineStr">
        <is>
          <t>3I</t>
        </is>
      </c>
      <c r="I106" s="83" t="inlineStr">
        <is>
          <t>3F</t>
        </is>
      </c>
      <c r="J106" s="83" t="inlineStr">
        <is>
          <t>3L</t>
        </is>
      </c>
      <c r="K106" s="89" t="inlineStr">
        <is>
          <t>3K</t>
        </is>
      </c>
    </row>
    <row r="107">
      <c r="B107" s="88" t="n">
        <v>102</v>
      </c>
      <c r="C107" s="83" t="inlineStr">
        <is>
          <t>BCEFGIJL</t>
        </is>
      </c>
      <c r="D107" s="83" t="inlineStr">
        <is>
          <t>3E</t>
        </is>
      </c>
      <c r="E107" s="83" t="inlineStr">
        <is>
          <t>3G</t>
        </is>
      </c>
      <c r="F107" s="83" t="inlineStr">
        <is>
          <t>3B</t>
        </is>
      </c>
      <c r="G107" s="83" t="inlineStr">
        <is>
          <t>3C</t>
        </is>
      </c>
      <c r="H107" s="83" t="inlineStr">
        <is>
          <t>3J</t>
        </is>
      </c>
      <c r="I107" s="83" t="inlineStr">
        <is>
          <t>3F</t>
        </is>
      </c>
      <c r="J107" s="83" t="inlineStr">
        <is>
          <t>3L</t>
        </is>
      </c>
      <c r="K107" s="89" t="inlineStr">
        <is>
          <t>3I</t>
        </is>
      </c>
    </row>
    <row r="108">
      <c r="B108" s="88" t="n">
        <v>103</v>
      </c>
      <c r="C108" s="83" t="inlineStr">
        <is>
          <t>BCEFGIJK</t>
        </is>
      </c>
      <c r="D108" s="83" t="inlineStr">
        <is>
          <t>3E</t>
        </is>
      </c>
      <c r="E108" s="83" t="inlineStr">
        <is>
          <t>3G</t>
        </is>
      </c>
      <c r="F108" s="83" t="inlineStr">
        <is>
          <t>3B</t>
        </is>
      </c>
      <c r="G108" s="83" t="inlineStr">
        <is>
          <t>3C</t>
        </is>
      </c>
      <c r="H108" s="83" t="inlineStr">
        <is>
          <t>3J</t>
        </is>
      </c>
      <c r="I108" s="83" t="inlineStr">
        <is>
          <t>3F</t>
        </is>
      </c>
      <c r="J108" s="83" t="inlineStr">
        <is>
          <t>3I</t>
        </is>
      </c>
      <c r="K108" s="89" t="inlineStr">
        <is>
          <t>3K</t>
        </is>
      </c>
    </row>
    <row r="109">
      <c r="B109" s="88" t="n">
        <v>104</v>
      </c>
      <c r="C109" s="83" t="inlineStr">
        <is>
          <t>BCEFGHKL</t>
        </is>
      </c>
      <c r="D109" s="83" t="inlineStr">
        <is>
          <t>3E</t>
        </is>
      </c>
      <c r="E109" s="83" t="inlineStr">
        <is>
          <t>3G</t>
        </is>
      </c>
      <c r="F109" s="83" t="inlineStr">
        <is>
          <t>3B</t>
        </is>
      </c>
      <c r="G109" s="83" t="inlineStr">
        <is>
          <t>3C</t>
        </is>
      </c>
      <c r="H109" s="83" t="inlineStr">
        <is>
          <t>3H</t>
        </is>
      </c>
      <c r="I109" s="83" t="inlineStr">
        <is>
          <t>3F</t>
        </is>
      </c>
      <c r="J109" s="83" t="inlineStr">
        <is>
          <t>3L</t>
        </is>
      </c>
      <c r="K109" s="89" t="inlineStr">
        <is>
          <t>3K</t>
        </is>
      </c>
    </row>
    <row r="110">
      <c r="B110" s="88" t="n">
        <v>105</v>
      </c>
      <c r="C110" s="83" t="inlineStr">
        <is>
          <t>BCEFGHJL</t>
        </is>
      </c>
      <c r="D110" s="83" t="inlineStr">
        <is>
          <t>3H</t>
        </is>
      </c>
      <c r="E110" s="83" t="inlineStr">
        <is>
          <t>3G</t>
        </is>
      </c>
      <c r="F110" s="83" t="inlineStr">
        <is>
          <t>3B</t>
        </is>
      </c>
      <c r="G110" s="83" t="inlineStr">
        <is>
          <t>3C</t>
        </is>
      </c>
      <c r="H110" s="83" t="inlineStr">
        <is>
          <t>3J</t>
        </is>
      </c>
      <c r="I110" s="83" t="inlineStr">
        <is>
          <t>3F</t>
        </is>
      </c>
      <c r="J110" s="83" t="inlineStr">
        <is>
          <t>3L</t>
        </is>
      </c>
      <c r="K110" s="89" t="inlineStr">
        <is>
          <t>3E</t>
        </is>
      </c>
    </row>
    <row r="111">
      <c r="B111" s="88" t="n">
        <v>106</v>
      </c>
      <c r="C111" s="83" t="inlineStr">
        <is>
          <t>BCEFGHJK</t>
        </is>
      </c>
      <c r="D111" s="83" t="inlineStr">
        <is>
          <t>3H</t>
        </is>
      </c>
      <c r="E111" s="83" t="inlineStr">
        <is>
          <t>3G</t>
        </is>
      </c>
      <c r="F111" s="83" t="inlineStr">
        <is>
          <t>3B</t>
        </is>
      </c>
      <c r="G111" s="83" t="inlineStr">
        <is>
          <t>3C</t>
        </is>
      </c>
      <c r="H111" s="83" t="inlineStr">
        <is>
          <t>3J</t>
        </is>
      </c>
      <c r="I111" s="83" t="inlineStr">
        <is>
          <t>3F</t>
        </is>
      </c>
      <c r="J111" s="83" t="inlineStr">
        <is>
          <t>3E</t>
        </is>
      </c>
      <c r="K111" s="89" t="inlineStr">
        <is>
          <t>3K</t>
        </is>
      </c>
    </row>
    <row r="112">
      <c r="B112" s="88" t="n">
        <v>107</v>
      </c>
      <c r="C112" s="83" t="inlineStr">
        <is>
          <t>BCEFGHIL</t>
        </is>
      </c>
      <c r="D112" s="83" t="inlineStr">
        <is>
          <t>3E</t>
        </is>
      </c>
      <c r="E112" s="83" t="inlineStr">
        <is>
          <t>3G</t>
        </is>
      </c>
      <c r="F112" s="83" t="inlineStr">
        <is>
          <t>3B</t>
        </is>
      </c>
      <c r="G112" s="83" t="inlineStr">
        <is>
          <t>3C</t>
        </is>
      </c>
      <c r="H112" s="83" t="inlineStr">
        <is>
          <t>3H</t>
        </is>
      </c>
      <c r="I112" s="83" t="inlineStr">
        <is>
          <t>3F</t>
        </is>
      </c>
      <c r="J112" s="83" t="inlineStr">
        <is>
          <t>3L</t>
        </is>
      </c>
      <c r="K112" s="89" t="inlineStr">
        <is>
          <t>3I</t>
        </is>
      </c>
    </row>
    <row r="113">
      <c r="B113" s="88" t="n">
        <v>108</v>
      </c>
      <c r="C113" s="83" t="inlineStr">
        <is>
          <t>BCEFGHIK</t>
        </is>
      </c>
      <c r="D113" s="83" t="inlineStr">
        <is>
          <t>3E</t>
        </is>
      </c>
      <c r="E113" s="83" t="inlineStr">
        <is>
          <t>3G</t>
        </is>
      </c>
      <c r="F113" s="83" t="inlineStr">
        <is>
          <t>3B</t>
        </is>
      </c>
      <c r="G113" s="83" t="inlineStr">
        <is>
          <t>3C</t>
        </is>
      </c>
      <c r="H113" s="83" t="inlineStr">
        <is>
          <t>3H</t>
        </is>
      </c>
      <c r="I113" s="83" t="inlineStr">
        <is>
          <t>3F</t>
        </is>
      </c>
      <c r="J113" s="83" t="inlineStr">
        <is>
          <t>3I</t>
        </is>
      </c>
      <c r="K113" s="89" t="inlineStr">
        <is>
          <t>3K</t>
        </is>
      </c>
    </row>
    <row r="114">
      <c r="B114" s="88" t="n">
        <v>109</v>
      </c>
      <c r="C114" s="83" t="inlineStr">
        <is>
          <t>BCEFGHIJ</t>
        </is>
      </c>
      <c r="D114" s="83" t="inlineStr">
        <is>
          <t>3H</t>
        </is>
      </c>
      <c r="E114" s="83" t="inlineStr">
        <is>
          <t>3G</t>
        </is>
      </c>
      <c r="F114" s="83" t="inlineStr">
        <is>
          <t>3B</t>
        </is>
      </c>
      <c r="G114" s="83" t="inlineStr">
        <is>
          <t>3C</t>
        </is>
      </c>
      <c r="H114" s="83" t="inlineStr">
        <is>
          <t>3J</t>
        </is>
      </c>
      <c r="I114" s="83" t="inlineStr">
        <is>
          <t>3F</t>
        </is>
      </c>
      <c r="J114" s="83" t="inlineStr">
        <is>
          <t>3E</t>
        </is>
      </c>
      <c r="K114" s="89" t="inlineStr">
        <is>
          <t>3I</t>
        </is>
      </c>
    </row>
    <row r="115">
      <c r="B115" s="88" t="n">
        <v>110</v>
      </c>
      <c r="C115" s="83" t="inlineStr">
        <is>
          <t>BCDHIJKL</t>
        </is>
      </c>
      <c r="D115" s="83" t="inlineStr">
        <is>
          <t>3H</t>
        </is>
      </c>
      <c r="E115" s="83" t="inlineStr">
        <is>
          <t>3J</t>
        </is>
      </c>
      <c r="F115" s="83" t="inlineStr">
        <is>
          <t>3B</t>
        </is>
      </c>
      <c r="G115" s="83" t="inlineStr">
        <is>
          <t>3C</t>
        </is>
      </c>
      <c r="H115" s="83" t="inlineStr">
        <is>
          <t>3I</t>
        </is>
      </c>
      <c r="I115" s="83" t="inlineStr">
        <is>
          <t>3D</t>
        </is>
      </c>
      <c r="J115" s="83" t="inlineStr">
        <is>
          <t>3L</t>
        </is>
      </c>
      <c r="K115" s="89" t="inlineStr">
        <is>
          <t>3K</t>
        </is>
      </c>
    </row>
    <row r="116">
      <c r="B116" s="88" t="n">
        <v>111</v>
      </c>
      <c r="C116" s="83" t="inlineStr">
        <is>
          <t>BCDGIJKL</t>
        </is>
      </c>
      <c r="D116" s="83" t="inlineStr">
        <is>
          <t>3I</t>
        </is>
      </c>
      <c r="E116" s="83" t="inlineStr">
        <is>
          <t>3G</t>
        </is>
      </c>
      <c r="F116" s="83" t="inlineStr">
        <is>
          <t>3B</t>
        </is>
      </c>
      <c r="G116" s="83" t="inlineStr">
        <is>
          <t>3C</t>
        </is>
      </c>
      <c r="H116" s="83" t="inlineStr">
        <is>
          <t>3J</t>
        </is>
      </c>
      <c r="I116" s="83" t="inlineStr">
        <is>
          <t>3D</t>
        </is>
      </c>
      <c r="J116" s="83" t="inlineStr">
        <is>
          <t>3L</t>
        </is>
      </c>
      <c r="K116" s="89" t="inlineStr">
        <is>
          <t>3K</t>
        </is>
      </c>
    </row>
    <row r="117">
      <c r="B117" s="88" t="n">
        <v>112</v>
      </c>
      <c r="C117" s="83" t="inlineStr">
        <is>
          <t>BCDGHJKL</t>
        </is>
      </c>
      <c r="D117" s="83" t="inlineStr">
        <is>
          <t>3H</t>
        </is>
      </c>
      <c r="E117" s="83" t="inlineStr">
        <is>
          <t>3G</t>
        </is>
      </c>
      <c r="F117" s="83" t="inlineStr">
        <is>
          <t>3B</t>
        </is>
      </c>
      <c r="G117" s="83" t="inlineStr">
        <is>
          <t>3C</t>
        </is>
      </c>
      <c r="H117" s="83" t="inlineStr">
        <is>
          <t>3J</t>
        </is>
      </c>
      <c r="I117" s="83" t="inlineStr">
        <is>
          <t>3D</t>
        </is>
      </c>
      <c r="J117" s="83" t="inlineStr">
        <is>
          <t>3L</t>
        </is>
      </c>
      <c r="K117" s="89" t="inlineStr">
        <is>
          <t>3K</t>
        </is>
      </c>
    </row>
    <row r="118">
      <c r="B118" s="88" t="n">
        <v>113</v>
      </c>
      <c r="C118" s="83" t="inlineStr">
        <is>
          <t>BCDGHIKL</t>
        </is>
      </c>
      <c r="D118" s="83" t="inlineStr">
        <is>
          <t>3H</t>
        </is>
      </c>
      <c r="E118" s="83" t="inlineStr">
        <is>
          <t>3G</t>
        </is>
      </c>
      <c r="F118" s="83" t="inlineStr">
        <is>
          <t>3B</t>
        </is>
      </c>
      <c r="G118" s="83" t="inlineStr">
        <is>
          <t>3C</t>
        </is>
      </c>
      <c r="H118" s="83" t="inlineStr">
        <is>
          <t>3I</t>
        </is>
      </c>
      <c r="I118" s="83" t="inlineStr">
        <is>
          <t>3D</t>
        </is>
      </c>
      <c r="J118" s="83" t="inlineStr">
        <is>
          <t>3L</t>
        </is>
      </c>
      <c r="K118" s="89" t="inlineStr">
        <is>
          <t>3K</t>
        </is>
      </c>
    </row>
    <row r="119">
      <c r="B119" s="88" t="n">
        <v>114</v>
      </c>
      <c r="C119" s="83" t="inlineStr">
        <is>
          <t>BCDGHIJL</t>
        </is>
      </c>
      <c r="D119" s="83" t="inlineStr">
        <is>
          <t>3H</t>
        </is>
      </c>
      <c r="E119" s="83" t="inlineStr">
        <is>
          <t>3G</t>
        </is>
      </c>
      <c r="F119" s="83" t="inlineStr">
        <is>
          <t>3B</t>
        </is>
      </c>
      <c r="G119" s="83" t="inlineStr">
        <is>
          <t>3C</t>
        </is>
      </c>
      <c r="H119" s="83" t="inlineStr">
        <is>
          <t>3J</t>
        </is>
      </c>
      <c r="I119" s="83" t="inlineStr">
        <is>
          <t>3D</t>
        </is>
      </c>
      <c r="J119" s="83" t="inlineStr">
        <is>
          <t>3L</t>
        </is>
      </c>
      <c r="K119" s="89" t="inlineStr">
        <is>
          <t>3I</t>
        </is>
      </c>
    </row>
    <row r="120">
      <c r="B120" s="88" t="n">
        <v>115</v>
      </c>
      <c r="C120" s="83" t="inlineStr">
        <is>
          <t>BCDGHIJK</t>
        </is>
      </c>
      <c r="D120" s="83" t="inlineStr">
        <is>
          <t>3H</t>
        </is>
      </c>
      <c r="E120" s="83" t="inlineStr">
        <is>
          <t>3G</t>
        </is>
      </c>
      <c r="F120" s="83" t="inlineStr">
        <is>
          <t>3B</t>
        </is>
      </c>
      <c r="G120" s="83" t="inlineStr">
        <is>
          <t>3C</t>
        </is>
      </c>
      <c r="H120" s="83" t="inlineStr">
        <is>
          <t>3J</t>
        </is>
      </c>
      <c r="I120" s="83" t="inlineStr">
        <is>
          <t>3D</t>
        </is>
      </c>
      <c r="J120" s="83" t="inlineStr">
        <is>
          <t>3I</t>
        </is>
      </c>
      <c r="K120" s="89" t="inlineStr">
        <is>
          <t>3K</t>
        </is>
      </c>
    </row>
    <row r="121">
      <c r="B121" s="88" t="n">
        <v>116</v>
      </c>
      <c r="C121" s="83" t="inlineStr">
        <is>
          <t>BCDFIJKL</t>
        </is>
      </c>
      <c r="D121" s="83" t="inlineStr">
        <is>
          <t>3C</t>
        </is>
      </c>
      <c r="E121" s="83" t="inlineStr">
        <is>
          <t>3J</t>
        </is>
      </c>
      <c r="F121" s="83" t="inlineStr">
        <is>
          <t>3B</t>
        </is>
      </c>
      <c r="G121" s="83" t="inlineStr">
        <is>
          <t>3D</t>
        </is>
      </c>
      <c r="H121" s="83" t="inlineStr">
        <is>
          <t>3I</t>
        </is>
      </c>
      <c r="I121" s="83" t="inlineStr">
        <is>
          <t>3F</t>
        </is>
      </c>
      <c r="J121" s="83" t="inlineStr">
        <is>
          <t>3L</t>
        </is>
      </c>
      <c r="K121" s="89" t="inlineStr">
        <is>
          <t>3K</t>
        </is>
      </c>
    </row>
    <row r="122">
      <c r="B122" s="88" t="n">
        <v>117</v>
      </c>
      <c r="C122" s="83" t="inlineStr">
        <is>
          <t>BCDFHJKL</t>
        </is>
      </c>
      <c r="D122" s="83" t="inlineStr">
        <is>
          <t>3C</t>
        </is>
      </c>
      <c r="E122" s="83" t="inlineStr">
        <is>
          <t>3J</t>
        </is>
      </c>
      <c r="F122" s="83" t="inlineStr">
        <is>
          <t>3B</t>
        </is>
      </c>
      <c r="G122" s="83" t="inlineStr">
        <is>
          <t>3D</t>
        </is>
      </c>
      <c r="H122" s="83" t="inlineStr">
        <is>
          <t>3H</t>
        </is>
      </c>
      <c r="I122" s="83" t="inlineStr">
        <is>
          <t>3F</t>
        </is>
      </c>
      <c r="J122" s="83" t="inlineStr">
        <is>
          <t>3L</t>
        </is>
      </c>
      <c r="K122" s="89" t="inlineStr">
        <is>
          <t>3K</t>
        </is>
      </c>
    </row>
    <row r="123">
      <c r="B123" s="88" t="n">
        <v>118</v>
      </c>
      <c r="C123" s="83" t="inlineStr">
        <is>
          <t>BCDFHIKL</t>
        </is>
      </c>
      <c r="D123" s="83" t="inlineStr">
        <is>
          <t>3C</t>
        </is>
      </c>
      <c r="E123" s="83" t="inlineStr">
        <is>
          <t>3I</t>
        </is>
      </c>
      <c r="F123" s="83" t="inlineStr">
        <is>
          <t>3B</t>
        </is>
      </c>
      <c r="G123" s="83" t="inlineStr">
        <is>
          <t>3D</t>
        </is>
      </c>
      <c r="H123" s="83" t="inlineStr">
        <is>
          <t>3H</t>
        </is>
      </c>
      <c r="I123" s="83" t="inlineStr">
        <is>
          <t>3F</t>
        </is>
      </c>
      <c r="J123" s="83" t="inlineStr">
        <is>
          <t>3L</t>
        </is>
      </c>
      <c r="K123" s="89" t="inlineStr">
        <is>
          <t>3K</t>
        </is>
      </c>
    </row>
    <row r="124">
      <c r="B124" s="88" t="n">
        <v>119</v>
      </c>
      <c r="C124" s="83" t="inlineStr">
        <is>
          <t>BCDFHIJL</t>
        </is>
      </c>
      <c r="D124" s="83" t="inlineStr">
        <is>
          <t>3C</t>
        </is>
      </c>
      <c r="E124" s="83" t="inlineStr">
        <is>
          <t>3J</t>
        </is>
      </c>
      <c r="F124" s="83" t="inlineStr">
        <is>
          <t>3B</t>
        </is>
      </c>
      <c r="G124" s="83" t="inlineStr">
        <is>
          <t>3D</t>
        </is>
      </c>
      <c r="H124" s="83" t="inlineStr">
        <is>
          <t>3H</t>
        </is>
      </c>
      <c r="I124" s="83" t="inlineStr">
        <is>
          <t>3F</t>
        </is>
      </c>
      <c r="J124" s="83" t="inlineStr">
        <is>
          <t>3L</t>
        </is>
      </c>
      <c r="K124" s="89" t="inlineStr">
        <is>
          <t>3I</t>
        </is>
      </c>
    </row>
    <row r="125">
      <c r="B125" s="88" t="n">
        <v>120</v>
      </c>
      <c r="C125" s="83" t="inlineStr">
        <is>
          <t>BCDFHIJK</t>
        </is>
      </c>
      <c r="D125" s="83" t="inlineStr">
        <is>
          <t>3C</t>
        </is>
      </c>
      <c r="E125" s="83" t="inlineStr">
        <is>
          <t>3J</t>
        </is>
      </c>
      <c r="F125" s="83" t="inlineStr">
        <is>
          <t>3B</t>
        </is>
      </c>
      <c r="G125" s="83" t="inlineStr">
        <is>
          <t>3D</t>
        </is>
      </c>
      <c r="H125" s="83" t="inlineStr">
        <is>
          <t>3H</t>
        </is>
      </c>
      <c r="I125" s="83" t="inlineStr">
        <is>
          <t>3F</t>
        </is>
      </c>
      <c r="J125" s="83" t="inlineStr">
        <is>
          <t>3I</t>
        </is>
      </c>
      <c r="K125" s="89" t="inlineStr">
        <is>
          <t>3K</t>
        </is>
      </c>
    </row>
    <row r="126">
      <c r="B126" s="88" t="n">
        <v>121</v>
      </c>
      <c r="C126" s="83" t="inlineStr">
        <is>
          <t>BCDFGJKL</t>
        </is>
      </c>
      <c r="D126" s="83" t="inlineStr">
        <is>
          <t>3C</t>
        </is>
      </c>
      <c r="E126" s="83" t="inlineStr">
        <is>
          <t>3G</t>
        </is>
      </c>
      <c r="F126" s="83" t="inlineStr">
        <is>
          <t>3B</t>
        </is>
      </c>
      <c r="G126" s="83" t="inlineStr">
        <is>
          <t>3D</t>
        </is>
      </c>
      <c r="H126" s="83" t="inlineStr">
        <is>
          <t>3J</t>
        </is>
      </c>
      <c r="I126" s="83" t="inlineStr">
        <is>
          <t>3F</t>
        </is>
      </c>
      <c r="J126" s="83" t="inlineStr">
        <is>
          <t>3L</t>
        </is>
      </c>
      <c r="K126" s="89" t="inlineStr">
        <is>
          <t>3K</t>
        </is>
      </c>
    </row>
    <row r="127">
      <c r="B127" s="88" t="n">
        <v>122</v>
      </c>
      <c r="C127" s="83" t="inlineStr">
        <is>
          <t>BCDFGIKL</t>
        </is>
      </c>
      <c r="D127" s="83" t="inlineStr">
        <is>
          <t>3C</t>
        </is>
      </c>
      <c r="E127" s="83" t="inlineStr">
        <is>
          <t>3G</t>
        </is>
      </c>
      <c r="F127" s="83" t="inlineStr">
        <is>
          <t>3B</t>
        </is>
      </c>
      <c r="G127" s="83" t="inlineStr">
        <is>
          <t>3D</t>
        </is>
      </c>
      <c r="H127" s="83" t="inlineStr">
        <is>
          <t>3I</t>
        </is>
      </c>
      <c r="I127" s="83" t="inlineStr">
        <is>
          <t>3F</t>
        </is>
      </c>
      <c r="J127" s="83" t="inlineStr">
        <is>
          <t>3L</t>
        </is>
      </c>
      <c r="K127" s="89" t="inlineStr">
        <is>
          <t>3K</t>
        </is>
      </c>
    </row>
    <row r="128">
      <c r="B128" s="88" t="n">
        <v>123</v>
      </c>
      <c r="C128" s="83" t="inlineStr">
        <is>
          <t>BCDFGIJL</t>
        </is>
      </c>
      <c r="D128" s="83" t="inlineStr">
        <is>
          <t>3C</t>
        </is>
      </c>
      <c r="E128" s="83" t="inlineStr">
        <is>
          <t>3G</t>
        </is>
      </c>
      <c r="F128" s="83" t="inlineStr">
        <is>
          <t>3B</t>
        </is>
      </c>
      <c r="G128" s="83" t="inlineStr">
        <is>
          <t>3D</t>
        </is>
      </c>
      <c r="H128" s="83" t="inlineStr">
        <is>
          <t>3J</t>
        </is>
      </c>
      <c r="I128" s="83" t="inlineStr">
        <is>
          <t>3F</t>
        </is>
      </c>
      <c r="J128" s="83" t="inlineStr">
        <is>
          <t>3L</t>
        </is>
      </c>
      <c r="K128" s="89" t="inlineStr">
        <is>
          <t>3I</t>
        </is>
      </c>
    </row>
    <row r="129">
      <c r="B129" s="88" t="n">
        <v>124</v>
      </c>
      <c r="C129" s="83" t="inlineStr">
        <is>
          <t>BCDFGIJK</t>
        </is>
      </c>
      <c r="D129" s="83" t="inlineStr">
        <is>
          <t>3C</t>
        </is>
      </c>
      <c r="E129" s="83" t="inlineStr">
        <is>
          <t>3G</t>
        </is>
      </c>
      <c r="F129" s="83" t="inlineStr">
        <is>
          <t>3B</t>
        </is>
      </c>
      <c r="G129" s="83" t="inlineStr">
        <is>
          <t>3D</t>
        </is>
      </c>
      <c r="H129" s="83" t="inlineStr">
        <is>
          <t>3J</t>
        </is>
      </c>
      <c r="I129" s="83" t="inlineStr">
        <is>
          <t>3F</t>
        </is>
      </c>
      <c r="J129" s="83" t="inlineStr">
        <is>
          <t>3I</t>
        </is>
      </c>
      <c r="K129" s="89" t="inlineStr">
        <is>
          <t>3K</t>
        </is>
      </c>
    </row>
    <row r="130">
      <c r="B130" s="88" t="n">
        <v>125</v>
      </c>
      <c r="C130" s="83" t="inlineStr">
        <is>
          <t>BCDFGHKL</t>
        </is>
      </c>
      <c r="D130" s="83" t="inlineStr">
        <is>
          <t>3C</t>
        </is>
      </c>
      <c r="E130" s="83" t="inlineStr">
        <is>
          <t>3G</t>
        </is>
      </c>
      <c r="F130" s="83" t="inlineStr">
        <is>
          <t>3B</t>
        </is>
      </c>
      <c r="G130" s="83" t="inlineStr">
        <is>
          <t>3D</t>
        </is>
      </c>
      <c r="H130" s="83" t="inlineStr">
        <is>
          <t>3H</t>
        </is>
      </c>
      <c r="I130" s="83" t="inlineStr">
        <is>
          <t>3F</t>
        </is>
      </c>
      <c r="J130" s="83" t="inlineStr">
        <is>
          <t>3L</t>
        </is>
      </c>
      <c r="K130" s="89" t="inlineStr">
        <is>
          <t>3K</t>
        </is>
      </c>
    </row>
    <row r="131">
      <c r="B131" s="88" t="n">
        <v>126</v>
      </c>
      <c r="C131" s="83" t="inlineStr">
        <is>
          <t>BCDFGHJL</t>
        </is>
      </c>
      <c r="D131" s="83" t="inlineStr">
        <is>
          <t>3C</t>
        </is>
      </c>
      <c r="E131" s="83" t="inlineStr">
        <is>
          <t>3G</t>
        </is>
      </c>
      <c r="F131" s="83" t="inlineStr">
        <is>
          <t>3B</t>
        </is>
      </c>
      <c r="G131" s="83" t="inlineStr">
        <is>
          <t>3D</t>
        </is>
      </c>
      <c r="H131" s="83" t="inlineStr">
        <is>
          <t>3H</t>
        </is>
      </c>
      <c r="I131" s="83" t="inlineStr">
        <is>
          <t>3F</t>
        </is>
      </c>
      <c r="J131" s="83" t="inlineStr">
        <is>
          <t>3L</t>
        </is>
      </c>
      <c r="K131" s="89" t="inlineStr">
        <is>
          <t>3J</t>
        </is>
      </c>
    </row>
    <row r="132">
      <c r="B132" s="88" t="n">
        <v>127</v>
      </c>
      <c r="C132" s="83" t="inlineStr">
        <is>
          <t>BCDFGHJK</t>
        </is>
      </c>
      <c r="D132" s="83" t="inlineStr">
        <is>
          <t>3H</t>
        </is>
      </c>
      <c r="E132" s="83" t="inlineStr">
        <is>
          <t>3G</t>
        </is>
      </c>
      <c r="F132" s="83" t="inlineStr">
        <is>
          <t>3B</t>
        </is>
      </c>
      <c r="G132" s="83" t="inlineStr">
        <is>
          <t>3C</t>
        </is>
      </c>
      <c r="H132" s="83" t="inlineStr">
        <is>
          <t>3J</t>
        </is>
      </c>
      <c r="I132" s="83" t="inlineStr">
        <is>
          <t>3F</t>
        </is>
      </c>
      <c r="J132" s="83" t="inlineStr">
        <is>
          <t>3D</t>
        </is>
      </c>
      <c r="K132" s="89" t="inlineStr">
        <is>
          <t>3K</t>
        </is>
      </c>
    </row>
    <row r="133">
      <c r="B133" s="88" t="n">
        <v>128</v>
      </c>
      <c r="C133" s="83" t="inlineStr">
        <is>
          <t>BCDFGHIL</t>
        </is>
      </c>
      <c r="D133" s="83" t="inlineStr">
        <is>
          <t>3C</t>
        </is>
      </c>
      <c r="E133" s="83" t="inlineStr">
        <is>
          <t>3G</t>
        </is>
      </c>
      <c r="F133" s="83" t="inlineStr">
        <is>
          <t>3B</t>
        </is>
      </c>
      <c r="G133" s="83" t="inlineStr">
        <is>
          <t>3D</t>
        </is>
      </c>
      <c r="H133" s="83" t="inlineStr">
        <is>
          <t>3H</t>
        </is>
      </c>
      <c r="I133" s="83" t="inlineStr">
        <is>
          <t>3F</t>
        </is>
      </c>
      <c r="J133" s="83" t="inlineStr">
        <is>
          <t>3L</t>
        </is>
      </c>
      <c r="K133" s="89" t="inlineStr">
        <is>
          <t>3I</t>
        </is>
      </c>
    </row>
    <row r="134">
      <c r="B134" s="88" t="n">
        <v>129</v>
      </c>
      <c r="C134" s="83" t="inlineStr">
        <is>
          <t>BCDFGHIK</t>
        </is>
      </c>
      <c r="D134" s="83" t="inlineStr">
        <is>
          <t>3C</t>
        </is>
      </c>
      <c r="E134" s="83" t="inlineStr">
        <is>
          <t>3G</t>
        </is>
      </c>
      <c r="F134" s="83" t="inlineStr">
        <is>
          <t>3B</t>
        </is>
      </c>
      <c r="G134" s="83" t="inlineStr">
        <is>
          <t>3D</t>
        </is>
      </c>
      <c r="H134" s="83" t="inlineStr">
        <is>
          <t>3H</t>
        </is>
      </c>
      <c r="I134" s="83" t="inlineStr">
        <is>
          <t>3F</t>
        </is>
      </c>
      <c r="J134" s="83" t="inlineStr">
        <is>
          <t>3I</t>
        </is>
      </c>
      <c r="K134" s="89" t="inlineStr">
        <is>
          <t>3K</t>
        </is>
      </c>
    </row>
    <row r="135">
      <c r="B135" s="88" t="n">
        <v>130</v>
      </c>
      <c r="C135" s="83" t="inlineStr">
        <is>
          <t>BCDFGHIJ</t>
        </is>
      </c>
      <c r="D135" s="83" t="inlineStr">
        <is>
          <t>3H</t>
        </is>
      </c>
      <c r="E135" s="83" t="inlineStr">
        <is>
          <t>3G</t>
        </is>
      </c>
      <c r="F135" s="83" t="inlineStr">
        <is>
          <t>3B</t>
        </is>
      </c>
      <c r="G135" s="83" t="inlineStr">
        <is>
          <t>3C</t>
        </is>
      </c>
      <c r="H135" s="83" t="inlineStr">
        <is>
          <t>3J</t>
        </is>
      </c>
      <c r="I135" s="83" t="inlineStr">
        <is>
          <t>3F</t>
        </is>
      </c>
      <c r="J135" s="83" t="inlineStr">
        <is>
          <t>3D</t>
        </is>
      </c>
      <c r="K135" s="89" t="inlineStr">
        <is>
          <t>3I</t>
        </is>
      </c>
    </row>
    <row r="136">
      <c r="B136" s="88" t="n">
        <v>131</v>
      </c>
      <c r="C136" s="83" t="inlineStr">
        <is>
          <t>BCDEIJKL</t>
        </is>
      </c>
      <c r="D136" s="83" t="inlineStr">
        <is>
          <t>3E</t>
        </is>
      </c>
      <c r="E136" s="83" t="inlineStr">
        <is>
          <t>3J</t>
        </is>
      </c>
      <c r="F136" s="83" t="inlineStr">
        <is>
          <t>3B</t>
        </is>
      </c>
      <c r="G136" s="83" t="inlineStr">
        <is>
          <t>3C</t>
        </is>
      </c>
      <c r="H136" s="83" t="inlineStr">
        <is>
          <t>3I</t>
        </is>
      </c>
      <c r="I136" s="83" t="inlineStr">
        <is>
          <t>3D</t>
        </is>
      </c>
      <c r="J136" s="83" t="inlineStr">
        <is>
          <t>3L</t>
        </is>
      </c>
      <c r="K136" s="89" t="inlineStr">
        <is>
          <t>3K</t>
        </is>
      </c>
    </row>
    <row r="137">
      <c r="B137" s="88" t="n">
        <v>132</v>
      </c>
      <c r="C137" s="83" t="inlineStr">
        <is>
          <t>BCDEHJKL</t>
        </is>
      </c>
      <c r="D137" s="83" t="inlineStr">
        <is>
          <t>3E</t>
        </is>
      </c>
      <c r="E137" s="83" t="inlineStr">
        <is>
          <t>3J</t>
        </is>
      </c>
      <c r="F137" s="83" t="inlineStr">
        <is>
          <t>3B</t>
        </is>
      </c>
      <c r="G137" s="83" t="inlineStr">
        <is>
          <t>3C</t>
        </is>
      </c>
      <c r="H137" s="83" t="inlineStr">
        <is>
          <t>3H</t>
        </is>
      </c>
      <c r="I137" s="83" t="inlineStr">
        <is>
          <t>3D</t>
        </is>
      </c>
      <c r="J137" s="83" t="inlineStr">
        <is>
          <t>3L</t>
        </is>
      </c>
      <c r="K137" s="89" t="inlineStr">
        <is>
          <t>3K</t>
        </is>
      </c>
    </row>
    <row r="138">
      <c r="B138" s="88" t="n">
        <v>133</v>
      </c>
      <c r="C138" s="83" t="inlineStr">
        <is>
          <t>BCDEHIKL</t>
        </is>
      </c>
      <c r="D138" s="83" t="inlineStr">
        <is>
          <t>3E</t>
        </is>
      </c>
      <c r="E138" s="83" t="inlineStr">
        <is>
          <t>3I</t>
        </is>
      </c>
      <c r="F138" s="83" t="inlineStr">
        <is>
          <t>3B</t>
        </is>
      </c>
      <c r="G138" s="83" t="inlineStr">
        <is>
          <t>3C</t>
        </is>
      </c>
      <c r="H138" s="83" t="inlineStr">
        <is>
          <t>3H</t>
        </is>
      </c>
      <c r="I138" s="83" t="inlineStr">
        <is>
          <t>3D</t>
        </is>
      </c>
      <c r="J138" s="83" t="inlineStr">
        <is>
          <t>3L</t>
        </is>
      </c>
      <c r="K138" s="89" t="inlineStr">
        <is>
          <t>3K</t>
        </is>
      </c>
    </row>
    <row r="139">
      <c r="B139" s="88" t="n">
        <v>134</v>
      </c>
      <c r="C139" s="83" t="inlineStr">
        <is>
          <t>BCDEHIJL</t>
        </is>
      </c>
      <c r="D139" s="83" t="inlineStr">
        <is>
          <t>3E</t>
        </is>
      </c>
      <c r="E139" s="83" t="inlineStr">
        <is>
          <t>3J</t>
        </is>
      </c>
      <c r="F139" s="83" t="inlineStr">
        <is>
          <t>3B</t>
        </is>
      </c>
      <c r="G139" s="83" t="inlineStr">
        <is>
          <t>3C</t>
        </is>
      </c>
      <c r="H139" s="83" t="inlineStr">
        <is>
          <t>3H</t>
        </is>
      </c>
      <c r="I139" s="83" t="inlineStr">
        <is>
          <t>3D</t>
        </is>
      </c>
      <c r="J139" s="83" t="inlineStr">
        <is>
          <t>3L</t>
        </is>
      </c>
      <c r="K139" s="89" t="inlineStr">
        <is>
          <t>3I</t>
        </is>
      </c>
    </row>
    <row r="140">
      <c r="B140" s="88" t="n">
        <v>135</v>
      </c>
      <c r="C140" s="83" t="inlineStr">
        <is>
          <t>BCDEHIJK</t>
        </is>
      </c>
      <c r="D140" s="83" t="inlineStr">
        <is>
          <t>3E</t>
        </is>
      </c>
      <c r="E140" s="83" t="inlineStr">
        <is>
          <t>3J</t>
        </is>
      </c>
      <c r="F140" s="83" t="inlineStr">
        <is>
          <t>3B</t>
        </is>
      </c>
      <c r="G140" s="83" t="inlineStr">
        <is>
          <t>3C</t>
        </is>
      </c>
      <c r="H140" s="83" t="inlineStr">
        <is>
          <t>3H</t>
        </is>
      </c>
      <c r="I140" s="83" t="inlineStr">
        <is>
          <t>3D</t>
        </is>
      </c>
      <c r="J140" s="83" t="inlineStr">
        <is>
          <t>3I</t>
        </is>
      </c>
      <c r="K140" s="89" t="inlineStr">
        <is>
          <t>3K</t>
        </is>
      </c>
    </row>
    <row r="141">
      <c r="B141" s="88" t="n">
        <v>136</v>
      </c>
      <c r="C141" s="83" t="inlineStr">
        <is>
          <t>BCDEGJKL</t>
        </is>
      </c>
      <c r="D141" s="83" t="inlineStr">
        <is>
          <t>3E</t>
        </is>
      </c>
      <c r="E141" s="83" t="inlineStr">
        <is>
          <t>3G</t>
        </is>
      </c>
      <c r="F141" s="83" t="inlineStr">
        <is>
          <t>3B</t>
        </is>
      </c>
      <c r="G141" s="83" t="inlineStr">
        <is>
          <t>3C</t>
        </is>
      </c>
      <c r="H141" s="83" t="inlineStr">
        <is>
          <t>3J</t>
        </is>
      </c>
      <c r="I141" s="83" t="inlineStr">
        <is>
          <t>3D</t>
        </is>
      </c>
      <c r="J141" s="83" t="inlineStr">
        <is>
          <t>3L</t>
        </is>
      </c>
      <c r="K141" s="89" t="inlineStr">
        <is>
          <t>3K</t>
        </is>
      </c>
    </row>
    <row r="142">
      <c r="B142" s="88" t="n">
        <v>137</v>
      </c>
      <c r="C142" s="83" t="inlineStr">
        <is>
          <t>BCDEGIKL</t>
        </is>
      </c>
      <c r="D142" s="83" t="inlineStr">
        <is>
          <t>3E</t>
        </is>
      </c>
      <c r="E142" s="83" t="inlineStr">
        <is>
          <t>3G</t>
        </is>
      </c>
      <c r="F142" s="83" t="inlineStr">
        <is>
          <t>3B</t>
        </is>
      </c>
      <c r="G142" s="83" t="inlineStr">
        <is>
          <t>3C</t>
        </is>
      </c>
      <c r="H142" s="83" t="inlineStr">
        <is>
          <t>3I</t>
        </is>
      </c>
      <c r="I142" s="83" t="inlineStr">
        <is>
          <t>3D</t>
        </is>
      </c>
      <c r="J142" s="83" t="inlineStr">
        <is>
          <t>3L</t>
        </is>
      </c>
      <c r="K142" s="89" t="inlineStr">
        <is>
          <t>3K</t>
        </is>
      </c>
    </row>
    <row r="143">
      <c r="B143" s="88" t="n">
        <v>138</v>
      </c>
      <c r="C143" s="83" t="inlineStr">
        <is>
          <t>BCDEGIJL</t>
        </is>
      </c>
      <c r="D143" s="83" t="inlineStr">
        <is>
          <t>3E</t>
        </is>
      </c>
      <c r="E143" s="83" t="inlineStr">
        <is>
          <t>3G</t>
        </is>
      </c>
      <c r="F143" s="83" t="inlineStr">
        <is>
          <t>3B</t>
        </is>
      </c>
      <c r="G143" s="83" t="inlineStr">
        <is>
          <t>3C</t>
        </is>
      </c>
      <c r="H143" s="83" t="inlineStr">
        <is>
          <t>3J</t>
        </is>
      </c>
      <c r="I143" s="83" t="inlineStr">
        <is>
          <t>3D</t>
        </is>
      </c>
      <c r="J143" s="83" t="inlineStr">
        <is>
          <t>3L</t>
        </is>
      </c>
      <c r="K143" s="89" t="inlineStr">
        <is>
          <t>3I</t>
        </is>
      </c>
    </row>
    <row r="144">
      <c r="B144" s="88" t="n">
        <v>139</v>
      </c>
      <c r="C144" s="83" t="inlineStr">
        <is>
          <t>BCDEGIJK</t>
        </is>
      </c>
      <c r="D144" s="83" t="inlineStr">
        <is>
          <t>3E</t>
        </is>
      </c>
      <c r="E144" s="83" t="inlineStr">
        <is>
          <t>3G</t>
        </is>
      </c>
      <c r="F144" s="83" t="inlineStr">
        <is>
          <t>3B</t>
        </is>
      </c>
      <c r="G144" s="83" t="inlineStr">
        <is>
          <t>3C</t>
        </is>
      </c>
      <c r="H144" s="83" t="inlineStr">
        <is>
          <t>3J</t>
        </is>
      </c>
      <c r="I144" s="83" t="inlineStr">
        <is>
          <t>3D</t>
        </is>
      </c>
      <c r="J144" s="83" t="inlineStr">
        <is>
          <t>3I</t>
        </is>
      </c>
      <c r="K144" s="89" t="inlineStr">
        <is>
          <t>3K</t>
        </is>
      </c>
    </row>
    <row r="145">
      <c r="B145" s="88" t="n">
        <v>140</v>
      </c>
      <c r="C145" s="83" t="inlineStr">
        <is>
          <t>BCDEGHKL</t>
        </is>
      </c>
      <c r="D145" s="83" t="inlineStr">
        <is>
          <t>3E</t>
        </is>
      </c>
      <c r="E145" s="83" t="inlineStr">
        <is>
          <t>3G</t>
        </is>
      </c>
      <c r="F145" s="83" t="inlineStr">
        <is>
          <t>3B</t>
        </is>
      </c>
      <c r="G145" s="83" t="inlineStr">
        <is>
          <t>3C</t>
        </is>
      </c>
      <c r="H145" s="83" t="inlineStr">
        <is>
          <t>3H</t>
        </is>
      </c>
      <c r="I145" s="83" t="inlineStr">
        <is>
          <t>3D</t>
        </is>
      </c>
      <c r="J145" s="83" t="inlineStr">
        <is>
          <t>3L</t>
        </is>
      </c>
      <c r="K145" s="89" t="inlineStr">
        <is>
          <t>3K</t>
        </is>
      </c>
    </row>
    <row r="146">
      <c r="B146" s="88" t="n">
        <v>141</v>
      </c>
      <c r="C146" s="83" t="inlineStr">
        <is>
          <t>BCDEGHJL</t>
        </is>
      </c>
      <c r="D146" s="83" t="inlineStr">
        <is>
          <t>3H</t>
        </is>
      </c>
      <c r="E146" s="83" t="inlineStr">
        <is>
          <t>3G</t>
        </is>
      </c>
      <c r="F146" s="83" t="inlineStr">
        <is>
          <t>3B</t>
        </is>
      </c>
      <c r="G146" s="83" t="inlineStr">
        <is>
          <t>3C</t>
        </is>
      </c>
      <c r="H146" s="83" t="inlineStr">
        <is>
          <t>3J</t>
        </is>
      </c>
      <c r="I146" s="83" t="inlineStr">
        <is>
          <t>3D</t>
        </is>
      </c>
      <c r="J146" s="83" t="inlineStr">
        <is>
          <t>3L</t>
        </is>
      </c>
      <c r="K146" s="89" t="inlineStr">
        <is>
          <t>3E</t>
        </is>
      </c>
    </row>
    <row r="147">
      <c r="B147" s="88" t="n">
        <v>142</v>
      </c>
      <c r="C147" s="83" t="inlineStr">
        <is>
          <t>BCDEGHJK</t>
        </is>
      </c>
      <c r="D147" s="83" t="inlineStr">
        <is>
          <t>3H</t>
        </is>
      </c>
      <c r="E147" s="83" t="inlineStr">
        <is>
          <t>3G</t>
        </is>
      </c>
      <c r="F147" s="83" t="inlineStr">
        <is>
          <t>3B</t>
        </is>
      </c>
      <c r="G147" s="83" t="inlineStr">
        <is>
          <t>3C</t>
        </is>
      </c>
      <c r="H147" s="83" t="inlineStr">
        <is>
          <t>3J</t>
        </is>
      </c>
      <c r="I147" s="83" t="inlineStr">
        <is>
          <t>3D</t>
        </is>
      </c>
      <c r="J147" s="83" t="inlineStr">
        <is>
          <t>3E</t>
        </is>
      </c>
      <c r="K147" s="89" t="inlineStr">
        <is>
          <t>3K</t>
        </is>
      </c>
    </row>
    <row r="148">
      <c r="B148" s="88" t="n">
        <v>143</v>
      </c>
      <c r="C148" s="83" t="inlineStr">
        <is>
          <t>BCDEGHIL</t>
        </is>
      </c>
      <c r="D148" s="83" t="inlineStr">
        <is>
          <t>3E</t>
        </is>
      </c>
      <c r="E148" s="83" t="inlineStr">
        <is>
          <t>3G</t>
        </is>
      </c>
      <c r="F148" s="83" t="inlineStr">
        <is>
          <t>3B</t>
        </is>
      </c>
      <c r="G148" s="83" t="inlineStr">
        <is>
          <t>3C</t>
        </is>
      </c>
      <c r="H148" s="83" t="inlineStr">
        <is>
          <t>3H</t>
        </is>
      </c>
      <c r="I148" s="83" t="inlineStr">
        <is>
          <t>3D</t>
        </is>
      </c>
      <c r="J148" s="83" t="inlineStr">
        <is>
          <t>3L</t>
        </is>
      </c>
      <c r="K148" s="89" t="inlineStr">
        <is>
          <t>3I</t>
        </is>
      </c>
    </row>
    <row r="149">
      <c r="B149" s="88" t="n">
        <v>144</v>
      </c>
      <c r="C149" s="83" t="inlineStr">
        <is>
          <t>BCDEGHIK</t>
        </is>
      </c>
      <c r="D149" s="83" t="inlineStr">
        <is>
          <t>3E</t>
        </is>
      </c>
      <c r="E149" s="83" t="inlineStr">
        <is>
          <t>3G</t>
        </is>
      </c>
      <c r="F149" s="83" t="inlineStr">
        <is>
          <t>3B</t>
        </is>
      </c>
      <c r="G149" s="83" t="inlineStr">
        <is>
          <t>3C</t>
        </is>
      </c>
      <c r="H149" s="83" t="inlineStr">
        <is>
          <t>3H</t>
        </is>
      </c>
      <c r="I149" s="83" t="inlineStr">
        <is>
          <t>3D</t>
        </is>
      </c>
      <c r="J149" s="83" t="inlineStr">
        <is>
          <t>3I</t>
        </is>
      </c>
      <c r="K149" s="89" t="inlineStr">
        <is>
          <t>3K</t>
        </is>
      </c>
    </row>
    <row r="150">
      <c r="B150" s="88" t="n">
        <v>145</v>
      </c>
      <c r="C150" s="83" t="inlineStr">
        <is>
          <t>BCDEGHIJ</t>
        </is>
      </c>
      <c r="D150" s="83" t="inlineStr">
        <is>
          <t>3H</t>
        </is>
      </c>
      <c r="E150" s="83" t="inlineStr">
        <is>
          <t>3G</t>
        </is>
      </c>
      <c r="F150" s="83" t="inlineStr">
        <is>
          <t>3B</t>
        </is>
      </c>
      <c r="G150" s="83" t="inlineStr">
        <is>
          <t>3C</t>
        </is>
      </c>
      <c r="H150" s="83" t="inlineStr">
        <is>
          <t>3J</t>
        </is>
      </c>
      <c r="I150" s="83" t="inlineStr">
        <is>
          <t>3D</t>
        </is>
      </c>
      <c r="J150" s="83" t="inlineStr">
        <is>
          <t>3E</t>
        </is>
      </c>
      <c r="K150" s="89" t="inlineStr">
        <is>
          <t>3I</t>
        </is>
      </c>
    </row>
    <row r="151">
      <c r="B151" s="88" t="n">
        <v>146</v>
      </c>
      <c r="C151" s="83" t="inlineStr">
        <is>
          <t>BCDEFJKL</t>
        </is>
      </c>
      <c r="D151" s="83" t="inlineStr">
        <is>
          <t>3C</t>
        </is>
      </c>
      <c r="E151" s="83" t="inlineStr">
        <is>
          <t>3J</t>
        </is>
      </c>
      <c r="F151" s="83" t="inlineStr">
        <is>
          <t>3B</t>
        </is>
      </c>
      <c r="G151" s="83" t="inlineStr">
        <is>
          <t>3D</t>
        </is>
      </c>
      <c r="H151" s="83" t="inlineStr">
        <is>
          <t>3E</t>
        </is>
      </c>
      <c r="I151" s="83" t="inlineStr">
        <is>
          <t>3F</t>
        </is>
      </c>
      <c r="J151" s="83" t="inlineStr">
        <is>
          <t>3L</t>
        </is>
      </c>
      <c r="K151" s="89" t="inlineStr">
        <is>
          <t>3K</t>
        </is>
      </c>
    </row>
    <row r="152">
      <c r="B152" s="88" t="n">
        <v>147</v>
      </c>
      <c r="C152" s="83" t="inlineStr">
        <is>
          <t>BCDEFIKL</t>
        </is>
      </c>
      <c r="D152" s="83" t="inlineStr">
        <is>
          <t>3C</t>
        </is>
      </c>
      <c r="E152" s="83" t="inlineStr">
        <is>
          <t>3E</t>
        </is>
      </c>
      <c r="F152" s="83" t="inlineStr">
        <is>
          <t>3B</t>
        </is>
      </c>
      <c r="G152" s="83" t="inlineStr">
        <is>
          <t>3D</t>
        </is>
      </c>
      <c r="H152" s="83" t="inlineStr">
        <is>
          <t>3I</t>
        </is>
      </c>
      <c r="I152" s="83" t="inlineStr">
        <is>
          <t>3F</t>
        </is>
      </c>
      <c r="J152" s="83" t="inlineStr">
        <is>
          <t>3L</t>
        </is>
      </c>
      <c r="K152" s="89" t="inlineStr">
        <is>
          <t>3K</t>
        </is>
      </c>
    </row>
    <row r="153">
      <c r="B153" s="88" t="n">
        <v>148</v>
      </c>
      <c r="C153" s="83" t="inlineStr">
        <is>
          <t>BCDEFIJL</t>
        </is>
      </c>
      <c r="D153" s="83" t="inlineStr">
        <is>
          <t>3C</t>
        </is>
      </c>
      <c r="E153" s="83" t="inlineStr">
        <is>
          <t>3J</t>
        </is>
      </c>
      <c r="F153" s="83" t="inlineStr">
        <is>
          <t>3B</t>
        </is>
      </c>
      <c r="G153" s="83" t="inlineStr">
        <is>
          <t>3D</t>
        </is>
      </c>
      <c r="H153" s="83" t="inlineStr">
        <is>
          <t>3E</t>
        </is>
      </c>
      <c r="I153" s="83" t="inlineStr">
        <is>
          <t>3F</t>
        </is>
      </c>
      <c r="J153" s="83" t="inlineStr">
        <is>
          <t>3L</t>
        </is>
      </c>
      <c r="K153" s="89" t="inlineStr">
        <is>
          <t>3I</t>
        </is>
      </c>
    </row>
    <row r="154">
      <c r="B154" s="88" t="n">
        <v>149</v>
      </c>
      <c r="C154" s="83" t="inlineStr">
        <is>
          <t>BCDEFIJK</t>
        </is>
      </c>
      <c r="D154" s="83" t="inlineStr">
        <is>
          <t>3C</t>
        </is>
      </c>
      <c r="E154" s="83" t="inlineStr">
        <is>
          <t>3J</t>
        </is>
      </c>
      <c r="F154" s="83" t="inlineStr">
        <is>
          <t>3B</t>
        </is>
      </c>
      <c r="G154" s="83" t="inlineStr">
        <is>
          <t>3D</t>
        </is>
      </c>
      <c r="H154" s="83" t="inlineStr">
        <is>
          <t>3E</t>
        </is>
      </c>
      <c r="I154" s="83" t="inlineStr">
        <is>
          <t>3F</t>
        </is>
      </c>
      <c r="J154" s="83" t="inlineStr">
        <is>
          <t>3I</t>
        </is>
      </c>
      <c r="K154" s="89" t="inlineStr">
        <is>
          <t>3K</t>
        </is>
      </c>
    </row>
    <row r="155">
      <c r="B155" s="88" t="n">
        <v>150</v>
      </c>
      <c r="C155" s="83" t="inlineStr">
        <is>
          <t>BCDEFHKL</t>
        </is>
      </c>
      <c r="D155" s="83" t="inlineStr">
        <is>
          <t>3C</t>
        </is>
      </c>
      <c r="E155" s="83" t="inlineStr">
        <is>
          <t>3E</t>
        </is>
      </c>
      <c r="F155" s="83" t="inlineStr">
        <is>
          <t>3B</t>
        </is>
      </c>
      <c r="G155" s="83" t="inlineStr">
        <is>
          <t>3D</t>
        </is>
      </c>
      <c r="H155" s="83" t="inlineStr">
        <is>
          <t>3H</t>
        </is>
      </c>
      <c r="I155" s="83" t="inlineStr">
        <is>
          <t>3F</t>
        </is>
      </c>
      <c r="J155" s="83" t="inlineStr">
        <is>
          <t>3L</t>
        </is>
      </c>
      <c r="K155" s="89" t="inlineStr">
        <is>
          <t>3K</t>
        </is>
      </c>
    </row>
    <row r="156">
      <c r="B156" s="88" t="n">
        <v>151</v>
      </c>
      <c r="C156" s="83" t="inlineStr">
        <is>
          <t>BCDEFHJL</t>
        </is>
      </c>
      <c r="D156" s="83" t="inlineStr">
        <is>
          <t>3C</t>
        </is>
      </c>
      <c r="E156" s="83" t="inlineStr">
        <is>
          <t>3J</t>
        </is>
      </c>
      <c r="F156" s="83" t="inlineStr">
        <is>
          <t>3B</t>
        </is>
      </c>
      <c r="G156" s="83" t="inlineStr">
        <is>
          <t>3D</t>
        </is>
      </c>
      <c r="H156" s="83" t="inlineStr">
        <is>
          <t>3H</t>
        </is>
      </c>
      <c r="I156" s="83" t="inlineStr">
        <is>
          <t>3F</t>
        </is>
      </c>
      <c r="J156" s="83" t="inlineStr">
        <is>
          <t>3L</t>
        </is>
      </c>
      <c r="K156" s="89" t="inlineStr">
        <is>
          <t>3E</t>
        </is>
      </c>
    </row>
    <row r="157">
      <c r="B157" s="88" t="n">
        <v>152</v>
      </c>
      <c r="C157" s="83" t="inlineStr">
        <is>
          <t>BCDEFHJK</t>
        </is>
      </c>
      <c r="D157" s="83" t="inlineStr">
        <is>
          <t>3C</t>
        </is>
      </c>
      <c r="E157" s="83" t="inlineStr">
        <is>
          <t>3J</t>
        </is>
      </c>
      <c r="F157" s="83" t="inlineStr">
        <is>
          <t>3B</t>
        </is>
      </c>
      <c r="G157" s="83" t="inlineStr">
        <is>
          <t>3D</t>
        </is>
      </c>
      <c r="H157" s="83" t="inlineStr">
        <is>
          <t>3H</t>
        </is>
      </c>
      <c r="I157" s="83" t="inlineStr">
        <is>
          <t>3F</t>
        </is>
      </c>
      <c r="J157" s="83" t="inlineStr">
        <is>
          <t>3E</t>
        </is>
      </c>
      <c r="K157" s="89" t="inlineStr">
        <is>
          <t>3K</t>
        </is>
      </c>
    </row>
    <row r="158">
      <c r="B158" s="88" t="n">
        <v>153</v>
      </c>
      <c r="C158" s="83" t="inlineStr">
        <is>
          <t>BCDEFHIL</t>
        </is>
      </c>
      <c r="D158" s="83" t="inlineStr">
        <is>
          <t>3C</t>
        </is>
      </c>
      <c r="E158" s="83" t="inlineStr">
        <is>
          <t>3E</t>
        </is>
      </c>
      <c r="F158" s="83" t="inlineStr">
        <is>
          <t>3B</t>
        </is>
      </c>
      <c r="G158" s="83" t="inlineStr">
        <is>
          <t>3D</t>
        </is>
      </c>
      <c r="H158" s="83" t="inlineStr">
        <is>
          <t>3H</t>
        </is>
      </c>
      <c r="I158" s="83" t="inlineStr">
        <is>
          <t>3F</t>
        </is>
      </c>
      <c r="J158" s="83" t="inlineStr">
        <is>
          <t>3L</t>
        </is>
      </c>
      <c r="K158" s="89" t="inlineStr">
        <is>
          <t>3I</t>
        </is>
      </c>
    </row>
    <row r="159">
      <c r="B159" s="88" t="n">
        <v>154</v>
      </c>
      <c r="C159" s="83" t="inlineStr">
        <is>
          <t>BCDEFHIK</t>
        </is>
      </c>
      <c r="D159" s="83" t="inlineStr">
        <is>
          <t>3C</t>
        </is>
      </c>
      <c r="E159" s="83" t="inlineStr">
        <is>
          <t>3E</t>
        </is>
      </c>
      <c r="F159" s="83" t="inlineStr">
        <is>
          <t>3B</t>
        </is>
      </c>
      <c r="G159" s="83" t="inlineStr">
        <is>
          <t>3D</t>
        </is>
      </c>
      <c r="H159" s="83" t="inlineStr">
        <is>
          <t>3H</t>
        </is>
      </c>
      <c r="I159" s="83" t="inlineStr">
        <is>
          <t>3F</t>
        </is>
      </c>
      <c r="J159" s="83" t="inlineStr">
        <is>
          <t>3I</t>
        </is>
      </c>
      <c r="K159" s="89" t="inlineStr">
        <is>
          <t>3K</t>
        </is>
      </c>
    </row>
    <row r="160">
      <c r="B160" s="88" t="n">
        <v>155</v>
      </c>
      <c r="C160" s="83" t="inlineStr">
        <is>
          <t>BCDEFHIJ</t>
        </is>
      </c>
      <c r="D160" s="83" t="inlineStr">
        <is>
          <t>3C</t>
        </is>
      </c>
      <c r="E160" s="83" t="inlineStr">
        <is>
          <t>3J</t>
        </is>
      </c>
      <c r="F160" s="83" t="inlineStr">
        <is>
          <t>3B</t>
        </is>
      </c>
      <c r="G160" s="83" t="inlineStr">
        <is>
          <t>3D</t>
        </is>
      </c>
      <c r="H160" s="83" t="inlineStr">
        <is>
          <t>3H</t>
        </is>
      </c>
      <c r="I160" s="83" t="inlineStr">
        <is>
          <t>3F</t>
        </is>
      </c>
      <c r="J160" s="83" t="inlineStr">
        <is>
          <t>3E</t>
        </is>
      </c>
      <c r="K160" s="89" t="inlineStr">
        <is>
          <t>3I</t>
        </is>
      </c>
    </row>
    <row r="161">
      <c r="B161" s="88" t="n">
        <v>156</v>
      </c>
      <c r="C161" s="83" t="inlineStr">
        <is>
          <t>BCDEFGKL</t>
        </is>
      </c>
      <c r="D161" s="83" t="inlineStr">
        <is>
          <t>3C</t>
        </is>
      </c>
      <c r="E161" s="83" t="inlineStr">
        <is>
          <t>3G</t>
        </is>
      </c>
      <c r="F161" s="83" t="inlineStr">
        <is>
          <t>3B</t>
        </is>
      </c>
      <c r="G161" s="83" t="inlineStr">
        <is>
          <t>3D</t>
        </is>
      </c>
      <c r="H161" s="83" t="inlineStr">
        <is>
          <t>3E</t>
        </is>
      </c>
      <c r="I161" s="83" t="inlineStr">
        <is>
          <t>3F</t>
        </is>
      </c>
      <c r="J161" s="83" t="inlineStr">
        <is>
          <t>3L</t>
        </is>
      </c>
      <c r="K161" s="89" t="inlineStr">
        <is>
          <t>3K</t>
        </is>
      </c>
    </row>
    <row r="162">
      <c r="B162" s="88" t="n">
        <v>157</v>
      </c>
      <c r="C162" s="83" t="inlineStr">
        <is>
          <t>BCDEFGJL</t>
        </is>
      </c>
      <c r="D162" s="83" t="inlineStr">
        <is>
          <t>3C</t>
        </is>
      </c>
      <c r="E162" s="83" t="inlineStr">
        <is>
          <t>3G</t>
        </is>
      </c>
      <c r="F162" s="83" t="inlineStr">
        <is>
          <t>3B</t>
        </is>
      </c>
      <c r="G162" s="83" t="inlineStr">
        <is>
          <t>3D</t>
        </is>
      </c>
      <c r="H162" s="83" t="inlineStr">
        <is>
          <t>3J</t>
        </is>
      </c>
      <c r="I162" s="83" t="inlineStr">
        <is>
          <t>3F</t>
        </is>
      </c>
      <c r="J162" s="83" t="inlineStr">
        <is>
          <t>3L</t>
        </is>
      </c>
      <c r="K162" s="89" t="inlineStr">
        <is>
          <t>3E</t>
        </is>
      </c>
    </row>
    <row r="163">
      <c r="B163" s="88" t="n">
        <v>158</v>
      </c>
      <c r="C163" s="83" t="inlineStr">
        <is>
          <t>BCDEFGJK</t>
        </is>
      </c>
      <c r="D163" s="83" t="inlineStr">
        <is>
          <t>3C</t>
        </is>
      </c>
      <c r="E163" s="83" t="inlineStr">
        <is>
          <t>3G</t>
        </is>
      </c>
      <c r="F163" s="83" t="inlineStr">
        <is>
          <t>3B</t>
        </is>
      </c>
      <c r="G163" s="83" t="inlineStr">
        <is>
          <t>3D</t>
        </is>
      </c>
      <c r="H163" s="83" t="inlineStr">
        <is>
          <t>3J</t>
        </is>
      </c>
      <c r="I163" s="83" t="inlineStr">
        <is>
          <t>3F</t>
        </is>
      </c>
      <c r="J163" s="83" t="inlineStr">
        <is>
          <t>3E</t>
        </is>
      </c>
      <c r="K163" s="89" t="inlineStr">
        <is>
          <t>3K</t>
        </is>
      </c>
    </row>
    <row r="164">
      <c r="B164" s="88" t="n">
        <v>159</v>
      </c>
      <c r="C164" s="83" t="inlineStr">
        <is>
          <t>BCDEFGIL</t>
        </is>
      </c>
      <c r="D164" s="83" t="inlineStr">
        <is>
          <t>3C</t>
        </is>
      </c>
      <c r="E164" s="83" t="inlineStr">
        <is>
          <t>3G</t>
        </is>
      </c>
      <c r="F164" s="83" t="inlineStr">
        <is>
          <t>3B</t>
        </is>
      </c>
      <c r="G164" s="83" t="inlineStr">
        <is>
          <t>3D</t>
        </is>
      </c>
      <c r="H164" s="83" t="inlineStr">
        <is>
          <t>3E</t>
        </is>
      </c>
      <c r="I164" s="83" t="inlineStr">
        <is>
          <t>3F</t>
        </is>
      </c>
      <c r="J164" s="83" t="inlineStr">
        <is>
          <t>3L</t>
        </is>
      </c>
      <c r="K164" s="89" t="inlineStr">
        <is>
          <t>3I</t>
        </is>
      </c>
    </row>
    <row r="165">
      <c r="B165" s="88" t="n">
        <v>160</v>
      </c>
      <c r="C165" s="83" t="inlineStr">
        <is>
          <t>BCDEFGIK</t>
        </is>
      </c>
      <c r="D165" s="83" t="inlineStr">
        <is>
          <t>3C</t>
        </is>
      </c>
      <c r="E165" s="83" t="inlineStr">
        <is>
          <t>3G</t>
        </is>
      </c>
      <c r="F165" s="83" t="inlineStr">
        <is>
          <t>3B</t>
        </is>
      </c>
      <c r="G165" s="83" t="inlineStr">
        <is>
          <t>3D</t>
        </is>
      </c>
      <c r="H165" s="83" t="inlineStr">
        <is>
          <t>3E</t>
        </is>
      </c>
      <c r="I165" s="83" t="inlineStr">
        <is>
          <t>3F</t>
        </is>
      </c>
      <c r="J165" s="83" t="inlineStr">
        <is>
          <t>3I</t>
        </is>
      </c>
      <c r="K165" s="89" t="inlineStr">
        <is>
          <t>3K</t>
        </is>
      </c>
    </row>
    <row r="166">
      <c r="B166" s="88" t="n">
        <v>161</v>
      </c>
      <c r="C166" s="83" t="inlineStr">
        <is>
          <t>BCDEFGIJ</t>
        </is>
      </c>
      <c r="D166" s="83" t="inlineStr">
        <is>
          <t>3C</t>
        </is>
      </c>
      <c r="E166" s="83" t="inlineStr">
        <is>
          <t>3G</t>
        </is>
      </c>
      <c r="F166" s="83" t="inlineStr">
        <is>
          <t>3B</t>
        </is>
      </c>
      <c r="G166" s="83" t="inlineStr">
        <is>
          <t>3D</t>
        </is>
      </c>
      <c r="H166" s="83" t="inlineStr">
        <is>
          <t>3J</t>
        </is>
      </c>
      <c r="I166" s="83" t="inlineStr">
        <is>
          <t>3F</t>
        </is>
      </c>
      <c r="J166" s="83" t="inlineStr">
        <is>
          <t>3E</t>
        </is>
      </c>
      <c r="K166" s="89" t="inlineStr">
        <is>
          <t>3I</t>
        </is>
      </c>
    </row>
    <row r="167">
      <c r="B167" s="88" t="n">
        <v>162</v>
      </c>
      <c r="C167" s="83" t="inlineStr">
        <is>
          <t>BCDEFGHL</t>
        </is>
      </c>
      <c r="D167" s="83" t="inlineStr">
        <is>
          <t>3C</t>
        </is>
      </c>
      <c r="E167" s="83" t="inlineStr">
        <is>
          <t>3G</t>
        </is>
      </c>
      <c r="F167" s="83" t="inlineStr">
        <is>
          <t>3B</t>
        </is>
      </c>
      <c r="G167" s="83" t="inlineStr">
        <is>
          <t>3D</t>
        </is>
      </c>
      <c r="H167" s="83" t="inlineStr">
        <is>
          <t>3H</t>
        </is>
      </c>
      <c r="I167" s="83" t="inlineStr">
        <is>
          <t>3F</t>
        </is>
      </c>
      <c r="J167" s="83" t="inlineStr">
        <is>
          <t>3L</t>
        </is>
      </c>
      <c r="K167" s="89" t="inlineStr">
        <is>
          <t>3E</t>
        </is>
      </c>
    </row>
    <row r="168">
      <c r="B168" s="88" t="n">
        <v>163</v>
      </c>
      <c r="C168" s="83" t="inlineStr">
        <is>
          <t>BCDEFGHK</t>
        </is>
      </c>
      <c r="D168" s="83" t="inlineStr">
        <is>
          <t>3C</t>
        </is>
      </c>
      <c r="E168" s="83" t="inlineStr">
        <is>
          <t>3G</t>
        </is>
      </c>
      <c r="F168" s="83" t="inlineStr">
        <is>
          <t>3B</t>
        </is>
      </c>
      <c r="G168" s="83" t="inlineStr">
        <is>
          <t>3D</t>
        </is>
      </c>
      <c r="H168" s="83" t="inlineStr">
        <is>
          <t>3H</t>
        </is>
      </c>
      <c r="I168" s="83" t="inlineStr">
        <is>
          <t>3F</t>
        </is>
      </c>
      <c r="J168" s="83" t="inlineStr">
        <is>
          <t>3E</t>
        </is>
      </c>
      <c r="K168" s="89" t="inlineStr">
        <is>
          <t>3K</t>
        </is>
      </c>
    </row>
    <row r="169">
      <c r="B169" s="88" t="n">
        <v>164</v>
      </c>
      <c r="C169" s="83" t="inlineStr">
        <is>
          <t>BCDEFGHJ</t>
        </is>
      </c>
      <c r="D169" s="83" t="inlineStr">
        <is>
          <t>3H</t>
        </is>
      </c>
      <c r="E169" s="83" t="inlineStr">
        <is>
          <t>3G</t>
        </is>
      </c>
      <c r="F169" s="83" t="inlineStr">
        <is>
          <t>3B</t>
        </is>
      </c>
      <c r="G169" s="83" t="inlineStr">
        <is>
          <t>3C</t>
        </is>
      </c>
      <c r="H169" s="83" t="inlineStr">
        <is>
          <t>3J</t>
        </is>
      </c>
      <c r="I169" s="83" t="inlineStr">
        <is>
          <t>3F</t>
        </is>
      </c>
      <c r="J169" s="83" t="inlineStr">
        <is>
          <t>3D</t>
        </is>
      </c>
      <c r="K169" s="89" t="inlineStr">
        <is>
          <t>3E</t>
        </is>
      </c>
    </row>
    <row r="170">
      <c r="B170" s="88" t="n">
        <v>165</v>
      </c>
      <c r="C170" s="83" t="inlineStr">
        <is>
          <t>BCDEFGHI</t>
        </is>
      </c>
      <c r="D170" s="83" t="inlineStr">
        <is>
          <t>3C</t>
        </is>
      </c>
      <c r="E170" s="83" t="inlineStr">
        <is>
          <t>3G</t>
        </is>
      </c>
      <c r="F170" s="83" t="inlineStr">
        <is>
          <t>3B</t>
        </is>
      </c>
      <c r="G170" s="83" t="inlineStr">
        <is>
          <t>3D</t>
        </is>
      </c>
      <c r="H170" s="83" t="inlineStr">
        <is>
          <t>3H</t>
        </is>
      </c>
      <c r="I170" s="83" t="inlineStr">
        <is>
          <t>3F</t>
        </is>
      </c>
      <c r="J170" s="83" t="inlineStr">
        <is>
          <t>3E</t>
        </is>
      </c>
      <c r="K170" s="89" t="inlineStr">
        <is>
          <t>3I</t>
        </is>
      </c>
    </row>
    <row r="171">
      <c r="B171" s="88" t="n">
        <v>166</v>
      </c>
      <c r="C171" s="83" t="inlineStr">
        <is>
          <t>AFGHIJKL</t>
        </is>
      </c>
      <c r="D171" s="83" t="inlineStr">
        <is>
          <t>3H</t>
        </is>
      </c>
      <c r="E171" s="83" t="inlineStr">
        <is>
          <t>3J</t>
        </is>
      </c>
      <c r="F171" s="83" t="inlineStr">
        <is>
          <t>3I</t>
        </is>
      </c>
      <c r="G171" s="83" t="inlineStr">
        <is>
          <t>3F</t>
        </is>
      </c>
      <c r="H171" s="83" t="inlineStr">
        <is>
          <t>3A</t>
        </is>
      </c>
      <c r="I171" s="83" t="inlineStr">
        <is>
          <t>3G</t>
        </is>
      </c>
      <c r="J171" s="83" t="inlineStr">
        <is>
          <t>3L</t>
        </is>
      </c>
      <c r="K171" s="89" t="inlineStr">
        <is>
          <t>3K</t>
        </is>
      </c>
    </row>
    <row r="172">
      <c r="B172" s="88" t="n">
        <v>167</v>
      </c>
      <c r="C172" s="83" t="inlineStr">
        <is>
          <t>AEGHIJKL</t>
        </is>
      </c>
      <c r="D172" s="83" t="inlineStr">
        <is>
          <t>3E</t>
        </is>
      </c>
      <c r="E172" s="83" t="inlineStr">
        <is>
          <t>3J</t>
        </is>
      </c>
      <c r="F172" s="83" t="inlineStr">
        <is>
          <t>3I</t>
        </is>
      </c>
      <c r="G172" s="83" t="inlineStr">
        <is>
          <t>3A</t>
        </is>
      </c>
      <c r="H172" s="83" t="inlineStr">
        <is>
          <t>3H</t>
        </is>
      </c>
      <c r="I172" s="83" t="inlineStr">
        <is>
          <t>3G</t>
        </is>
      </c>
      <c r="J172" s="83" t="inlineStr">
        <is>
          <t>3L</t>
        </is>
      </c>
      <c r="K172" s="89" t="inlineStr">
        <is>
          <t>3K</t>
        </is>
      </c>
    </row>
    <row r="173">
      <c r="B173" s="88" t="n">
        <v>168</v>
      </c>
      <c r="C173" s="83" t="inlineStr">
        <is>
          <t>AEFHIJKL</t>
        </is>
      </c>
      <c r="D173" s="83" t="inlineStr">
        <is>
          <t>3E</t>
        </is>
      </c>
      <c r="E173" s="83" t="inlineStr">
        <is>
          <t>3J</t>
        </is>
      </c>
      <c r="F173" s="83" t="inlineStr">
        <is>
          <t>3I</t>
        </is>
      </c>
      <c r="G173" s="83" t="inlineStr">
        <is>
          <t>3F</t>
        </is>
      </c>
      <c r="H173" s="83" t="inlineStr">
        <is>
          <t>3A</t>
        </is>
      </c>
      <c r="I173" s="83" t="inlineStr">
        <is>
          <t>3H</t>
        </is>
      </c>
      <c r="J173" s="83" t="inlineStr">
        <is>
          <t>3L</t>
        </is>
      </c>
      <c r="K173" s="89" t="inlineStr">
        <is>
          <t>3K</t>
        </is>
      </c>
    </row>
    <row r="174">
      <c r="B174" s="88" t="n">
        <v>169</v>
      </c>
      <c r="C174" s="83" t="inlineStr">
        <is>
          <t>AEFGIJKL</t>
        </is>
      </c>
      <c r="D174" s="83" t="inlineStr">
        <is>
          <t>3E</t>
        </is>
      </c>
      <c r="E174" s="83" t="inlineStr">
        <is>
          <t>3J</t>
        </is>
      </c>
      <c r="F174" s="83" t="inlineStr">
        <is>
          <t>3I</t>
        </is>
      </c>
      <c r="G174" s="83" t="inlineStr">
        <is>
          <t>3F</t>
        </is>
      </c>
      <c r="H174" s="83" t="inlineStr">
        <is>
          <t>3A</t>
        </is>
      </c>
      <c r="I174" s="83" t="inlineStr">
        <is>
          <t>3G</t>
        </is>
      </c>
      <c r="J174" s="83" t="inlineStr">
        <is>
          <t>3L</t>
        </is>
      </c>
      <c r="K174" s="89" t="inlineStr">
        <is>
          <t>3K</t>
        </is>
      </c>
    </row>
    <row r="175">
      <c r="B175" s="88" t="n">
        <v>170</v>
      </c>
      <c r="C175" s="83" t="inlineStr">
        <is>
          <t>AEFGHJKL</t>
        </is>
      </c>
      <c r="D175" s="83" t="inlineStr">
        <is>
          <t>3E</t>
        </is>
      </c>
      <c r="E175" s="83" t="inlineStr">
        <is>
          <t>3G</t>
        </is>
      </c>
      <c r="F175" s="83" t="inlineStr">
        <is>
          <t>3J</t>
        </is>
      </c>
      <c r="G175" s="83" t="inlineStr">
        <is>
          <t>3F</t>
        </is>
      </c>
      <c r="H175" s="83" t="inlineStr">
        <is>
          <t>3A</t>
        </is>
      </c>
      <c r="I175" s="83" t="inlineStr">
        <is>
          <t>3H</t>
        </is>
      </c>
      <c r="J175" s="83" t="inlineStr">
        <is>
          <t>3L</t>
        </is>
      </c>
      <c r="K175" s="89" t="inlineStr">
        <is>
          <t>3K</t>
        </is>
      </c>
    </row>
    <row r="176">
      <c r="B176" s="88" t="n">
        <v>171</v>
      </c>
      <c r="C176" s="83" t="inlineStr">
        <is>
          <t>AEFGHIKL</t>
        </is>
      </c>
      <c r="D176" s="83" t="inlineStr">
        <is>
          <t>3E</t>
        </is>
      </c>
      <c r="E176" s="83" t="inlineStr">
        <is>
          <t>3G</t>
        </is>
      </c>
      <c r="F176" s="83" t="inlineStr">
        <is>
          <t>3I</t>
        </is>
      </c>
      <c r="G176" s="83" t="inlineStr">
        <is>
          <t>3F</t>
        </is>
      </c>
      <c r="H176" s="83" t="inlineStr">
        <is>
          <t>3A</t>
        </is>
      </c>
      <c r="I176" s="83" t="inlineStr">
        <is>
          <t>3H</t>
        </is>
      </c>
      <c r="J176" s="83" t="inlineStr">
        <is>
          <t>3L</t>
        </is>
      </c>
      <c r="K176" s="89" t="inlineStr">
        <is>
          <t>3K</t>
        </is>
      </c>
    </row>
    <row r="177">
      <c r="B177" s="88" t="n">
        <v>172</v>
      </c>
      <c r="C177" s="83" t="inlineStr">
        <is>
          <t>AEFGHIJL</t>
        </is>
      </c>
      <c r="D177" s="83" t="inlineStr">
        <is>
          <t>3E</t>
        </is>
      </c>
      <c r="E177" s="83" t="inlineStr">
        <is>
          <t>3G</t>
        </is>
      </c>
      <c r="F177" s="83" t="inlineStr">
        <is>
          <t>3J</t>
        </is>
      </c>
      <c r="G177" s="83" t="inlineStr">
        <is>
          <t>3F</t>
        </is>
      </c>
      <c r="H177" s="83" t="inlineStr">
        <is>
          <t>3A</t>
        </is>
      </c>
      <c r="I177" s="83" t="inlineStr">
        <is>
          <t>3H</t>
        </is>
      </c>
      <c r="J177" s="83" t="inlineStr">
        <is>
          <t>3L</t>
        </is>
      </c>
      <c r="K177" s="89" t="inlineStr">
        <is>
          <t>3I</t>
        </is>
      </c>
    </row>
    <row r="178">
      <c r="B178" s="88" t="n">
        <v>173</v>
      </c>
      <c r="C178" s="83" t="inlineStr">
        <is>
          <t>AEFGHIJK</t>
        </is>
      </c>
      <c r="D178" s="83" t="inlineStr">
        <is>
          <t>3E</t>
        </is>
      </c>
      <c r="E178" s="83" t="inlineStr">
        <is>
          <t>3G</t>
        </is>
      </c>
      <c r="F178" s="83" t="inlineStr">
        <is>
          <t>3J</t>
        </is>
      </c>
      <c r="G178" s="83" t="inlineStr">
        <is>
          <t>3F</t>
        </is>
      </c>
      <c r="H178" s="83" t="inlineStr">
        <is>
          <t>3A</t>
        </is>
      </c>
      <c r="I178" s="83" t="inlineStr">
        <is>
          <t>3H</t>
        </is>
      </c>
      <c r="J178" s="83" t="inlineStr">
        <is>
          <t>3I</t>
        </is>
      </c>
      <c r="K178" s="89" t="inlineStr">
        <is>
          <t>3K</t>
        </is>
      </c>
    </row>
    <row r="179">
      <c r="B179" s="88" t="n">
        <v>174</v>
      </c>
      <c r="C179" s="83" t="inlineStr">
        <is>
          <t>ADGHIJKL</t>
        </is>
      </c>
      <c r="D179" s="83" t="inlineStr">
        <is>
          <t>3H</t>
        </is>
      </c>
      <c r="E179" s="83" t="inlineStr">
        <is>
          <t>3J</t>
        </is>
      </c>
      <c r="F179" s="83" t="inlineStr">
        <is>
          <t>3I</t>
        </is>
      </c>
      <c r="G179" s="83" t="inlineStr">
        <is>
          <t>3D</t>
        </is>
      </c>
      <c r="H179" s="83" t="inlineStr">
        <is>
          <t>3A</t>
        </is>
      </c>
      <c r="I179" s="83" t="inlineStr">
        <is>
          <t>3G</t>
        </is>
      </c>
      <c r="J179" s="83" t="inlineStr">
        <is>
          <t>3L</t>
        </is>
      </c>
      <c r="K179" s="89" t="inlineStr">
        <is>
          <t>3K</t>
        </is>
      </c>
    </row>
    <row r="180">
      <c r="B180" s="88" t="n">
        <v>175</v>
      </c>
      <c r="C180" s="83" t="inlineStr">
        <is>
          <t>ADFHIJKL</t>
        </is>
      </c>
      <c r="D180" s="83" t="inlineStr">
        <is>
          <t>3H</t>
        </is>
      </c>
      <c r="E180" s="83" t="inlineStr">
        <is>
          <t>3J</t>
        </is>
      </c>
      <c r="F180" s="83" t="inlineStr">
        <is>
          <t>3I</t>
        </is>
      </c>
      <c r="G180" s="83" t="inlineStr">
        <is>
          <t>3D</t>
        </is>
      </c>
      <c r="H180" s="83" t="inlineStr">
        <is>
          <t>3A</t>
        </is>
      </c>
      <c r="I180" s="83" t="inlineStr">
        <is>
          <t>3F</t>
        </is>
      </c>
      <c r="J180" s="83" t="inlineStr">
        <is>
          <t>3L</t>
        </is>
      </c>
      <c r="K180" s="89" t="inlineStr">
        <is>
          <t>3K</t>
        </is>
      </c>
    </row>
    <row r="181">
      <c r="B181" s="88" t="n">
        <v>176</v>
      </c>
      <c r="C181" s="83" t="inlineStr">
        <is>
          <t>ADFGIJKL</t>
        </is>
      </c>
      <c r="D181" s="83" t="inlineStr">
        <is>
          <t>3I</t>
        </is>
      </c>
      <c r="E181" s="83" t="inlineStr">
        <is>
          <t>3G</t>
        </is>
      </c>
      <c r="F181" s="83" t="inlineStr">
        <is>
          <t>3J</t>
        </is>
      </c>
      <c r="G181" s="83" t="inlineStr">
        <is>
          <t>3D</t>
        </is>
      </c>
      <c r="H181" s="83" t="inlineStr">
        <is>
          <t>3A</t>
        </is>
      </c>
      <c r="I181" s="83" t="inlineStr">
        <is>
          <t>3F</t>
        </is>
      </c>
      <c r="J181" s="83" t="inlineStr">
        <is>
          <t>3L</t>
        </is>
      </c>
      <c r="K181" s="89" t="inlineStr">
        <is>
          <t>3K</t>
        </is>
      </c>
    </row>
    <row r="182">
      <c r="B182" s="88" t="n">
        <v>177</v>
      </c>
      <c r="C182" s="83" t="inlineStr">
        <is>
          <t>ADFGHJKL</t>
        </is>
      </c>
      <c r="D182" s="83" t="inlineStr">
        <is>
          <t>3H</t>
        </is>
      </c>
      <c r="E182" s="83" t="inlineStr">
        <is>
          <t>3G</t>
        </is>
      </c>
      <c r="F182" s="83" t="inlineStr">
        <is>
          <t>3J</t>
        </is>
      </c>
      <c r="G182" s="83" t="inlineStr">
        <is>
          <t>3D</t>
        </is>
      </c>
      <c r="H182" s="83" t="inlineStr">
        <is>
          <t>3A</t>
        </is>
      </c>
      <c r="I182" s="83" t="inlineStr">
        <is>
          <t>3F</t>
        </is>
      </c>
      <c r="J182" s="83" t="inlineStr">
        <is>
          <t>3L</t>
        </is>
      </c>
      <c r="K182" s="89" t="inlineStr">
        <is>
          <t>3K</t>
        </is>
      </c>
    </row>
    <row r="183">
      <c r="B183" s="88" t="n">
        <v>178</v>
      </c>
      <c r="C183" s="83" t="inlineStr">
        <is>
          <t>ADFGHIKL</t>
        </is>
      </c>
      <c r="D183" s="83" t="inlineStr">
        <is>
          <t>3H</t>
        </is>
      </c>
      <c r="E183" s="83" t="inlineStr">
        <is>
          <t>3G</t>
        </is>
      </c>
      <c r="F183" s="83" t="inlineStr">
        <is>
          <t>3I</t>
        </is>
      </c>
      <c r="G183" s="83" t="inlineStr">
        <is>
          <t>3D</t>
        </is>
      </c>
      <c r="H183" s="83" t="inlineStr">
        <is>
          <t>3A</t>
        </is>
      </c>
      <c r="I183" s="83" t="inlineStr">
        <is>
          <t>3F</t>
        </is>
      </c>
      <c r="J183" s="83" t="inlineStr">
        <is>
          <t>3L</t>
        </is>
      </c>
      <c r="K183" s="89" t="inlineStr">
        <is>
          <t>3K</t>
        </is>
      </c>
    </row>
    <row r="184">
      <c r="B184" s="88" t="n">
        <v>179</v>
      </c>
      <c r="C184" s="83" t="inlineStr">
        <is>
          <t>ADFGHIJL</t>
        </is>
      </c>
      <c r="D184" s="83" t="inlineStr">
        <is>
          <t>3H</t>
        </is>
      </c>
      <c r="E184" s="83" t="inlineStr">
        <is>
          <t>3G</t>
        </is>
      </c>
      <c r="F184" s="83" t="inlineStr">
        <is>
          <t>3J</t>
        </is>
      </c>
      <c r="G184" s="83" t="inlineStr">
        <is>
          <t>3D</t>
        </is>
      </c>
      <c r="H184" s="83" t="inlineStr">
        <is>
          <t>3A</t>
        </is>
      </c>
      <c r="I184" s="83" t="inlineStr">
        <is>
          <t>3F</t>
        </is>
      </c>
      <c r="J184" s="83" t="inlineStr">
        <is>
          <t>3L</t>
        </is>
      </c>
      <c r="K184" s="89" t="inlineStr">
        <is>
          <t>3I</t>
        </is>
      </c>
    </row>
    <row r="185">
      <c r="B185" s="88" t="n">
        <v>180</v>
      </c>
      <c r="C185" s="83" t="inlineStr">
        <is>
          <t>ADFGHIJK</t>
        </is>
      </c>
      <c r="D185" s="83" t="inlineStr">
        <is>
          <t>3H</t>
        </is>
      </c>
      <c r="E185" s="83" t="inlineStr">
        <is>
          <t>3G</t>
        </is>
      </c>
      <c r="F185" s="83" t="inlineStr">
        <is>
          <t>3J</t>
        </is>
      </c>
      <c r="G185" s="83" t="inlineStr">
        <is>
          <t>3D</t>
        </is>
      </c>
      <c r="H185" s="83" t="inlineStr">
        <is>
          <t>3A</t>
        </is>
      </c>
      <c r="I185" s="83" t="inlineStr">
        <is>
          <t>3F</t>
        </is>
      </c>
      <c r="J185" s="83" t="inlineStr">
        <is>
          <t>3I</t>
        </is>
      </c>
      <c r="K185" s="89" t="inlineStr">
        <is>
          <t>3K</t>
        </is>
      </c>
    </row>
    <row r="186">
      <c r="B186" s="88" t="n">
        <v>181</v>
      </c>
      <c r="C186" s="83" t="inlineStr">
        <is>
          <t>ADEHIJKL</t>
        </is>
      </c>
      <c r="D186" s="83" t="inlineStr">
        <is>
          <t>3E</t>
        </is>
      </c>
      <c r="E186" s="83" t="inlineStr">
        <is>
          <t>3J</t>
        </is>
      </c>
      <c r="F186" s="83" t="inlineStr">
        <is>
          <t>3I</t>
        </is>
      </c>
      <c r="G186" s="83" t="inlineStr">
        <is>
          <t>3D</t>
        </is>
      </c>
      <c r="H186" s="83" t="inlineStr">
        <is>
          <t>3A</t>
        </is>
      </c>
      <c r="I186" s="83" t="inlineStr">
        <is>
          <t>3H</t>
        </is>
      </c>
      <c r="J186" s="83" t="inlineStr">
        <is>
          <t>3L</t>
        </is>
      </c>
      <c r="K186" s="89" t="inlineStr">
        <is>
          <t>3K</t>
        </is>
      </c>
    </row>
    <row r="187">
      <c r="B187" s="88" t="n">
        <v>182</v>
      </c>
      <c r="C187" s="83" t="inlineStr">
        <is>
          <t>ADEGIJKL</t>
        </is>
      </c>
      <c r="D187" s="83" t="inlineStr">
        <is>
          <t>3E</t>
        </is>
      </c>
      <c r="E187" s="83" t="inlineStr">
        <is>
          <t>3J</t>
        </is>
      </c>
      <c r="F187" s="83" t="inlineStr">
        <is>
          <t>3I</t>
        </is>
      </c>
      <c r="G187" s="83" t="inlineStr">
        <is>
          <t>3D</t>
        </is>
      </c>
      <c r="H187" s="83" t="inlineStr">
        <is>
          <t>3A</t>
        </is>
      </c>
      <c r="I187" s="83" t="inlineStr">
        <is>
          <t>3G</t>
        </is>
      </c>
      <c r="J187" s="83" t="inlineStr">
        <is>
          <t>3L</t>
        </is>
      </c>
      <c r="K187" s="89" t="inlineStr">
        <is>
          <t>3K</t>
        </is>
      </c>
    </row>
    <row r="188">
      <c r="B188" s="88" t="n">
        <v>183</v>
      </c>
      <c r="C188" s="83" t="inlineStr">
        <is>
          <t>ADEGHJKL</t>
        </is>
      </c>
      <c r="D188" s="83" t="inlineStr">
        <is>
          <t>3E</t>
        </is>
      </c>
      <c r="E188" s="83" t="inlineStr">
        <is>
          <t>3G</t>
        </is>
      </c>
      <c r="F188" s="83" t="inlineStr">
        <is>
          <t>3J</t>
        </is>
      </c>
      <c r="G188" s="83" t="inlineStr">
        <is>
          <t>3D</t>
        </is>
      </c>
      <c r="H188" s="83" t="inlineStr">
        <is>
          <t>3A</t>
        </is>
      </c>
      <c r="I188" s="83" t="inlineStr">
        <is>
          <t>3H</t>
        </is>
      </c>
      <c r="J188" s="83" t="inlineStr">
        <is>
          <t>3L</t>
        </is>
      </c>
      <c r="K188" s="89" t="inlineStr">
        <is>
          <t>3K</t>
        </is>
      </c>
    </row>
    <row r="189">
      <c r="B189" s="88" t="n">
        <v>184</v>
      </c>
      <c r="C189" s="83" t="inlineStr">
        <is>
          <t>ADEGHIKL</t>
        </is>
      </c>
      <c r="D189" s="83" t="inlineStr">
        <is>
          <t>3E</t>
        </is>
      </c>
      <c r="E189" s="83" t="inlineStr">
        <is>
          <t>3G</t>
        </is>
      </c>
      <c r="F189" s="83" t="inlineStr">
        <is>
          <t>3I</t>
        </is>
      </c>
      <c r="G189" s="83" t="inlineStr">
        <is>
          <t>3D</t>
        </is>
      </c>
      <c r="H189" s="83" t="inlineStr">
        <is>
          <t>3A</t>
        </is>
      </c>
      <c r="I189" s="83" t="inlineStr">
        <is>
          <t>3H</t>
        </is>
      </c>
      <c r="J189" s="83" t="inlineStr">
        <is>
          <t>3L</t>
        </is>
      </c>
      <c r="K189" s="89" t="inlineStr">
        <is>
          <t>3K</t>
        </is>
      </c>
    </row>
    <row r="190">
      <c r="B190" s="88" t="n">
        <v>185</v>
      </c>
      <c r="C190" s="83" t="inlineStr">
        <is>
          <t>ADEGHIJL</t>
        </is>
      </c>
      <c r="D190" s="83" t="inlineStr">
        <is>
          <t>3E</t>
        </is>
      </c>
      <c r="E190" s="83" t="inlineStr">
        <is>
          <t>3G</t>
        </is>
      </c>
      <c r="F190" s="83" t="inlineStr">
        <is>
          <t>3J</t>
        </is>
      </c>
      <c r="G190" s="83" t="inlineStr">
        <is>
          <t>3D</t>
        </is>
      </c>
      <c r="H190" s="83" t="inlineStr">
        <is>
          <t>3A</t>
        </is>
      </c>
      <c r="I190" s="83" t="inlineStr">
        <is>
          <t>3H</t>
        </is>
      </c>
      <c r="J190" s="83" t="inlineStr">
        <is>
          <t>3L</t>
        </is>
      </c>
      <c r="K190" s="89" t="inlineStr">
        <is>
          <t>3I</t>
        </is>
      </c>
    </row>
    <row r="191">
      <c r="B191" s="88" t="n">
        <v>186</v>
      </c>
      <c r="C191" s="83" t="inlineStr">
        <is>
          <t>ADEGHIJK</t>
        </is>
      </c>
      <c r="D191" s="83" t="inlineStr">
        <is>
          <t>3E</t>
        </is>
      </c>
      <c r="E191" s="83" t="inlineStr">
        <is>
          <t>3G</t>
        </is>
      </c>
      <c r="F191" s="83" t="inlineStr">
        <is>
          <t>3J</t>
        </is>
      </c>
      <c r="G191" s="83" t="inlineStr">
        <is>
          <t>3D</t>
        </is>
      </c>
      <c r="H191" s="83" t="inlineStr">
        <is>
          <t>3A</t>
        </is>
      </c>
      <c r="I191" s="83" t="inlineStr">
        <is>
          <t>3H</t>
        </is>
      </c>
      <c r="J191" s="83" t="inlineStr">
        <is>
          <t>3I</t>
        </is>
      </c>
      <c r="K191" s="89" t="inlineStr">
        <is>
          <t>3K</t>
        </is>
      </c>
    </row>
    <row r="192">
      <c r="B192" s="88" t="n">
        <v>187</v>
      </c>
      <c r="C192" s="83" t="inlineStr">
        <is>
          <t>ADEFIJKL</t>
        </is>
      </c>
      <c r="D192" s="83" t="inlineStr">
        <is>
          <t>3E</t>
        </is>
      </c>
      <c r="E192" s="83" t="inlineStr">
        <is>
          <t>3J</t>
        </is>
      </c>
      <c r="F192" s="83" t="inlineStr">
        <is>
          <t>3I</t>
        </is>
      </c>
      <c r="G192" s="83" t="inlineStr">
        <is>
          <t>3D</t>
        </is>
      </c>
      <c r="H192" s="83" t="inlineStr">
        <is>
          <t>3A</t>
        </is>
      </c>
      <c r="I192" s="83" t="inlineStr">
        <is>
          <t>3F</t>
        </is>
      </c>
      <c r="J192" s="83" t="inlineStr">
        <is>
          <t>3L</t>
        </is>
      </c>
      <c r="K192" s="89" t="inlineStr">
        <is>
          <t>3K</t>
        </is>
      </c>
    </row>
    <row r="193">
      <c r="B193" s="88" t="n">
        <v>188</v>
      </c>
      <c r="C193" s="83" t="inlineStr">
        <is>
          <t>ADEFHJKL</t>
        </is>
      </c>
      <c r="D193" s="83" t="inlineStr">
        <is>
          <t>3H</t>
        </is>
      </c>
      <c r="E193" s="83" t="inlineStr">
        <is>
          <t>3J</t>
        </is>
      </c>
      <c r="F193" s="83" t="inlineStr">
        <is>
          <t>3E</t>
        </is>
      </c>
      <c r="G193" s="83" t="inlineStr">
        <is>
          <t>3D</t>
        </is>
      </c>
      <c r="H193" s="83" t="inlineStr">
        <is>
          <t>3A</t>
        </is>
      </c>
      <c r="I193" s="83" t="inlineStr">
        <is>
          <t>3F</t>
        </is>
      </c>
      <c r="J193" s="83" t="inlineStr">
        <is>
          <t>3L</t>
        </is>
      </c>
      <c r="K193" s="89" t="inlineStr">
        <is>
          <t>3K</t>
        </is>
      </c>
    </row>
    <row r="194">
      <c r="B194" s="88" t="n">
        <v>189</v>
      </c>
      <c r="C194" s="83" t="inlineStr">
        <is>
          <t>ADEFHIKL</t>
        </is>
      </c>
      <c r="D194" s="83" t="inlineStr">
        <is>
          <t>3H</t>
        </is>
      </c>
      <c r="E194" s="83" t="inlineStr">
        <is>
          <t>3E</t>
        </is>
      </c>
      <c r="F194" s="83" t="inlineStr">
        <is>
          <t>3I</t>
        </is>
      </c>
      <c r="G194" s="83" t="inlineStr">
        <is>
          <t>3D</t>
        </is>
      </c>
      <c r="H194" s="83" t="inlineStr">
        <is>
          <t>3A</t>
        </is>
      </c>
      <c r="I194" s="83" t="inlineStr">
        <is>
          <t>3F</t>
        </is>
      </c>
      <c r="J194" s="83" t="inlineStr">
        <is>
          <t>3L</t>
        </is>
      </c>
      <c r="K194" s="89" t="inlineStr">
        <is>
          <t>3K</t>
        </is>
      </c>
    </row>
    <row r="195">
      <c r="B195" s="88" t="n">
        <v>190</v>
      </c>
      <c r="C195" s="83" t="inlineStr">
        <is>
          <t>ADEFHIJL</t>
        </is>
      </c>
      <c r="D195" s="83" t="inlineStr">
        <is>
          <t>3H</t>
        </is>
      </c>
      <c r="E195" s="83" t="inlineStr">
        <is>
          <t>3J</t>
        </is>
      </c>
      <c r="F195" s="83" t="inlineStr">
        <is>
          <t>3E</t>
        </is>
      </c>
      <c r="G195" s="83" t="inlineStr">
        <is>
          <t>3D</t>
        </is>
      </c>
      <c r="H195" s="83" t="inlineStr">
        <is>
          <t>3A</t>
        </is>
      </c>
      <c r="I195" s="83" t="inlineStr">
        <is>
          <t>3F</t>
        </is>
      </c>
      <c r="J195" s="83" t="inlineStr">
        <is>
          <t>3L</t>
        </is>
      </c>
      <c r="K195" s="89" t="inlineStr">
        <is>
          <t>3I</t>
        </is>
      </c>
    </row>
    <row r="196">
      <c r="B196" s="88" t="n">
        <v>191</v>
      </c>
      <c r="C196" s="83" t="inlineStr">
        <is>
          <t>ADEFHIJK</t>
        </is>
      </c>
      <c r="D196" s="83" t="inlineStr">
        <is>
          <t>3H</t>
        </is>
      </c>
      <c r="E196" s="83" t="inlineStr">
        <is>
          <t>3J</t>
        </is>
      </c>
      <c r="F196" s="83" t="inlineStr">
        <is>
          <t>3E</t>
        </is>
      </c>
      <c r="G196" s="83" t="inlineStr">
        <is>
          <t>3D</t>
        </is>
      </c>
      <c r="H196" s="83" t="inlineStr">
        <is>
          <t>3A</t>
        </is>
      </c>
      <c r="I196" s="83" t="inlineStr">
        <is>
          <t>3F</t>
        </is>
      </c>
      <c r="J196" s="83" t="inlineStr">
        <is>
          <t>3I</t>
        </is>
      </c>
      <c r="K196" s="89" t="inlineStr">
        <is>
          <t>3K</t>
        </is>
      </c>
    </row>
    <row r="197">
      <c r="B197" s="88" t="n">
        <v>192</v>
      </c>
      <c r="C197" s="83" t="inlineStr">
        <is>
          <t>ADEFGJKL</t>
        </is>
      </c>
      <c r="D197" s="83" t="inlineStr">
        <is>
          <t>3E</t>
        </is>
      </c>
      <c r="E197" s="83" t="inlineStr">
        <is>
          <t>3G</t>
        </is>
      </c>
      <c r="F197" s="83" t="inlineStr">
        <is>
          <t>3J</t>
        </is>
      </c>
      <c r="G197" s="83" t="inlineStr">
        <is>
          <t>3D</t>
        </is>
      </c>
      <c r="H197" s="83" t="inlineStr">
        <is>
          <t>3A</t>
        </is>
      </c>
      <c r="I197" s="83" t="inlineStr">
        <is>
          <t>3F</t>
        </is>
      </c>
      <c r="J197" s="83" t="inlineStr">
        <is>
          <t>3L</t>
        </is>
      </c>
      <c r="K197" s="89" t="inlineStr">
        <is>
          <t>3K</t>
        </is>
      </c>
    </row>
    <row r="198">
      <c r="B198" s="88" t="n">
        <v>193</v>
      </c>
      <c r="C198" s="83" t="inlineStr">
        <is>
          <t>ADEFGIKL</t>
        </is>
      </c>
      <c r="D198" s="83" t="inlineStr">
        <is>
          <t>3E</t>
        </is>
      </c>
      <c r="E198" s="83" t="inlineStr">
        <is>
          <t>3G</t>
        </is>
      </c>
      <c r="F198" s="83" t="inlineStr">
        <is>
          <t>3I</t>
        </is>
      </c>
      <c r="G198" s="83" t="inlineStr">
        <is>
          <t>3D</t>
        </is>
      </c>
      <c r="H198" s="83" t="inlineStr">
        <is>
          <t>3A</t>
        </is>
      </c>
      <c r="I198" s="83" t="inlineStr">
        <is>
          <t>3F</t>
        </is>
      </c>
      <c r="J198" s="83" t="inlineStr">
        <is>
          <t>3L</t>
        </is>
      </c>
      <c r="K198" s="89" t="inlineStr">
        <is>
          <t>3K</t>
        </is>
      </c>
    </row>
    <row r="199">
      <c r="B199" s="88" t="n">
        <v>194</v>
      </c>
      <c r="C199" s="83" t="inlineStr">
        <is>
          <t>ADEFGIJL</t>
        </is>
      </c>
      <c r="D199" s="83" t="inlineStr">
        <is>
          <t>3E</t>
        </is>
      </c>
      <c r="E199" s="83" t="inlineStr">
        <is>
          <t>3G</t>
        </is>
      </c>
      <c r="F199" s="83" t="inlineStr">
        <is>
          <t>3J</t>
        </is>
      </c>
      <c r="G199" s="83" t="inlineStr">
        <is>
          <t>3D</t>
        </is>
      </c>
      <c r="H199" s="83" t="inlineStr">
        <is>
          <t>3A</t>
        </is>
      </c>
      <c r="I199" s="83" t="inlineStr">
        <is>
          <t>3F</t>
        </is>
      </c>
      <c r="J199" s="83" t="inlineStr">
        <is>
          <t>3L</t>
        </is>
      </c>
      <c r="K199" s="89" t="inlineStr">
        <is>
          <t>3I</t>
        </is>
      </c>
    </row>
    <row r="200">
      <c r="B200" s="88" t="n">
        <v>195</v>
      </c>
      <c r="C200" s="83" t="inlineStr">
        <is>
          <t>ADEFGIJK</t>
        </is>
      </c>
      <c r="D200" s="83" t="inlineStr">
        <is>
          <t>3E</t>
        </is>
      </c>
      <c r="E200" s="83" t="inlineStr">
        <is>
          <t>3G</t>
        </is>
      </c>
      <c r="F200" s="83" t="inlineStr">
        <is>
          <t>3J</t>
        </is>
      </c>
      <c r="G200" s="83" t="inlineStr">
        <is>
          <t>3D</t>
        </is>
      </c>
      <c r="H200" s="83" t="inlineStr">
        <is>
          <t>3A</t>
        </is>
      </c>
      <c r="I200" s="83" t="inlineStr">
        <is>
          <t>3F</t>
        </is>
      </c>
      <c r="J200" s="83" t="inlineStr">
        <is>
          <t>3I</t>
        </is>
      </c>
      <c r="K200" s="89" t="inlineStr">
        <is>
          <t>3K</t>
        </is>
      </c>
    </row>
    <row r="201">
      <c r="B201" s="88" t="n">
        <v>196</v>
      </c>
      <c r="C201" s="83" t="inlineStr">
        <is>
          <t>ADEFGHKL</t>
        </is>
      </c>
      <c r="D201" s="83" t="inlineStr">
        <is>
          <t>3H</t>
        </is>
      </c>
      <c r="E201" s="83" t="inlineStr">
        <is>
          <t>3G</t>
        </is>
      </c>
      <c r="F201" s="83" t="inlineStr">
        <is>
          <t>3E</t>
        </is>
      </c>
      <c r="G201" s="83" t="inlineStr">
        <is>
          <t>3D</t>
        </is>
      </c>
      <c r="H201" s="83" t="inlineStr">
        <is>
          <t>3A</t>
        </is>
      </c>
      <c r="I201" s="83" t="inlineStr">
        <is>
          <t>3F</t>
        </is>
      </c>
      <c r="J201" s="83" t="inlineStr">
        <is>
          <t>3L</t>
        </is>
      </c>
      <c r="K201" s="89" t="inlineStr">
        <is>
          <t>3K</t>
        </is>
      </c>
    </row>
    <row r="202">
      <c r="B202" s="88" t="n">
        <v>197</v>
      </c>
      <c r="C202" s="83" t="inlineStr">
        <is>
          <t>ADEFGHJL</t>
        </is>
      </c>
      <c r="D202" s="83" t="inlineStr">
        <is>
          <t>3H</t>
        </is>
      </c>
      <c r="E202" s="83" t="inlineStr">
        <is>
          <t>3G</t>
        </is>
      </c>
      <c r="F202" s="83" t="inlineStr">
        <is>
          <t>3J</t>
        </is>
      </c>
      <c r="G202" s="83" t="inlineStr">
        <is>
          <t>3D</t>
        </is>
      </c>
      <c r="H202" s="83" t="inlineStr">
        <is>
          <t>3A</t>
        </is>
      </c>
      <c r="I202" s="83" t="inlineStr">
        <is>
          <t>3F</t>
        </is>
      </c>
      <c r="J202" s="83" t="inlineStr">
        <is>
          <t>3L</t>
        </is>
      </c>
      <c r="K202" s="89" t="inlineStr">
        <is>
          <t>3E</t>
        </is>
      </c>
    </row>
    <row r="203">
      <c r="B203" s="88" t="n">
        <v>198</v>
      </c>
      <c r="C203" s="83" t="inlineStr">
        <is>
          <t>ADEFGHJK</t>
        </is>
      </c>
      <c r="D203" s="83" t="inlineStr">
        <is>
          <t>3H</t>
        </is>
      </c>
      <c r="E203" s="83" t="inlineStr">
        <is>
          <t>3G</t>
        </is>
      </c>
      <c r="F203" s="83" t="inlineStr">
        <is>
          <t>3J</t>
        </is>
      </c>
      <c r="G203" s="83" t="inlineStr">
        <is>
          <t>3D</t>
        </is>
      </c>
      <c r="H203" s="83" t="inlineStr">
        <is>
          <t>3A</t>
        </is>
      </c>
      <c r="I203" s="83" t="inlineStr">
        <is>
          <t>3F</t>
        </is>
      </c>
      <c r="J203" s="83" t="inlineStr">
        <is>
          <t>3E</t>
        </is>
      </c>
      <c r="K203" s="89" t="inlineStr">
        <is>
          <t>3K</t>
        </is>
      </c>
    </row>
    <row r="204">
      <c r="B204" s="88" t="n">
        <v>199</v>
      </c>
      <c r="C204" s="83" t="inlineStr">
        <is>
          <t>ADEFGHIL</t>
        </is>
      </c>
      <c r="D204" s="83" t="inlineStr">
        <is>
          <t>3H</t>
        </is>
      </c>
      <c r="E204" s="83" t="inlineStr">
        <is>
          <t>3G</t>
        </is>
      </c>
      <c r="F204" s="83" t="inlineStr">
        <is>
          <t>3E</t>
        </is>
      </c>
      <c r="G204" s="83" t="inlineStr">
        <is>
          <t>3D</t>
        </is>
      </c>
      <c r="H204" s="83" t="inlineStr">
        <is>
          <t>3A</t>
        </is>
      </c>
      <c r="I204" s="83" t="inlineStr">
        <is>
          <t>3F</t>
        </is>
      </c>
      <c r="J204" s="83" t="inlineStr">
        <is>
          <t>3L</t>
        </is>
      </c>
      <c r="K204" s="89" t="inlineStr">
        <is>
          <t>3I</t>
        </is>
      </c>
    </row>
    <row r="205">
      <c r="B205" s="88" t="n">
        <v>200</v>
      </c>
      <c r="C205" s="83" t="inlineStr">
        <is>
          <t>ADEFGHIK</t>
        </is>
      </c>
      <c r="D205" s="83" t="inlineStr">
        <is>
          <t>3H</t>
        </is>
      </c>
      <c r="E205" s="83" t="inlineStr">
        <is>
          <t>3G</t>
        </is>
      </c>
      <c r="F205" s="83" t="inlineStr">
        <is>
          <t>3E</t>
        </is>
      </c>
      <c r="G205" s="83" t="inlineStr">
        <is>
          <t>3D</t>
        </is>
      </c>
      <c r="H205" s="83" t="inlineStr">
        <is>
          <t>3A</t>
        </is>
      </c>
      <c r="I205" s="83" t="inlineStr">
        <is>
          <t>3F</t>
        </is>
      </c>
      <c r="J205" s="83" t="inlineStr">
        <is>
          <t>3I</t>
        </is>
      </c>
      <c r="K205" s="89" t="inlineStr">
        <is>
          <t>3K</t>
        </is>
      </c>
    </row>
    <row r="206">
      <c r="B206" s="88" t="n">
        <v>201</v>
      </c>
      <c r="C206" s="83" t="inlineStr">
        <is>
          <t>ADEFGHIJ</t>
        </is>
      </c>
      <c r="D206" s="83" t="inlineStr">
        <is>
          <t>3H</t>
        </is>
      </c>
      <c r="E206" s="83" t="inlineStr">
        <is>
          <t>3G</t>
        </is>
      </c>
      <c r="F206" s="83" t="inlineStr">
        <is>
          <t>3J</t>
        </is>
      </c>
      <c r="G206" s="83" t="inlineStr">
        <is>
          <t>3D</t>
        </is>
      </c>
      <c r="H206" s="83" t="inlineStr">
        <is>
          <t>3A</t>
        </is>
      </c>
      <c r="I206" s="83" t="inlineStr">
        <is>
          <t>3F</t>
        </is>
      </c>
      <c r="J206" s="83" t="inlineStr">
        <is>
          <t>3E</t>
        </is>
      </c>
      <c r="K206" s="89" t="inlineStr">
        <is>
          <t>3I</t>
        </is>
      </c>
    </row>
    <row r="207">
      <c r="B207" s="88" t="n">
        <v>202</v>
      </c>
      <c r="C207" s="83" t="inlineStr">
        <is>
          <t>ACGHIJKL</t>
        </is>
      </c>
      <c r="D207" s="83" t="inlineStr">
        <is>
          <t>3H</t>
        </is>
      </c>
      <c r="E207" s="83" t="inlineStr">
        <is>
          <t>3J</t>
        </is>
      </c>
      <c r="F207" s="83" t="inlineStr">
        <is>
          <t>3I</t>
        </is>
      </c>
      <c r="G207" s="83" t="inlineStr">
        <is>
          <t>3C</t>
        </is>
      </c>
      <c r="H207" s="83" t="inlineStr">
        <is>
          <t>3A</t>
        </is>
      </c>
      <c r="I207" s="83" t="inlineStr">
        <is>
          <t>3G</t>
        </is>
      </c>
      <c r="J207" s="83" t="inlineStr">
        <is>
          <t>3L</t>
        </is>
      </c>
      <c r="K207" s="89" t="inlineStr">
        <is>
          <t>3K</t>
        </is>
      </c>
    </row>
    <row r="208">
      <c r="B208" s="88" t="n">
        <v>203</v>
      </c>
      <c r="C208" s="83" t="inlineStr">
        <is>
          <t>ACFHIJKL</t>
        </is>
      </c>
      <c r="D208" s="83" t="inlineStr">
        <is>
          <t>3H</t>
        </is>
      </c>
      <c r="E208" s="83" t="inlineStr">
        <is>
          <t>3J</t>
        </is>
      </c>
      <c r="F208" s="83" t="inlineStr">
        <is>
          <t>3I</t>
        </is>
      </c>
      <c r="G208" s="83" t="inlineStr">
        <is>
          <t>3C</t>
        </is>
      </c>
      <c r="H208" s="83" t="inlineStr">
        <is>
          <t>3A</t>
        </is>
      </c>
      <c r="I208" s="83" t="inlineStr">
        <is>
          <t>3F</t>
        </is>
      </c>
      <c r="J208" s="83" t="inlineStr">
        <is>
          <t>3L</t>
        </is>
      </c>
      <c r="K208" s="89" t="inlineStr">
        <is>
          <t>3K</t>
        </is>
      </c>
    </row>
    <row r="209">
      <c r="B209" s="88" t="n">
        <v>204</v>
      </c>
      <c r="C209" s="83" t="inlineStr">
        <is>
          <t>ACFGIJKL</t>
        </is>
      </c>
      <c r="D209" s="83" t="inlineStr">
        <is>
          <t>3I</t>
        </is>
      </c>
      <c r="E209" s="83" t="inlineStr">
        <is>
          <t>3G</t>
        </is>
      </c>
      <c r="F209" s="83" t="inlineStr">
        <is>
          <t>3J</t>
        </is>
      </c>
      <c r="G209" s="83" t="inlineStr">
        <is>
          <t>3C</t>
        </is>
      </c>
      <c r="H209" s="83" t="inlineStr">
        <is>
          <t>3A</t>
        </is>
      </c>
      <c r="I209" s="83" t="inlineStr">
        <is>
          <t>3F</t>
        </is>
      </c>
      <c r="J209" s="83" t="inlineStr">
        <is>
          <t>3L</t>
        </is>
      </c>
      <c r="K209" s="89" t="inlineStr">
        <is>
          <t>3K</t>
        </is>
      </c>
    </row>
    <row r="210">
      <c r="B210" s="88" t="n">
        <v>205</v>
      </c>
      <c r="C210" s="83" t="inlineStr">
        <is>
          <t>ACFGHJKL</t>
        </is>
      </c>
      <c r="D210" s="83" t="inlineStr">
        <is>
          <t>3H</t>
        </is>
      </c>
      <c r="E210" s="83" t="inlineStr">
        <is>
          <t>3G</t>
        </is>
      </c>
      <c r="F210" s="83" t="inlineStr">
        <is>
          <t>3J</t>
        </is>
      </c>
      <c r="G210" s="83" t="inlineStr">
        <is>
          <t>3C</t>
        </is>
      </c>
      <c r="H210" s="83" t="inlineStr">
        <is>
          <t>3A</t>
        </is>
      </c>
      <c r="I210" s="83" t="inlineStr">
        <is>
          <t>3F</t>
        </is>
      </c>
      <c r="J210" s="83" t="inlineStr">
        <is>
          <t>3L</t>
        </is>
      </c>
      <c r="K210" s="89" t="inlineStr">
        <is>
          <t>3K</t>
        </is>
      </c>
    </row>
    <row r="211">
      <c r="B211" s="88" t="n">
        <v>206</v>
      </c>
      <c r="C211" s="83" t="inlineStr">
        <is>
          <t>ACFGHIKL</t>
        </is>
      </c>
      <c r="D211" s="83" t="inlineStr">
        <is>
          <t>3H</t>
        </is>
      </c>
      <c r="E211" s="83" t="inlineStr">
        <is>
          <t>3G</t>
        </is>
      </c>
      <c r="F211" s="83" t="inlineStr">
        <is>
          <t>3I</t>
        </is>
      </c>
      <c r="G211" s="83" t="inlineStr">
        <is>
          <t>3C</t>
        </is>
      </c>
      <c r="H211" s="83" t="inlineStr">
        <is>
          <t>3A</t>
        </is>
      </c>
      <c r="I211" s="83" t="inlineStr">
        <is>
          <t>3F</t>
        </is>
      </c>
      <c r="J211" s="83" t="inlineStr">
        <is>
          <t>3L</t>
        </is>
      </c>
      <c r="K211" s="89" t="inlineStr">
        <is>
          <t>3K</t>
        </is>
      </c>
    </row>
    <row r="212">
      <c r="B212" s="88" t="n">
        <v>207</v>
      </c>
      <c r="C212" s="83" t="inlineStr">
        <is>
          <t>ACFGHIJL</t>
        </is>
      </c>
      <c r="D212" s="83" t="inlineStr">
        <is>
          <t>3H</t>
        </is>
      </c>
      <c r="E212" s="83" t="inlineStr">
        <is>
          <t>3G</t>
        </is>
      </c>
      <c r="F212" s="83" t="inlineStr">
        <is>
          <t>3J</t>
        </is>
      </c>
      <c r="G212" s="83" t="inlineStr">
        <is>
          <t>3C</t>
        </is>
      </c>
      <c r="H212" s="83" t="inlineStr">
        <is>
          <t>3A</t>
        </is>
      </c>
      <c r="I212" s="83" t="inlineStr">
        <is>
          <t>3F</t>
        </is>
      </c>
      <c r="J212" s="83" t="inlineStr">
        <is>
          <t>3L</t>
        </is>
      </c>
      <c r="K212" s="89" t="inlineStr">
        <is>
          <t>3I</t>
        </is>
      </c>
    </row>
    <row r="213">
      <c r="B213" s="88" t="n">
        <v>208</v>
      </c>
      <c r="C213" s="83" t="inlineStr">
        <is>
          <t>ACFGHIJK</t>
        </is>
      </c>
      <c r="D213" s="83" t="inlineStr">
        <is>
          <t>3H</t>
        </is>
      </c>
      <c r="E213" s="83" t="inlineStr">
        <is>
          <t>3G</t>
        </is>
      </c>
      <c r="F213" s="83" t="inlineStr">
        <is>
          <t>3J</t>
        </is>
      </c>
      <c r="G213" s="83" t="inlineStr">
        <is>
          <t>3C</t>
        </is>
      </c>
      <c r="H213" s="83" t="inlineStr">
        <is>
          <t>3A</t>
        </is>
      </c>
      <c r="I213" s="83" t="inlineStr">
        <is>
          <t>3F</t>
        </is>
      </c>
      <c r="J213" s="83" t="inlineStr">
        <is>
          <t>3I</t>
        </is>
      </c>
      <c r="K213" s="89" t="inlineStr">
        <is>
          <t>3K</t>
        </is>
      </c>
    </row>
    <row r="214">
      <c r="B214" s="88" t="n">
        <v>209</v>
      </c>
      <c r="C214" s="83" t="inlineStr">
        <is>
          <t>ACEHIJKL</t>
        </is>
      </c>
      <c r="D214" s="83" t="inlineStr">
        <is>
          <t>3E</t>
        </is>
      </c>
      <c r="E214" s="83" t="inlineStr">
        <is>
          <t>3J</t>
        </is>
      </c>
      <c r="F214" s="83" t="inlineStr">
        <is>
          <t>3I</t>
        </is>
      </c>
      <c r="G214" s="83" t="inlineStr">
        <is>
          <t>3C</t>
        </is>
      </c>
      <c r="H214" s="83" t="inlineStr">
        <is>
          <t>3A</t>
        </is>
      </c>
      <c r="I214" s="83" t="inlineStr">
        <is>
          <t>3H</t>
        </is>
      </c>
      <c r="J214" s="83" t="inlineStr">
        <is>
          <t>3L</t>
        </is>
      </c>
      <c r="K214" s="89" t="inlineStr">
        <is>
          <t>3K</t>
        </is>
      </c>
    </row>
    <row r="215">
      <c r="B215" s="88" t="n">
        <v>210</v>
      </c>
      <c r="C215" s="83" t="inlineStr">
        <is>
          <t>ACEGIJKL</t>
        </is>
      </c>
      <c r="D215" s="83" t="inlineStr">
        <is>
          <t>3E</t>
        </is>
      </c>
      <c r="E215" s="83" t="inlineStr">
        <is>
          <t>3J</t>
        </is>
      </c>
      <c r="F215" s="83" t="inlineStr">
        <is>
          <t>3I</t>
        </is>
      </c>
      <c r="G215" s="83" t="inlineStr">
        <is>
          <t>3C</t>
        </is>
      </c>
      <c r="H215" s="83" t="inlineStr">
        <is>
          <t>3A</t>
        </is>
      </c>
      <c r="I215" s="83" t="inlineStr">
        <is>
          <t>3G</t>
        </is>
      </c>
      <c r="J215" s="83" t="inlineStr">
        <is>
          <t>3L</t>
        </is>
      </c>
      <c r="K215" s="89" t="inlineStr">
        <is>
          <t>3K</t>
        </is>
      </c>
    </row>
    <row r="216">
      <c r="B216" s="88" t="n">
        <v>211</v>
      </c>
      <c r="C216" s="83" t="inlineStr">
        <is>
          <t>ACEGHJKL</t>
        </is>
      </c>
      <c r="D216" s="83" t="inlineStr">
        <is>
          <t>3E</t>
        </is>
      </c>
      <c r="E216" s="83" t="inlineStr">
        <is>
          <t>3G</t>
        </is>
      </c>
      <c r="F216" s="83" t="inlineStr">
        <is>
          <t>3J</t>
        </is>
      </c>
      <c r="G216" s="83" t="inlineStr">
        <is>
          <t>3C</t>
        </is>
      </c>
      <c r="H216" s="83" t="inlineStr">
        <is>
          <t>3A</t>
        </is>
      </c>
      <c r="I216" s="83" t="inlineStr">
        <is>
          <t>3H</t>
        </is>
      </c>
      <c r="J216" s="83" t="inlineStr">
        <is>
          <t>3L</t>
        </is>
      </c>
      <c r="K216" s="89" t="inlineStr">
        <is>
          <t>3K</t>
        </is>
      </c>
    </row>
    <row r="217">
      <c r="B217" s="88" t="n">
        <v>212</v>
      </c>
      <c r="C217" s="83" t="inlineStr">
        <is>
          <t>ACEGHIKL</t>
        </is>
      </c>
      <c r="D217" s="83" t="inlineStr">
        <is>
          <t>3E</t>
        </is>
      </c>
      <c r="E217" s="83" t="inlineStr">
        <is>
          <t>3G</t>
        </is>
      </c>
      <c r="F217" s="83" t="inlineStr">
        <is>
          <t>3I</t>
        </is>
      </c>
      <c r="G217" s="83" t="inlineStr">
        <is>
          <t>3C</t>
        </is>
      </c>
      <c r="H217" s="83" t="inlineStr">
        <is>
          <t>3A</t>
        </is>
      </c>
      <c r="I217" s="83" t="inlineStr">
        <is>
          <t>3H</t>
        </is>
      </c>
      <c r="J217" s="83" t="inlineStr">
        <is>
          <t>3L</t>
        </is>
      </c>
      <c r="K217" s="89" t="inlineStr">
        <is>
          <t>3K</t>
        </is>
      </c>
    </row>
    <row r="218">
      <c r="B218" s="88" t="n">
        <v>213</v>
      </c>
      <c r="C218" s="83" t="inlineStr">
        <is>
          <t>ACEGHIJL</t>
        </is>
      </c>
      <c r="D218" s="83" t="inlineStr">
        <is>
          <t>3E</t>
        </is>
      </c>
      <c r="E218" s="83" t="inlineStr">
        <is>
          <t>3G</t>
        </is>
      </c>
      <c r="F218" s="83" t="inlineStr">
        <is>
          <t>3J</t>
        </is>
      </c>
      <c r="G218" s="83" t="inlineStr">
        <is>
          <t>3C</t>
        </is>
      </c>
      <c r="H218" s="83" t="inlineStr">
        <is>
          <t>3A</t>
        </is>
      </c>
      <c r="I218" s="83" t="inlineStr">
        <is>
          <t>3H</t>
        </is>
      </c>
      <c r="J218" s="83" t="inlineStr">
        <is>
          <t>3L</t>
        </is>
      </c>
      <c r="K218" s="89" t="inlineStr">
        <is>
          <t>3I</t>
        </is>
      </c>
    </row>
    <row r="219">
      <c r="B219" s="88" t="n">
        <v>214</v>
      </c>
      <c r="C219" s="83" t="inlineStr">
        <is>
          <t>ACEGHIJK</t>
        </is>
      </c>
      <c r="D219" s="83" t="inlineStr">
        <is>
          <t>3E</t>
        </is>
      </c>
      <c r="E219" s="83" t="inlineStr">
        <is>
          <t>3G</t>
        </is>
      </c>
      <c r="F219" s="83" t="inlineStr">
        <is>
          <t>3J</t>
        </is>
      </c>
      <c r="G219" s="83" t="inlineStr">
        <is>
          <t>3C</t>
        </is>
      </c>
      <c r="H219" s="83" t="inlineStr">
        <is>
          <t>3A</t>
        </is>
      </c>
      <c r="I219" s="83" t="inlineStr">
        <is>
          <t>3H</t>
        </is>
      </c>
      <c r="J219" s="83" t="inlineStr">
        <is>
          <t>3I</t>
        </is>
      </c>
      <c r="K219" s="89" t="inlineStr">
        <is>
          <t>3K</t>
        </is>
      </c>
    </row>
    <row r="220">
      <c r="B220" s="88" t="n">
        <v>215</v>
      </c>
      <c r="C220" s="83" t="inlineStr">
        <is>
          <t>ACEFIJKL</t>
        </is>
      </c>
      <c r="D220" s="83" t="inlineStr">
        <is>
          <t>3E</t>
        </is>
      </c>
      <c r="E220" s="83" t="inlineStr">
        <is>
          <t>3J</t>
        </is>
      </c>
      <c r="F220" s="83" t="inlineStr">
        <is>
          <t>3I</t>
        </is>
      </c>
      <c r="G220" s="83" t="inlineStr">
        <is>
          <t>3C</t>
        </is>
      </c>
      <c r="H220" s="83" t="inlineStr">
        <is>
          <t>3A</t>
        </is>
      </c>
      <c r="I220" s="83" t="inlineStr">
        <is>
          <t>3F</t>
        </is>
      </c>
      <c r="J220" s="83" t="inlineStr">
        <is>
          <t>3L</t>
        </is>
      </c>
      <c r="K220" s="89" t="inlineStr">
        <is>
          <t>3K</t>
        </is>
      </c>
    </row>
    <row r="221">
      <c r="B221" s="88" t="n">
        <v>216</v>
      </c>
      <c r="C221" s="83" t="inlineStr">
        <is>
          <t>ACEFHJKL</t>
        </is>
      </c>
      <c r="D221" s="83" t="inlineStr">
        <is>
          <t>3H</t>
        </is>
      </c>
      <c r="E221" s="83" t="inlineStr">
        <is>
          <t>3J</t>
        </is>
      </c>
      <c r="F221" s="83" t="inlineStr">
        <is>
          <t>3E</t>
        </is>
      </c>
      <c r="G221" s="83" t="inlineStr">
        <is>
          <t>3C</t>
        </is>
      </c>
      <c r="H221" s="83" t="inlineStr">
        <is>
          <t>3A</t>
        </is>
      </c>
      <c r="I221" s="83" t="inlineStr">
        <is>
          <t>3F</t>
        </is>
      </c>
      <c r="J221" s="83" t="inlineStr">
        <is>
          <t>3L</t>
        </is>
      </c>
      <c r="K221" s="89" t="inlineStr">
        <is>
          <t>3K</t>
        </is>
      </c>
    </row>
    <row r="222">
      <c r="B222" s="88" t="n">
        <v>217</v>
      </c>
      <c r="C222" s="83" t="inlineStr">
        <is>
          <t>ACEFHIKL</t>
        </is>
      </c>
      <c r="D222" s="83" t="inlineStr">
        <is>
          <t>3H</t>
        </is>
      </c>
      <c r="E222" s="83" t="inlineStr">
        <is>
          <t>3E</t>
        </is>
      </c>
      <c r="F222" s="83" t="inlineStr">
        <is>
          <t>3I</t>
        </is>
      </c>
      <c r="G222" s="83" t="inlineStr">
        <is>
          <t>3C</t>
        </is>
      </c>
      <c r="H222" s="83" t="inlineStr">
        <is>
          <t>3A</t>
        </is>
      </c>
      <c r="I222" s="83" t="inlineStr">
        <is>
          <t>3F</t>
        </is>
      </c>
      <c r="J222" s="83" t="inlineStr">
        <is>
          <t>3L</t>
        </is>
      </c>
      <c r="K222" s="89" t="inlineStr">
        <is>
          <t>3K</t>
        </is>
      </c>
    </row>
    <row r="223">
      <c r="B223" s="88" t="n">
        <v>218</v>
      </c>
      <c r="C223" s="83" t="inlineStr">
        <is>
          <t>ACEFHIJL</t>
        </is>
      </c>
      <c r="D223" s="83" t="inlineStr">
        <is>
          <t>3H</t>
        </is>
      </c>
      <c r="E223" s="83" t="inlineStr">
        <is>
          <t>3J</t>
        </is>
      </c>
      <c r="F223" s="83" t="inlineStr">
        <is>
          <t>3E</t>
        </is>
      </c>
      <c r="G223" s="83" t="inlineStr">
        <is>
          <t>3C</t>
        </is>
      </c>
      <c r="H223" s="83" t="inlineStr">
        <is>
          <t>3A</t>
        </is>
      </c>
      <c r="I223" s="83" t="inlineStr">
        <is>
          <t>3F</t>
        </is>
      </c>
      <c r="J223" s="83" t="inlineStr">
        <is>
          <t>3L</t>
        </is>
      </c>
      <c r="K223" s="89" t="inlineStr">
        <is>
          <t>3I</t>
        </is>
      </c>
    </row>
    <row r="224">
      <c r="B224" s="88" t="n">
        <v>219</v>
      </c>
      <c r="C224" s="83" t="inlineStr">
        <is>
          <t>ACEFHIJK</t>
        </is>
      </c>
      <c r="D224" s="83" t="inlineStr">
        <is>
          <t>3H</t>
        </is>
      </c>
      <c r="E224" s="83" t="inlineStr">
        <is>
          <t>3J</t>
        </is>
      </c>
      <c r="F224" s="83" t="inlineStr">
        <is>
          <t>3E</t>
        </is>
      </c>
      <c r="G224" s="83" t="inlineStr">
        <is>
          <t>3C</t>
        </is>
      </c>
      <c r="H224" s="83" t="inlineStr">
        <is>
          <t>3A</t>
        </is>
      </c>
      <c r="I224" s="83" t="inlineStr">
        <is>
          <t>3F</t>
        </is>
      </c>
      <c r="J224" s="83" t="inlineStr">
        <is>
          <t>3I</t>
        </is>
      </c>
      <c r="K224" s="89" t="inlineStr">
        <is>
          <t>3K</t>
        </is>
      </c>
    </row>
    <row r="225">
      <c r="B225" s="88" t="n">
        <v>220</v>
      </c>
      <c r="C225" s="83" t="inlineStr">
        <is>
          <t>ACEFGJKL</t>
        </is>
      </c>
      <c r="D225" s="83" t="inlineStr">
        <is>
          <t>3E</t>
        </is>
      </c>
      <c r="E225" s="83" t="inlineStr">
        <is>
          <t>3G</t>
        </is>
      </c>
      <c r="F225" s="83" t="inlineStr">
        <is>
          <t>3J</t>
        </is>
      </c>
      <c r="G225" s="83" t="inlineStr">
        <is>
          <t>3C</t>
        </is>
      </c>
      <c r="H225" s="83" t="inlineStr">
        <is>
          <t>3A</t>
        </is>
      </c>
      <c r="I225" s="83" t="inlineStr">
        <is>
          <t>3F</t>
        </is>
      </c>
      <c r="J225" s="83" t="inlineStr">
        <is>
          <t>3L</t>
        </is>
      </c>
      <c r="K225" s="89" t="inlineStr">
        <is>
          <t>3K</t>
        </is>
      </c>
    </row>
    <row r="226">
      <c r="B226" s="88" t="n">
        <v>221</v>
      </c>
      <c r="C226" s="83" t="inlineStr">
        <is>
          <t>ACEFGIKL</t>
        </is>
      </c>
      <c r="D226" s="83" t="inlineStr">
        <is>
          <t>3E</t>
        </is>
      </c>
      <c r="E226" s="83" t="inlineStr">
        <is>
          <t>3G</t>
        </is>
      </c>
      <c r="F226" s="83" t="inlineStr">
        <is>
          <t>3I</t>
        </is>
      </c>
      <c r="G226" s="83" t="inlineStr">
        <is>
          <t>3C</t>
        </is>
      </c>
      <c r="H226" s="83" t="inlineStr">
        <is>
          <t>3A</t>
        </is>
      </c>
      <c r="I226" s="83" t="inlineStr">
        <is>
          <t>3F</t>
        </is>
      </c>
      <c r="J226" s="83" t="inlineStr">
        <is>
          <t>3L</t>
        </is>
      </c>
      <c r="K226" s="89" t="inlineStr">
        <is>
          <t>3K</t>
        </is>
      </c>
    </row>
    <row r="227">
      <c r="B227" s="88" t="n">
        <v>222</v>
      </c>
      <c r="C227" s="83" t="inlineStr">
        <is>
          <t>ACEFGIJL</t>
        </is>
      </c>
      <c r="D227" s="83" t="inlineStr">
        <is>
          <t>3E</t>
        </is>
      </c>
      <c r="E227" s="83" t="inlineStr">
        <is>
          <t>3G</t>
        </is>
      </c>
      <c r="F227" s="83" t="inlineStr">
        <is>
          <t>3J</t>
        </is>
      </c>
      <c r="G227" s="83" t="inlineStr">
        <is>
          <t>3C</t>
        </is>
      </c>
      <c r="H227" s="83" t="inlineStr">
        <is>
          <t>3A</t>
        </is>
      </c>
      <c r="I227" s="83" t="inlineStr">
        <is>
          <t>3F</t>
        </is>
      </c>
      <c r="J227" s="83" t="inlineStr">
        <is>
          <t>3L</t>
        </is>
      </c>
      <c r="K227" s="89" t="inlineStr">
        <is>
          <t>3I</t>
        </is>
      </c>
    </row>
    <row r="228">
      <c r="B228" s="88" t="n">
        <v>223</v>
      </c>
      <c r="C228" s="83" t="inlineStr">
        <is>
          <t>ACEFGIJK</t>
        </is>
      </c>
      <c r="D228" s="83" t="inlineStr">
        <is>
          <t>3E</t>
        </is>
      </c>
      <c r="E228" s="83" t="inlineStr">
        <is>
          <t>3G</t>
        </is>
      </c>
      <c r="F228" s="83" t="inlineStr">
        <is>
          <t>3J</t>
        </is>
      </c>
      <c r="G228" s="83" t="inlineStr">
        <is>
          <t>3C</t>
        </is>
      </c>
      <c r="H228" s="83" t="inlineStr">
        <is>
          <t>3A</t>
        </is>
      </c>
      <c r="I228" s="83" t="inlineStr">
        <is>
          <t>3F</t>
        </is>
      </c>
      <c r="J228" s="83" t="inlineStr">
        <is>
          <t>3I</t>
        </is>
      </c>
      <c r="K228" s="89" t="inlineStr">
        <is>
          <t>3K</t>
        </is>
      </c>
    </row>
    <row r="229">
      <c r="B229" s="88" t="n">
        <v>224</v>
      </c>
      <c r="C229" s="83" t="inlineStr">
        <is>
          <t>ACEFGHKL</t>
        </is>
      </c>
      <c r="D229" s="83" t="inlineStr">
        <is>
          <t>3H</t>
        </is>
      </c>
      <c r="E229" s="83" t="inlineStr">
        <is>
          <t>3G</t>
        </is>
      </c>
      <c r="F229" s="83" t="inlineStr">
        <is>
          <t>3E</t>
        </is>
      </c>
      <c r="G229" s="83" t="inlineStr">
        <is>
          <t>3C</t>
        </is>
      </c>
      <c r="H229" s="83" t="inlineStr">
        <is>
          <t>3A</t>
        </is>
      </c>
      <c r="I229" s="83" t="inlineStr">
        <is>
          <t>3F</t>
        </is>
      </c>
      <c r="J229" s="83" t="inlineStr">
        <is>
          <t>3L</t>
        </is>
      </c>
      <c r="K229" s="89" t="inlineStr">
        <is>
          <t>3K</t>
        </is>
      </c>
    </row>
    <row r="230">
      <c r="B230" s="88" t="n">
        <v>225</v>
      </c>
      <c r="C230" s="83" t="inlineStr">
        <is>
          <t>ACEFGHJL</t>
        </is>
      </c>
      <c r="D230" s="83" t="inlineStr">
        <is>
          <t>3H</t>
        </is>
      </c>
      <c r="E230" s="83" t="inlineStr">
        <is>
          <t>3G</t>
        </is>
      </c>
      <c r="F230" s="83" t="inlineStr">
        <is>
          <t>3J</t>
        </is>
      </c>
      <c r="G230" s="83" t="inlineStr">
        <is>
          <t>3C</t>
        </is>
      </c>
      <c r="H230" s="83" t="inlineStr">
        <is>
          <t>3A</t>
        </is>
      </c>
      <c r="I230" s="83" t="inlineStr">
        <is>
          <t>3F</t>
        </is>
      </c>
      <c r="J230" s="83" t="inlineStr">
        <is>
          <t>3L</t>
        </is>
      </c>
      <c r="K230" s="89" t="inlineStr">
        <is>
          <t>3E</t>
        </is>
      </c>
    </row>
    <row r="231">
      <c r="B231" s="88" t="n">
        <v>226</v>
      </c>
      <c r="C231" s="83" t="inlineStr">
        <is>
          <t>ACEFGHJK</t>
        </is>
      </c>
      <c r="D231" s="83" t="inlineStr">
        <is>
          <t>3H</t>
        </is>
      </c>
      <c r="E231" s="83" t="inlineStr">
        <is>
          <t>3G</t>
        </is>
      </c>
      <c r="F231" s="83" t="inlineStr">
        <is>
          <t>3J</t>
        </is>
      </c>
      <c r="G231" s="83" t="inlineStr">
        <is>
          <t>3C</t>
        </is>
      </c>
      <c r="H231" s="83" t="inlineStr">
        <is>
          <t>3A</t>
        </is>
      </c>
      <c r="I231" s="83" t="inlineStr">
        <is>
          <t>3F</t>
        </is>
      </c>
      <c r="J231" s="83" t="inlineStr">
        <is>
          <t>3E</t>
        </is>
      </c>
      <c r="K231" s="89" t="inlineStr">
        <is>
          <t>3K</t>
        </is>
      </c>
    </row>
    <row r="232">
      <c r="B232" s="88" t="n">
        <v>227</v>
      </c>
      <c r="C232" s="83" t="inlineStr">
        <is>
          <t>ACEFGHIL</t>
        </is>
      </c>
      <c r="D232" s="83" t="inlineStr">
        <is>
          <t>3H</t>
        </is>
      </c>
      <c r="E232" s="83" t="inlineStr">
        <is>
          <t>3G</t>
        </is>
      </c>
      <c r="F232" s="83" t="inlineStr">
        <is>
          <t>3E</t>
        </is>
      </c>
      <c r="G232" s="83" t="inlineStr">
        <is>
          <t>3C</t>
        </is>
      </c>
      <c r="H232" s="83" t="inlineStr">
        <is>
          <t>3A</t>
        </is>
      </c>
      <c r="I232" s="83" t="inlineStr">
        <is>
          <t>3F</t>
        </is>
      </c>
      <c r="J232" s="83" t="inlineStr">
        <is>
          <t>3L</t>
        </is>
      </c>
      <c r="K232" s="89" t="inlineStr">
        <is>
          <t>3I</t>
        </is>
      </c>
    </row>
    <row r="233">
      <c r="B233" s="88" t="n">
        <v>228</v>
      </c>
      <c r="C233" s="83" t="inlineStr">
        <is>
          <t>ACEFGHIK</t>
        </is>
      </c>
      <c r="D233" s="83" t="inlineStr">
        <is>
          <t>3H</t>
        </is>
      </c>
      <c r="E233" s="83" t="inlineStr">
        <is>
          <t>3G</t>
        </is>
      </c>
      <c r="F233" s="83" t="inlineStr">
        <is>
          <t>3E</t>
        </is>
      </c>
      <c r="G233" s="83" t="inlineStr">
        <is>
          <t>3C</t>
        </is>
      </c>
      <c r="H233" s="83" t="inlineStr">
        <is>
          <t>3A</t>
        </is>
      </c>
      <c r="I233" s="83" t="inlineStr">
        <is>
          <t>3F</t>
        </is>
      </c>
      <c r="J233" s="83" t="inlineStr">
        <is>
          <t>3I</t>
        </is>
      </c>
      <c r="K233" s="89" t="inlineStr">
        <is>
          <t>3K</t>
        </is>
      </c>
    </row>
    <row r="234">
      <c r="B234" s="88" t="n">
        <v>229</v>
      </c>
      <c r="C234" s="83" t="inlineStr">
        <is>
          <t>ACEFGHIJ</t>
        </is>
      </c>
      <c r="D234" s="83" t="inlineStr">
        <is>
          <t>3H</t>
        </is>
      </c>
      <c r="E234" s="83" t="inlineStr">
        <is>
          <t>3G</t>
        </is>
      </c>
      <c r="F234" s="83" t="inlineStr">
        <is>
          <t>3J</t>
        </is>
      </c>
      <c r="G234" s="83" t="inlineStr">
        <is>
          <t>3C</t>
        </is>
      </c>
      <c r="H234" s="83" t="inlineStr">
        <is>
          <t>3A</t>
        </is>
      </c>
      <c r="I234" s="83" t="inlineStr">
        <is>
          <t>3F</t>
        </is>
      </c>
      <c r="J234" s="83" t="inlineStr">
        <is>
          <t>3E</t>
        </is>
      </c>
      <c r="K234" s="89" t="inlineStr">
        <is>
          <t>3I</t>
        </is>
      </c>
    </row>
    <row r="235">
      <c r="B235" s="88" t="n">
        <v>230</v>
      </c>
      <c r="C235" s="83" t="inlineStr">
        <is>
          <t>ACDHIJKL</t>
        </is>
      </c>
      <c r="D235" s="83" t="inlineStr">
        <is>
          <t>3H</t>
        </is>
      </c>
      <c r="E235" s="83" t="inlineStr">
        <is>
          <t>3J</t>
        </is>
      </c>
      <c r="F235" s="83" t="inlineStr">
        <is>
          <t>3I</t>
        </is>
      </c>
      <c r="G235" s="83" t="inlineStr">
        <is>
          <t>3C</t>
        </is>
      </c>
      <c r="H235" s="83" t="inlineStr">
        <is>
          <t>3A</t>
        </is>
      </c>
      <c r="I235" s="83" t="inlineStr">
        <is>
          <t>3D</t>
        </is>
      </c>
      <c r="J235" s="83" t="inlineStr">
        <is>
          <t>3L</t>
        </is>
      </c>
      <c r="K235" s="89" t="inlineStr">
        <is>
          <t>3K</t>
        </is>
      </c>
    </row>
    <row r="236">
      <c r="B236" s="88" t="n">
        <v>231</v>
      </c>
      <c r="C236" s="83" t="inlineStr">
        <is>
          <t>ACDGIJKL</t>
        </is>
      </c>
      <c r="D236" s="83" t="inlineStr">
        <is>
          <t>3I</t>
        </is>
      </c>
      <c r="E236" s="83" t="inlineStr">
        <is>
          <t>3G</t>
        </is>
      </c>
      <c r="F236" s="83" t="inlineStr">
        <is>
          <t>3J</t>
        </is>
      </c>
      <c r="G236" s="83" t="inlineStr">
        <is>
          <t>3C</t>
        </is>
      </c>
      <c r="H236" s="83" t="inlineStr">
        <is>
          <t>3A</t>
        </is>
      </c>
      <c r="I236" s="83" t="inlineStr">
        <is>
          <t>3D</t>
        </is>
      </c>
      <c r="J236" s="83" t="inlineStr">
        <is>
          <t>3L</t>
        </is>
      </c>
      <c r="K236" s="89" t="inlineStr">
        <is>
          <t>3K</t>
        </is>
      </c>
    </row>
    <row r="237">
      <c r="B237" s="88" t="n">
        <v>232</v>
      </c>
      <c r="C237" s="83" t="inlineStr">
        <is>
          <t>ACDGHJKL</t>
        </is>
      </c>
      <c r="D237" s="83" t="inlineStr">
        <is>
          <t>3H</t>
        </is>
      </c>
      <c r="E237" s="83" t="inlineStr">
        <is>
          <t>3G</t>
        </is>
      </c>
      <c r="F237" s="83" t="inlineStr">
        <is>
          <t>3J</t>
        </is>
      </c>
      <c r="G237" s="83" t="inlineStr">
        <is>
          <t>3C</t>
        </is>
      </c>
      <c r="H237" s="83" t="inlineStr">
        <is>
          <t>3A</t>
        </is>
      </c>
      <c r="I237" s="83" t="inlineStr">
        <is>
          <t>3D</t>
        </is>
      </c>
      <c r="J237" s="83" t="inlineStr">
        <is>
          <t>3L</t>
        </is>
      </c>
      <c r="K237" s="89" t="inlineStr">
        <is>
          <t>3K</t>
        </is>
      </c>
    </row>
    <row r="238">
      <c r="B238" s="88" t="n">
        <v>233</v>
      </c>
      <c r="C238" s="83" t="inlineStr">
        <is>
          <t>ACDGHIKL</t>
        </is>
      </c>
      <c r="D238" s="83" t="inlineStr">
        <is>
          <t>3H</t>
        </is>
      </c>
      <c r="E238" s="83" t="inlineStr">
        <is>
          <t>3G</t>
        </is>
      </c>
      <c r="F238" s="83" t="inlineStr">
        <is>
          <t>3I</t>
        </is>
      </c>
      <c r="G238" s="83" t="inlineStr">
        <is>
          <t>3C</t>
        </is>
      </c>
      <c r="H238" s="83" t="inlineStr">
        <is>
          <t>3A</t>
        </is>
      </c>
      <c r="I238" s="83" t="inlineStr">
        <is>
          <t>3D</t>
        </is>
      </c>
      <c r="J238" s="83" t="inlineStr">
        <is>
          <t>3L</t>
        </is>
      </c>
      <c r="K238" s="89" t="inlineStr">
        <is>
          <t>3K</t>
        </is>
      </c>
    </row>
    <row r="239">
      <c r="B239" s="88" t="n">
        <v>234</v>
      </c>
      <c r="C239" s="83" t="inlineStr">
        <is>
          <t>ACDGHIJL</t>
        </is>
      </c>
      <c r="D239" s="83" t="inlineStr">
        <is>
          <t>3H</t>
        </is>
      </c>
      <c r="E239" s="83" t="inlineStr">
        <is>
          <t>3G</t>
        </is>
      </c>
      <c r="F239" s="83" t="inlineStr">
        <is>
          <t>3J</t>
        </is>
      </c>
      <c r="G239" s="83" t="inlineStr">
        <is>
          <t>3C</t>
        </is>
      </c>
      <c r="H239" s="83" t="inlineStr">
        <is>
          <t>3A</t>
        </is>
      </c>
      <c r="I239" s="83" t="inlineStr">
        <is>
          <t>3D</t>
        </is>
      </c>
      <c r="J239" s="83" t="inlineStr">
        <is>
          <t>3L</t>
        </is>
      </c>
      <c r="K239" s="89" t="inlineStr">
        <is>
          <t>3I</t>
        </is>
      </c>
    </row>
    <row r="240">
      <c r="B240" s="88" t="n">
        <v>235</v>
      </c>
      <c r="C240" s="83" t="inlineStr">
        <is>
          <t>ACDGHIJK</t>
        </is>
      </c>
      <c r="D240" s="83" t="inlineStr">
        <is>
          <t>3H</t>
        </is>
      </c>
      <c r="E240" s="83" t="inlineStr">
        <is>
          <t>3G</t>
        </is>
      </c>
      <c r="F240" s="83" t="inlineStr">
        <is>
          <t>3J</t>
        </is>
      </c>
      <c r="G240" s="83" t="inlineStr">
        <is>
          <t>3C</t>
        </is>
      </c>
      <c r="H240" s="83" t="inlineStr">
        <is>
          <t>3A</t>
        </is>
      </c>
      <c r="I240" s="83" t="inlineStr">
        <is>
          <t>3D</t>
        </is>
      </c>
      <c r="J240" s="83" t="inlineStr">
        <is>
          <t>3I</t>
        </is>
      </c>
      <c r="K240" s="89" t="inlineStr">
        <is>
          <t>3K</t>
        </is>
      </c>
    </row>
    <row r="241">
      <c r="B241" s="88" t="n">
        <v>236</v>
      </c>
      <c r="C241" s="83" t="inlineStr">
        <is>
          <t>ACDFIJKL</t>
        </is>
      </c>
      <c r="D241" s="83" t="inlineStr">
        <is>
          <t>3C</t>
        </is>
      </c>
      <c r="E241" s="83" t="inlineStr">
        <is>
          <t>3J</t>
        </is>
      </c>
      <c r="F241" s="83" t="inlineStr">
        <is>
          <t>3I</t>
        </is>
      </c>
      <c r="G241" s="83" t="inlineStr">
        <is>
          <t>3D</t>
        </is>
      </c>
      <c r="H241" s="83" t="inlineStr">
        <is>
          <t>3A</t>
        </is>
      </c>
      <c r="I241" s="83" t="inlineStr">
        <is>
          <t>3F</t>
        </is>
      </c>
      <c r="J241" s="83" t="inlineStr">
        <is>
          <t>3L</t>
        </is>
      </c>
      <c r="K241" s="89" t="inlineStr">
        <is>
          <t>3K</t>
        </is>
      </c>
    </row>
    <row r="242">
      <c r="B242" s="88" t="n">
        <v>237</v>
      </c>
      <c r="C242" s="83" t="inlineStr">
        <is>
          <t>ACDFHJKL</t>
        </is>
      </c>
      <c r="D242" s="83" t="inlineStr">
        <is>
          <t>3H</t>
        </is>
      </c>
      <c r="E242" s="83" t="inlineStr">
        <is>
          <t>3J</t>
        </is>
      </c>
      <c r="F242" s="83" t="inlineStr">
        <is>
          <t>3F</t>
        </is>
      </c>
      <c r="G242" s="83" t="inlineStr">
        <is>
          <t>3C</t>
        </is>
      </c>
      <c r="H242" s="83" t="inlineStr">
        <is>
          <t>3A</t>
        </is>
      </c>
      <c r="I242" s="83" t="inlineStr">
        <is>
          <t>3D</t>
        </is>
      </c>
      <c r="J242" s="83" t="inlineStr">
        <is>
          <t>3L</t>
        </is>
      </c>
      <c r="K242" s="89" t="inlineStr">
        <is>
          <t>3K</t>
        </is>
      </c>
    </row>
    <row r="243">
      <c r="B243" s="88" t="n">
        <v>238</v>
      </c>
      <c r="C243" s="83" t="inlineStr">
        <is>
          <t>ACDFHIKL</t>
        </is>
      </c>
      <c r="D243" s="83" t="inlineStr">
        <is>
          <t>3H</t>
        </is>
      </c>
      <c r="E243" s="83" t="inlineStr">
        <is>
          <t>3F</t>
        </is>
      </c>
      <c r="F243" s="83" t="inlineStr">
        <is>
          <t>3I</t>
        </is>
      </c>
      <c r="G243" s="83" t="inlineStr">
        <is>
          <t>3C</t>
        </is>
      </c>
      <c r="H243" s="83" t="inlineStr">
        <is>
          <t>3A</t>
        </is>
      </c>
      <c r="I243" s="83" t="inlineStr">
        <is>
          <t>3D</t>
        </is>
      </c>
      <c r="J243" s="83" t="inlineStr">
        <is>
          <t>3L</t>
        </is>
      </c>
      <c r="K243" s="89" t="inlineStr">
        <is>
          <t>3K</t>
        </is>
      </c>
    </row>
    <row r="244">
      <c r="B244" s="88" t="n">
        <v>239</v>
      </c>
      <c r="C244" s="83" t="inlineStr">
        <is>
          <t>ACDFHIJL</t>
        </is>
      </c>
      <c r="D244" s="83" t="inlineStr">
        <is>
          <t>3H</t>
        </is>
      </c>
      <c r="E244" s="83" t="inlineStr">
        <is>
          <t>3J</t>
        </is>
      </c>
      <c r="F244" s="83" t="inlineStr">
        <is>
          <t>3F</t>
        </is>
      </c>
      <c r="G244" s="83" t="inlineStr">
        <is>
          <t>3C</t>
        </is>
      </c>
      <c r="H244" s="83" t="inlineStr">
        <is>
          <t>3A</t>
        </is>
      </c>
      <c r="I244" s="83" t="inlineStr">
        <is>
          <t>3D</t>
        </is>
      </c>
      <c r="J244" s="83" t="inlineStr">
        <is>
          <t>3L</t>
        </is>
      </c>
      <c r="K244" s="89" t="inlineStr">
        <is>
          <t>3I</t>
        </is>
      </c>
    </row>
    <row r="245">
      <c r="B245" s="88" t="n">
        <v>240</v>
      </c>
      <c r="C245" s="83" t="inlineStr">
        <is>
          <t>ACDFHIJK</t>
        </is>
      </c>
      <c r="D245" s="83" t="inlineStr">
        <is>
          <t>3H</t>
        </is>
      </c>
      <c r="E245" s="83" t="inlineStr">
        <is>
          <t>3J</t>
        </is>
      </c>
      <c r="F245" s="83" t="inlineStr">
        <is>
          <t>3F</t>
        </is>
      </c>
      <c r="G245" s="83" t="inlineStr">
        <is>
          <t>3C</t>
        </is>
      </c>
      <c r="H245" s="83" t="inlineStr">
        <is>
          <t>3A</t>
        </is>
      </c>
      <c r="I245" s="83" t="inlineStr">
        <is>
          <t>3D</t>
        </is>
      </c>
      <c r="J245" s="83" t="inlineStr">
        <is>
          <t>3I</t>
        </is>
      </c>
      <c r="K245" s="89" t="inlineStr">
        <is>
          <t>3K</t>
        </is>
      </c>
    </row>
    <row r="246">
      <c r="B246" s="88" t="n">
        <v>241</v>
      </c>
      <c r="C246" s="83" t="inlineStr">
        <is>
          <t>ACDFGJKL</t>
        </is>
      </c>
      <c r="D246" s="83" t="inlineStr">
        <is>
          <t>3C</t>
        </is>
      </c>
      <c r="E246" s="83" t="inlineStr">
        <is>
          <t>3G</t>
        </is>
      </c>
      <c r="F246" s="83" t="inlineStr">
        <is>
          <t>3J</t>
        </is>
      </c>
      <c r="G246" s="83" t="inlineStr">
        <is>
          <t>3D</t>
        </is>
      </c>
      <c r="H246" s="83" t="inlineStr">
        <is>
          <t>3A</t>
        </is>
      </c>
      <c r="I246" s="83" t="inlineStr">
        <is>
          <t>3F</t>
        </is>
      </c>
      <c r="J246" s="83" t="inlineStr">
        <is>
          <t>3L</t>
        </is>
      </c>
      <c r="K246" s="89" t="inlineStr">
        <is>
          <t>3K</t>
        </is>
      </c>
    </row>
    <row r="247">
      <c r="B247" s="88" t="n">
        <v>242</v>
      </c>
      <c r="C247" s="83" t="inlineStr">
        <is>
          <t>ACDFGIKL</t>
        </is>
      </c>
      <c r="D247" s="83" t="inlineStr">
        <is>
          <t>3C</t>
        </is>
      </c>
      <c r="E247" s="83" t="inlineStr">
        <is>
          <t>3G</t>
        </is>
      </c>
      <c r="F247" s="83" t="inlineStr">
        <is>
          <t>3I</t>
        </is>
      </c>
      <c r="G247" s="83" t="inlineStr">
        <is>
          <t>3D</t>
        </is>
      </c>
      <c r="H247" s="83" t="inlineStr">
        <is>
          <t>3A</t>
        </is>
      </c>
      <c r="I247" s="83" t="inlineStr">
        <is>
          <t>3F</t>
        </is>
      </c>
      <c r="J247" s="83" t="inlineStr">
        <is>
          <t>3L</t>
        </is>
      </c>
      <c r="K247" s="89" t="inlineStr">
        <is>
          <t>3K</t>
        </is>
      </c>
    </row>
    <row r="248">
      <c r="B248" s="88" t="n">
        <v>243</v>
      </c>
      <c r="C248" s="83" t="inlineStr">
        <is>
          <t>ACDFGIJL</t>
        </is>
      </c>
      <c r="D248" s="83" t="inlineStr">
        <is>
          <t>3C</t>
        </is>
      </c>
      <c r="E248" s="83" t="inlineStr">
        <is>
          <t>3G</t>
        </is>
      </c>
      <c r="F248" s="83" t="inlineStr">
        <is>
          <t>3J</t>
        </is>
      </c>
      <c r="G248" s="83" t="inlineStr">
        <is>
          <t>3D</t>
        </is>
      </c>
      <c r="H248" s="83" t="inlineStr">
        <is>
          <t>3A</t>
        </is>
      </c>
      <c r="I248" s="83" t="inlineStr">
        <is>
          <t>3F</t>
        </is>
      </c>
      <c r="J248" s="83" t="inlineStr">
        <is>
          <t>3L</t>
        </is>
      </c>
      <c r="K248" s="89" t="inlineStr">
        <is>
          <t>3I</t>
        </is>
      </c>
    </row>
    <row r="249">
      <c r="B249" s="88" t="n">
        <v>244</v>
      </c>
      <c r="C249" s="83" t="inlineStr">
        <is>
          <t>ACDFGIJK</t>
        </is>
      </c>
      <c r="D249" s="83" t="inlineStr">
        <is>
          <t>3C</t>
        </is>
      </c>
      <c r="E249" s="83" t="inlineStr">
        <is>
          <t>3G</t>
        </is>
      </c>
      <c r="F249" s="83" t="inlineStr">
        <is>
          <t>3J</t>
        </is>
      </c>
      <c r="G249" s="83" t="inlineStr">
        <is>
          <t>3D</t>
        </is>
      </c>
      <c r="H249" s="83" t="inlineStr">
        <is>
          <t>3A</t>
        </is>
      </c>
      <c r="I249" s="83" t="inlineStr">
        <is>
          <t>3F</t>
        </is>
      </c>
      <c r="J249" s="83" t="inlineStr">
        <is>
          <t>3I</t>
        </is>
      </c>
      <c r="K249" s="89" t="inlineStr">
        <is>
          <t>3K</t>
        </is>
      </c>
    </row>
    <row r="250">
      <c r="B250" s="88" t="n">
        <v>245</v>
      </c>
      <c r="C250" s="83" t="inlineStr">
        <is>
          <t>ACDFGHKL</t>
        </is>
      </c>
      <c r="D250" s="83" t="inlineStr">
        <is>
          <t>3H</t>
        </is>
      </c>
      <c r="E250" s="83" t="inlineStr">
        <is>
          <t>3G</t>
        </is>
      </c>
      <c r="F250" s="83" t="inlineStr">
        <is>
          <t>3F</t>
        </is>
      </c>
      <c r="G250" s="83" t="inlineStr">
        <is>
          <t>3C</t>
        </is>
      </c>
      <c r="H250" s="83" t="inlineStr">
        <is>
          <t>3A</t>
        </is>
      </c>
      <c r="I250" s="83" t="inlineStr">
        <is>
          <t>3D</t>
        </is>
      </c>
      <c r="J250" s="83" t="inlineStr">
        <is>
          <t>3L</t>
        </is>
      </c>
      <c r="K250" s="89" t="inlineStr">
        <is>
          <t>3K</t>
        </is>
      </c>
    </row>
    <row r="251">
      <c r="B251" s="88" t="n">
        <v>246</v>
      </c>
      <c r="C251" s="83" t="inlineStr">
        <is>
          <t>ACDFGHJL</t>
        </is>
      </c>
      <c r="D251" s="83" t="inlineStr">
        <is>
          <t>3C</t>
        </is>
      </c>
      <c r="E251" s="83" t="inlineStr">
        <is>
          <t>3G</t>
        </is>
      </c>
      <c r="F251" s="83" t="inlineStr">
        <is>
          <t>3J</t>
        </is>
      </c>
      <c r="G251" s="83" t="inlineStr">
        <is>
          <t>3D</t>
        </is>
      </c>
      <c r="H251" s="83" t="inlineStr">
        <is>
          <t>3A</t>
        </is>
      </c>
      <c r="I251" s="83" t="inlineStr">
        <is>
          <t>3F</t>
        </is>
      </c>
      <c r="J251" s="83" t="inlineStr">
        <is>
          <t>3L</t>
        </is>
      </c>
      <c r="K251" s="89" t="inlineStr">
        <is>
          <t>3H</t>
        </is>
      </c>
    </row>
    <row r="252">
      <c r="B252" s="88" t="n">
        <v>247</v>
      </c>
      <c r="C252" s="83" t="inlineStr">
        <is>
          <t>ACDFGHJK</t>
        </is>
      </c>
      <c r="D252" s="83" t="inlineStr">
        <is>
          <t>3H</t>
        </is>
      </c>
      <c r="E252" s="83" t="inlineStr">
        <is>
          <t>3G</t>
        </is>
      </c>
      <c r="F252" s="83" t="inlineStr">
        <is>
          <t>3J</t>
        </is>
      </c>
      <c r="G252" s="83" t="inlineStr">
        <is>
          <t>3C</t>
        </is>
      </c>
      <c r="H252" s="83" t="inlineStr">
        <is>
          <t>3A</t>
        </is>
      </c>
      <c r="I252" s="83" t="inlineStr">
        <is>
          <t>3F</t>
        </is>
      </c>
      <c r="J252" s="83" t="inlineStr">
        <is>
          <t>3D</t>
        </is>
      </c>
      <c r="K252" s="89" t="inlineStr">
        <is>
          <t>3K</t>
        </is>
      </c>
    </row>
    <row r="253">
      <c r="B253" s="88" t="n">
        <v>248</v>
      </c>
      <c r="C253" s="83" t="inlineStr">
        <is>
          <t>ACDFGHIL</t>
        </is>
      </c>
      <c r="D253" s="83" t="inlineStr">
        <is>
          <t>3H</t>
        </is>
      </c>
      <c r="E253" s="83" t="inlineStr">
        <is>
          <t>3G</t>
        </is>
      </c>
      <c r="F253" s="83" t="inlineStr">
        <is>
          <t>3F</t>
        </is>
      </c>
      <c r="G253" s="83" t="inlineStr">
        <is>
          <t>3C</t>
        </is>
      </c>
      <c r="H253" s="83" t="inlineStr">
        <is>
          <t>3A</t>
        </is>
      </c>
      <c r="I253" s="83" t="inlineStr">
        <is>
          <t>3D</t>
        </is>
      </c>
      <c r="J253" s="83" t="inlineStr">
        <is>
          <t>3L</t>
        </is>
      </c>
      <c r="K253" s="89" t="inlineStr">
        <is>
          <t>3I</t>
        </is>
      </c>
    </row>
    <row r="254">
      <c r="B254" s="88" t="n">
        <v>249</v>
      </c>
      <c r="C254" s="83" t="inlineStr">
        <is>
          <t>ACDFGHIK</t>
        </is>
      </c>
      <c r="D254" s="83" t="inlineStr">
        <is>
          <t>3H</t>
        </is>
      </c>
      <c r="E254" s="83" t="inlineStr">
        <is>
          <t>3G</t>
        </is>
      </c>
      <c r="F254" s="83" t="inlineStr">
        <is>
          <t>3F</t>
        </is>
      </c>
      <c r="G254" s="83" t="inlineStr">
        <is>
          <t>3C</t>
        </is>
      </c>
      <c r="H254" s="83" t="inlineStr">
        <is>
          <t>3A</t>
        </is>
      </c>
      <c r="I254" s="83" t="inlineStr">
        <is>
          <t>3D</t>
        </is>
      </c>
      <c r="J254" s="83" t="inlineStr">
        <is>
          <t>3I</t>
        </is>
      </c>
      <c r="K254" s="89" t="inlineStr">
        <is>
          <t>3K</t>
        </is>
      </c>
    </row>
    <row r="255">
      <c r="B255" s="88" t="n">
        <v>250</v>
      </c>
      <c r="C255" s="83" t="inlineStr">
        <is>
          <t>ACDFGHIJ</t>
        </is>
      </c>
      <c r="D255" s="83" t="inlineStr">
        <is>
          <t>3H</t>
        </is>
      </c>
      <c r="E255" s="83" t="inlineStr">
        <is>
          <t>3G</t>
        </is>
      </c>
      <c r="F255" s="83" t="inlineStr">
        <is>
          <t>3J</t>
        </is>
      </c>
      <c r="G255" s="83" t="inlineStr">
        <is>
          <t>3C</t>
        </is>
      </c>
      <c r="H255" s="83" t="inlineStr">
        <is>
          <t>3A</t>
        </is>
      </c>
      <c r="I255" s="83" t="inlineStr">
        <is>
          <t>3F</t>
        </is>
      </c>
      <c r="J255" s="83" t="inlineStr">
        <is>
          <t>3D</t>
        </is>
      </c>
      <c r="K255" s="89" t="inlineStr">
        <is>
          <t>3I</t>
        </is>
      </c>
    </row>
    <row r="256">
      <c r="B256" s="88" t="n">
        <v>251</v>
      </c>
      <c r="C256" s="83" t="inlineStr">
        <is>
          <t>ACDEIJKL</t>
        </is>
      </c>
      <c r="D256" s="83" t="inlineStr">
        <is>
          <t>3E</t>
        </is>
      </c>
      <c r="E256" s="83" t="inlineStr">
        <is>
          <t>3J</t>
        </is>
      </c>
      <c r="F256" s="83" t="inlineStr">
        <is>
          <t>3I</t>
        </is>
      </c>
      <c r="G256" s="83" t="inlineStr">
        <is>
          <t>3C</t>
        </is>
      </c>
      <c r="H256" s="83" t="inlineStr">
        <is>
          <t>3A</t>
        </is>
      </c>
      <c r="I256" s="83" t="inlineStr">
        <is>
          <t>3D</t>
        </is>
      </c>
      <c r="J256" s="83" t="inlineStr">
        <is>
          <t>3L</t>
        </is>
      </c>
      <c r="K256" s="89" t="inlineStr">
        <is>
          <t>3K</t>
        </is>
      </c>
    </row>
    <row r="257">
      <c r="B257" s="88" t="n">
        <v>252</v>
      </c>
      <c r="C257" s="83" t="inlineStr">
        <is>
          <t>ACDEHJKL</t>
        </is>
      </c>
      <c r="D257" s="83" t="inlineStr">
        <is>
          <t>3H</t>
        </is>
      </c>
      <c r="E257" s="83" t="inlineStr">
        <is>
          <t>3J</t>
        </is>
      </c>
      <c r="F257" s="83" t="inlineStr">
        <is>
          <t>3E</t>
        </is>
      </c>
      <c r="G257" s="83" t="inlineStr">
        <is>
          <t>3C</t>
        </is>
      </c>
      <c r="H257" s="83" t="inlineStr">
        <is>
          <t>3A</t>
        </is>
      </c>
      <c r="I257" s="83" t="inlineStr">
        <is>
          <t>3D</t>
        </is>
      </c>
      <c r="J257" s="83" t="inlineStr">
        <is>
          <t>3L</t>
        </is>
      </c>
      <c r="K257" s="89" t="inlineStr">
        <is>
          <t>3K</t>
        </is>
      </c>
    </row>
    <row r="258">
      <c r="B258" s="88" t="n">
        <v>253</v>
      </c>
      <c r="C258" s="83" t="inlineStr">
        <is>
          <t>ACDEHIKL</t>
        </is>
      </c>
      <c r="D258" s="83" t="inlineStr">
        <is>
          <t>3H</t>
        </is>
      </c>
      <c r="E258" s="83" t="inlineStr">
        <is>
          <t>3E</t>
        </is>
      </c>
      <c r="F258" s="83" t="inlineStr">
        <is>
          <t>3I</t>
        </is>
      </c>
      <c r="G258" s="83" t="inlineStr">
        <is>
          <t>3C</t>
        </is>
      </c>
      <c r="H258" s="83" t="inlineStr">
        <is>
          <t>3A</t>
        </is>
      </c>
      <c r="I258" s="83" t="inlineStr">
        <is>
          <t>3D</t>
        </is>
      </c>
      <c r="J258" s="83" t="inlineStr">
        <is>
          <t>3L</t>
        </is>
      </c>
      <c r="K258" s="89" t="inlineStr">
        <is>
          <t>3K</t>
        </is>
      </c>
    </row>
    <row r="259">
      <c r="B259" s="88" t="n">
        <v>254</v>
      </c>
      <c r="C259" s="83" t="inlineStr">
        <is>
          <t>ACDEHIJL</t>
        </is>
      </c>
      <c r="D259" s="83" t="inlineStr">
        <is>
          <t>3H</t>
        </is>
      </c>
      <c r="E259" s="83" t="inlineStr">
        <is>
          <t>3J</t>
        </is>
      </c>
      <c r="F259" s="83" t="inlineStr">
        <is>
          <t>3E</t>
        </is>
      </c>
      <c r="G259" s="83" t="inlineStr">
        <is>
          <t>3C</t>
        </is>
      </c>
      <c r="H259" s="83" t="inlineStr">
        <is>
          <t>3A</t>
        </is>
      </c>
      <c r="I259" s="83" t="inlineStr">
        <is>
          <t>3D</t>
        </is>
      </c>
      <c r="J259" s="83" t="inlineStr">
        <is>
          <t>3L</t>
        </is>
      </c>
      <c r="K259" s="89" t="inlineStr">
        <is>
          <t>3I</t>
        </is>
      </c>
    </row>
    <row r="260">
      <c r="B260" s="88" t="n">
        <v>255</v>
      </c>
      <c r="C260" s="83" t="inlineStr">
        <is>
          <t>ACDEHIJK</t>
        </is>
      </c>
      <c r="D260" s="83" t="inlineStr">
        <is>
          <t>3H</t>
        </is>
      </c>
      <c r="E260" s="83" t="inlineStr">
        <is>
          <t>3J</t>
        </is>
      </c>
      <c r="F260" s="83" t="inlineStr">
        <is>
          <t>3E</t>
        </is>
      </c>
      <c r="G260" s="83" t="inlineStr">
        <is>
          <t>3C</t>
        </is>
      </c>
      <c r="H260" s="83" t="inlineStr">
        <is>
          <t>3A</t>
        </is>
      </c>
      <c r="I260" s="83" t="inlineStr">
        <is>
          <t>3D</t>
        </is>
      </c>
      <c r="J260" s="83" t="inlineStr">
        <is>
          <t>3I</t>
        </is>
      </c>
      <c r="K260" s="89" t="inlineStr">
        <is>
          <t>3K</t>
        </is>
      </c>
    </row>
    <row r="261">
      <c r="B261" s="88" t="n">
        <v>256</v>
      </c>
      <c r="C261" s="83" t="inlineStr">
        <is>
          <t>ACDEGJKL</t>
        </is>
      </c>
      <c r="D261" s="83" t="inlineStr">
        <is>
          <t>3E</t>
        </is>
      </c>
      <c r="E261" s="83" t="inlineStr">
        <is>
          <t>3G</t>
        </is>
      </c>
      <c r="F261" s="83" t="inlineStr">
        <is>
          <t>3J</t>
        </is>
      </c>
      <c r="G261" s="83" t="inlineStr">
        <is>
          <t>3C</t>
        </is>
      </c>
      <c r="H261" s="83" t="inlineStr">
        <is>
          <t>3A</t>
        </is>
      </c>
      <c r="I261" s="83" t="inlineStr">
        <is>
          <t>3D</t>
        </is>
      </c>
      <c r="J261" s="83" t="inlineStr">
        <is>
          <t>3L</t>
        </is>
      </c>
      <c r="K261" s="89" t="inlineStr">
        <is>
          <t>3K</t>
        </is>
      </c>
    </row>
    <row r="262">
      <c r="B262" s="88" t="n">
        <v>257</v>
      </c>
      <c r="C262" s="83" t="inlineStr">
        <is>
          <t>ACDEGIKL</t>
        </is>
      </c>
      <c r="D262" s="83" t="inlineStr">
        <is>
          <t>3E</t>
        </is>
      </c>
      <c r="E262" s="83" t="inlineStr">
        <is>
          <t>3G</t>
        </is>
      </c>
      <c r="F262" s="83" t="inlineStr">
        <is>
          <t>3I</t>
        </is>
      </c>
      <c r="G262" s="83" t="inlineStr">
        <is>
          <t>3C</t>
        </is>
      </c>
      <c r="H262" s="83" t="inlineStr">
        <is>
          <t>3A</t>
        </is>
      </c>
      <c r="I262" s="83" t="inlineStr">
        <is>
          <t>3D</t>
        </is>
      </c>
      <c r="J262" s="83" t="inlineStr">
        <is>
          <t>3L</t>
        </is>
      </c>
      <c r="K262" s="89" t="inlineStr">
        <is>
          <t>3K</t>
        </is>
      </c>
    </row>
    <row r="263">
      <c r="B263" s="88" t="n">
        <v>258</v>
      </c>
      <c r="C263" s="83" t="inlineStr">
        <is>
          <t>ACDEGIJL</t>
        </is>
      </c>
      <c r="D263" s="83" t="inlineStr">
        <is>
          <t>3E</t>
        </is>
      </c>
      <c r="E263" s="83" t="inlineStr">
        <is>
          <t>3G</t>
        </is>
      </c>
      <c r="F263" s="83" t="inlineStr">
        <is>
          <t>3J</t>
        </is>
      </c>
      <c r="G263" s="83" t="inlineStr">
        <is>
          <t>3C</t>
        </is>
      </c>
      <c r="H263" s="83" t="inlineStr">
        <is>
          <t>3A</t>
        </is>
      </c>
      <c r="I263" s="83" t="inlineStr">
        <is>
          <t>3D</t>
        </is>
      </c>
      <c r="J263" s="83" t="inlineStr">
        <is>
          <t>3L</t>
        </is>
      </c>
      <c r="K263" s="89" t="inlineStr">
        <is>
          <t>3I</t>
        </is>
      </c>
    </row>
    <row r="264">
      <c r="B264" s="88" t="n">
        <v>259</v>
      </c>
      <c r="C264" s="83" t="inlineStr">
        <is>
          <t>ACDEGIJK</t>
        </is>
      </c>
      <c r="D264" s="83" t="inlineStr">
        <is>
          <t>3E</t>
        </is>
      </c>
      <c r="E264" s="83" t="inlineStr">
        <is>
          <t>3G</t>
        </is>
      </c>
      <c r="F264" s="83" t="inlineStr">
        <is>
          <t>3J</t>
        </is>
      </c>
      <c r="G264" s="83" t="inlineStr">
        <is>
          <t>3C</t>
        </is>
      </c>
      <c r="H264" s="83" t="inlineStr">
        <is>
          <t>3A</t>
        </is>
      </c>
      <c r="I264" s="83" t="inlineStr">
        <is>
          <t>3D</t>
        </is>
      </c>
      <c r="J264" s="83" t="inlineStr">
        <is>
          <t>3I</t>
        </is>
      </c>
      <c r="K264" s="89" t="inlineStr">
        <is>
          <t>3K</t>
        </is>
      </c>
    </row>
    <row r="265">
      <c r="B265" s="88" t="n">
        <v>260</v>
      </c>
      <c r="C265" s="83" t="inlineStr">
        <is>
          <t>ACDEGHKL</t>
        </is>
      </c>
      <c r="D265" s="83" t="inlineStr">
        <is>
          <t>3H</t>
        </is>
      </c>
      <c r="E265" s="83" t="inlineStr">
        <is>
          <t>3G</t>
        </is>
      </c>
      <c r="F265" s="83" t="inlineStr">
        <is>
          <t>3E</t>
        </is>
      </c>
      <c r="G265" s="83" t="inlineStr">
        <is>
          <t>3C</t>
        </is>
      </c>
      <c r="H265" s="83" t="inlineStr">
        <is>
          <t>3A</t>
        </is>
      </c>
      <c r="I265" s="83" t="inlineStr">
        <is>
          <t>3D</t>
        </is>
      </c>
      <c r="J265" s="83" t="inlineStr">
        <is>
          <t>3L</t>
        </is>
      </c>
      <c r="K265" s="89" t="inlineStr">
        <is>
          <t>3K</t>
        </is>
      </c>
    </row>
    <row r="266">
      <c r="B266" s="88" t="n">
        <v>261</v>
      </c>
      <c r="C266" s="83" t="inlineStr">
        <is>
          <t>ACDEGHJL</t>
        </is>
      </c>
      <c r="D266" s="83" t="inlineStr">
        <is>
          <t>3H</t>
        </is>
      </c>
      <c r="E266" s="83" t="inlineStr">
        <is>
          <t>3G</t>
        </is>
      </c>
      <c r="F266" s="83" t="inlineStr">
        <is>
          <t>3J</t>
        </is>
      </c>
      <c r="G266" s="83" t="inlineStr">
        <is>
          <t>3C</t>
        </is>
      </c>
      <c r="H266" s="83" t="inlineStr">
        <is>
          <t>3A</t>
        </is>
      </c>
      <c r="I266" s="83" t="inlineStr">
        <is>
          <t>3D</t>
        </is>
      </c>
      <c r="J266" s="83" t="inlineStr">
        <is>
          <t>3L</t>
        </is>
      </c>
      <c r="K266" s="89" t="inlineStr">
        <is>
          <t>3E</t>
        </is>
      </c>
    </row>
    <row r="267">
      <c r="B267" s="88" t="n">
        <v>262</v>
      </c>
      <c r="C267" s="83" t="inlineStr">
        <is>
          <t>ACDEGHJK</t>
        </is>
      </c>
      <c r="D267" s="83" t="inlineStr">
        <is>
          <t>3H</t>
        </is>
      </c>
      <c r="E267" s="83" t="inlineStr">
        <is>
          <t>3G</t>
        </is>
      </c>
      <c r="F267" s="83" t="inlineStr">
        <is>
          <t>3J</t>
        </is>
      </c>
      <c r="G267" s="83" t="inlineStr">
        <is>
          <t>3C</t>
        </is>
      </c>
      <c r="H267" s="83" t="inlineStr">
        <is>
          <t>3A</t>
        </is>
      </c>
      <c r="I267" s="83" t="inlineStr">
        <is>
          <t>3D</t>
        </is>
      </c>
      <c r="J267" s="83" t="inlineStr">
        <is>
          <t>3E</t>
        </is>
      </c>
      <c r="K267" s="89" t="inlineStr">
        <is>
          <t>3K</t>
        </is>
      </c>
    </row>
    <row r="268">
      <c r="B268" s="88" t="n">
        <v>263</v>
      </c>
      <c r="C268" s="83" t="inlineStr">
        <is>
          <t>ACDEGHIL</t>
        </is>
      </c>
      <c r="D268" s="83" t="inlineStr">
        <is>
          <t>3H</t>
        </is>
      </c>
      <c r="E268" s="83" t="inlineStr">
        <is>
          <t>3G</t>
        </is>
      </c>
      <c r="F268" s="83" t="inlineStr">
        <is>
          <t>3E</t>
        </is>
      </c>
      <c r="G268" s="83" t="inlineStr">
        <is>
          <t>3C</t>
        </is>
      </c>
      <c r="H268" s="83" t="inlineStr">
        <is>
          <t>3A</t>
        </is>
      </c>
      <c r="I268" s="83" t="inlineStr">
        <is>
          <t>3D</t>
        </is>
      </c>
      <c r="J268" s="83" t="inlineStr">
        <is>
          <t>3L</t>
        </is>
      </c>
      <c r="K268" s="89" t="inlineStr">
        <is>
          <t>3I</t>
        </is>
      </c>
    </row>
    <row r="269">
      <c r="B269" s="88" t="n">
        <v>264</v>
      </c>
      <c r="C269" s="83" t="inlineStr">
        <is>
          <t>ACDEGHIK</t>
        </is>
      </c>
      <c r="D269" s="83" t="inlineStr">
        <is>
          <t>3H</t>
        </is>
      </c>
      <c r="E269" s="83" t="inlineStr">
        <is>
          <t>3G</t>
        </is>
      </c>
      <c r="F269" s="83" t="inlineStr">
        <is>
          <t>3E</t>
        </is>
      </c>
      <c r="G269" s="83" t="inlineStr">
        <is>
          <t>3C</t>
        </is>
      </c>
      <c r="H269" s="83" t="inlineStr">
        <is>
          <t>3A</t>
        </is>
      </c>
      <c r="I269" s="83" t="inlineStr">
        <is>
          <t>3D</t>
        </is>
      </c>
      <c r="J269" s="83" t="inlineStr">
        <is>
          <t>3I</t>
        </is>
      </c>
      <c r="K269" s="89" t="inlineStr">
        <is>
          <t>3K</t>
        </is>
      </c>
    </row>
    <row r="270">
      <c r="B270" s="88" t="n">
        <v>265</v>
      </c>
      <c r="C270" s="83" t="inlineStr">
        <is>
          <t>ACDEGHIJ</t>
        </is>
      </c>
      <c r="D270" s="83" t="inlineStr">
        <is>
          <t>3H</t>
        </is>
      </c>
      <c r="E270" s="83" t="inlineStr">
        <is>
          <t>3G</t>
        </is>
      </c>
      <c r="F270" s="83" t="inlineStr">
        <is>
          <t>3J</t>
        </is>
      </c>
      <c r="G270" s="83" t="inlineStr">
        <is>
          <t>3C</t>
        </is>
      </c>
      <c r="H270" s="83" t="inlineStr">
        <is>
          <t>3A</t>
        </is>
      </c>
      <c r="I270" s="83" t="inlineStr">
        <is>
          <t>3D</t>
        </is>
      </c>
      <c r="J270" s="83" t="inlineStr">
        <is>
          <t>3E</t>
        </is>
      </c>
      <c r="K270" s="89" t="inlineStr">
        <is>
          <t>3I</t>
        </is>
      </c>
    </row>
    <row r="271">
      <c r="B271" s="88" t="n">
        <v>266</v>
      </c>
      <c r="C271" s="83" t="inlineStr">
        <is>
          <t>ACDEFJKL</t>
        </is>
      </c>
      <c r="D271" s="83" t="inlineStr">
        <is>
          <t>3C</t>
        </is>
      </c>
      <c r="E271" s="83" t="inlineStr">
        <is>
          <t>3J</t>
        </is>
      </c>
      <c r="F271" s="83" t="inlineStr">
        <is>
          <t>3E</t>
        </is>
      </c>
      <c r="G271" s="83" t="inlineStr">
        <is>
          <t>3D</t>
        </is>
      </c>
      <c r="H271" s="83" t="inlineStr">
        <is>
          <t>3A</t>
        </is>
      </c>
      <c r="I271" s="83" t="inlineStr">
        <is>
          <t>3F</t>
        </is>
      </c>
      <c r="J271" s="83" t="inlineStr">
        <is>
          <t>3L</t>
        </is>
      </c>
      <c r="K271" s="89" t="inlineStr">
        <is>
          <t>3K</t>
        </is>
      </c>
    </row>
    <row r="272">
      <c r="B272" s="88" t="n">
        <v>267</v>
      </c>
      <c r="C272" s="83" t="inlineStr">
        <is>
          <t>ACDEFIKL</t>
        </is>
      </c>
      <c r="D272" s="83" t="inlineStr">
        <is>
          <t>3C</t>
        </is>
      </c>
      <c r="E272" s="83" t="inlineStr">
        <is>
          <t>3E</t>
        </is>
      </c>
      <c r="F272" s="83" t="inlineStr">
        <is>
          <t>3I</t>
        </is>
      </c>
      <c r="G272" s="83" t="inlineStr">
        <is>
          <t>3D</t>
        </is>
      </c>
      <c r="H272" s="83" t="inlineStr">
        <is>
          <t>3A</t>
        </is>
      </c>
      <c r="I272" s="83" t="inlineStr">
        <is>
          <t>3F</t>
        </is>
      </c>
      <c r="J272" s="83" t="inlineStr">
        <is>
          <t>3L</t>
        </is>
      </c>
      <c r="K272" s="89" t="inlineStr">
        <is>
          <t>3K</t>
        </is>
      </c>
    </row>
    <row r="273">
      <c r="B273" s="88" t="n">
        <v>268</v>
      </c>
      <c r="C273" s="83" t="inlineStr">
        <is>
          <t>ACDEFIJL</t>
        </is>
      </c>
      <c r="D273" s="83" t="inlineStr">
        <is>
          <t>3C</t>
        </is>
      </c>
      <c r="E273" s="83" t="inlineStr">
        <is>
          <t>3J</t>
        </is>
      </c>
      <c r="F273" s="83" t="inlineStr">
        <is>
          <t>3E</t>
        </is>
      </c>
      <c r="G273" s="83" t="inlineStr">
        <is>
          <t>3D</t>
        </is>
      </c>
      <c r="H273" s="83" t="inlineStr">
        <is>
          <t>3A</t>
        </is>
      </c>
      <c r="I273" s="83" t="inlineStr">
        <is>
          <t>3F</t>
        </is>
      </c>
      <c r="J273" s="83" t="inlineStr">
        <is>
          <t>3L</t>
        </is>
      </c>
      <c r="K273" s="89" t="inlineStr">
        <is>
          <t>3I</t>
        </is>
      </c>
    </row>
    <row r="274">
      <c r="B274" s="88" t="n">
        <v>269</v>
      </c>
      <c r="C274" s="83" t="inlineStr">
        <is>
          <t>ACDEFIJK</t>
        </is>
      </c>
      <c r="D274" s="83" t="inlineStr">
        <is>
          <t>3C</t>
        </is>
      </c>
      <c r="E274" s="83" t="inlineStr">
        <is>
          <t>3J</t>
        </is>
      </c>
      <c r="F274" s="83" t="inlineStr">
        <is>
          <t>3E</t>
        </is>
      </c>
      <c r="G274" s="83" t="inlineStr">
        <is>
          <t>3D</t>
        </is>
      </c>
      <c r="H274" s="83" t="inlineStr">
        <is>
          <t>3A</t>
        </is>
      </c>
      <c r="I274" s="83" t="inlineStr">
        <is>
          <t>3F</t>
        </is>
      </c>
      <c r="J274" s="83" t="inlineStr">
        <is>
          <t>3I</t>
        </is>
      </c>
      <c r="K274" s="89" t="inlineStr">
        <is>
          <t>3K</t>
        </is>
      </c>
    </row>
    <row r="275">
      <c r="B275" s="88" t="n">
        <v>270</v>
      </c>
      <c r="C275" s="83" t="inlineStr">
        <is>
          <t>ACDEFHKL</t>
        </is>
      </c>
      <c r="D275" s="83" t="inlineStr">
        <is>
          <t>3H</t>
        </is>
      </c>
      <c r="E275" s="83" t="inlineStr">
        <is>
          <t>3E</t>
        </is>
      </c>
      <c r="F275" s="83" t="inlineStr">
        <is>
          <t>3F</t>
        </is>
      </c>
      <c r="G275" s="83" t="inlineStr">
        <is>
          <t>3C</t>
        </is>
      </c>
      <c r="H275" s="83" t="inlineStr">
        <is>
          <t>3A</t>
        </is>
      </c>
      <c r="I275" s="83" t="inlineStr">
        <is>
          <t>3D</t>
        </is>
      </c>
      <c r="J275" s="83" t="inlineStr">
        <is>
          <t>3L</t>
        </is>
      </c>
      <c r="K275" s="89" t="inlineStr">
        <is>
          <t>3K</t>
        </is>
      </c>
    </row>
    <row r="276">
      <c r="B276" s="88" t="n">
        <v>271</v>
      </c>
      <c r="C276" s="83" t="inlineStr">
        <is>
          <t>ACDEFHJL</t>
        </is>
      </c>
      <c r="D276" s="83" t="inlineStr">
        <is>
          <t>3H</t>
        </is>
      </c>
      <c r="E276" s="83" t="inlineStr">
        <is>
          <t>3J</t>
        </is>
      </c>
      <c r="F276" s="83" t="inlineStr">
        <is>
          <t>3F</t>
        </is>
      </c>
      <c r="G276" s="83" t="inlineStr">
        <is>
          <t>3C</t>
        </is>
      </c>
      <c r="H276" s="83" t="inlineStr">
        <is>
          <t>3A</t>
        </is>
      </c>
      <c r="I276" s="83" t="inlineStr">
        <is>
          <t>3D</t>
        </is>
      </c>
      <c r="J276" s="83" t="inlineStr">
        <is>
          <t>3L</t>
        </is>
      </c>
      <c r="K276" s="89" t="inlineStr">
        <is>
          <t>3E</t>
        </is>
      </c>
    </row>
    <row r="277">
      <c r="B277" s="88" t="n">
        <v>272</v>
      </c>
      <c r="C277" s="83" t="inlineStr">
        <is>
          <t>ACDEFHJK</t>
        </is>
      </c>
      <c r="D277" s="83" t="inlineStr">
        <is>
          <t>3H</t>
        </is>
      </c>
      <c r="E277" s="83" t="inlineStr">
        <is>
          <t>3J</t>
        </is>
      </c>
      <c r="F277" s="83" t="inlineStr">
        <is>
          <t>3E</t>
        </is>
      </c>
      <c r="G277" s="83" t="inlineStr">
        <is>
          <t>3C</t>
        </is>
      </c>
      <c r="H277" s="83" t="inlineStr">
        <is>
          <t>3A</t>
        </is>
      </c>
      <c r="I277" s="83" t="inlineStr">
        <is>
          <t>3F</t>
        </is>
      </c>
      <c r="J277" s="83" t="inlineStr">
        <is>
          <t>3D</t>
        </is>
      </c>
      <c r="K277" s="89" t="inlineStr">
        <is>
          <t>3K</t>
        </is>
      </c>
    </row>
    <row r="278">
      <c r="B278" s="88" t="n">
        <v>273</v>
      </c>
      <c r="C278" s="83" t="inlineStr">
        <is>
          <t>ACDEFHIL</t>
        </is>
      </c>
      <c r="D278" s="83" t="inlineStr">
        <is>
          <t>3H</t>
        </is>
      </c>
      <c r="E278" s="83" t="inlineStr">
        <is>
          <t>3E</t>
        </is>
      </c>
      <c r="F278" s="83" t="inlineStr">
        <is>
          <t>3F</t>
        </is>
      </c>
      <c r="G278" s="83" t="inlineStr">
        <is>
          <t>3C</t>
        </is>
      </c>
      <c r="H278" s="83" t="inlineStr">
        <is>
          <t>3A</t>
        </is>
      </c>
      <c r="I278" s="83" t="inlineStr">
        <is>
          <t>3D</t>
        </is>
      </c>
      <c r="J278" s="83" t="inlineStr">
        <is>
          <t>3L</t>
        </is>
      </c>
      <c r="K278" s="89" t="inlineStr">
        <is>
          <t>3I</t>
        </is>
      </c>
    </row>
    <row r="279">
      <c r="B279" s="88" t="n">
        <v>274</v>
      </c>
      <c r="C279" s="83" t="inlineStr">
        <is>
          <t>ACDEFHIK</t>
        </is>
      </c>
      <c r="D279" s="83" t="inlineStr">
        <is>
          <t>3H</t>
        </is>
      </c>
      <c r="E279" s="83" t="inlineStr">
        <is>
          <t>3E</t>
        </is>
      </c>
      <c r="F279" s="83" t="inlineStr">
        <is>
          <t>3F</t>
        </is>
      </c>
      <c r="G279" s="83" t="inlineStr">
        <is>
          <t>3C</t>
        </is>
      </c>
      <c r="H279" s="83" t="inlineStr">
        <is>
          <t>3A</t>
        </is>
      </c>
      <c r="I279" s="83" t="inlineStr">
        <is>
          <t>3D</t>
        </is>
      </c>
      <c r="J279" s="83" t="inlineStr">
        <is>
          <t>3I</t>
        </is>
      </c>
      <c r="K279" s="89" t="inlineStr">
        <is>
          <t>3K</t>
        </is>
      </c>
    </row>
    <row r="280">
      <c r="B280" s="88" t="n">
        <v>275</v>
      </c>
      <c r="C280" s="83" t="inlineStr">
        <is>
          <t>ACDEFHIJ</t>
        </is>
      </c>
      <c r="D280" s="83" t="inlineStr">
        <is>
          <t>3H</t>
        </is>
      </c>
      <c r="E280" s="83" t="inlineStr">
        <is>
          <t>3J</t>
        </is>
      </c>
      <c r="F280" s="83" t="inlineStr">
        <is>
          <t>3E</t>
        </is>
      </c>
      <c r="G280" s="83" t="inlineStr">
        <is>
          <t>3C</t>
        </is>
      </c>
      <c r="H280" s="83" t="inlineStr">
        <is>
          <t>3A</t>
        </is>
      </c>
      <c r="I280" s="83" t="inlineStr">
        <is>
          <t>3F</t>
        </is>
      </c>
      <c r="J280" s="83" t="inlineStr">
        <is>
          <t>3D</t>
        </is>
      </c>
      <c r="K280" s="89" t="inlineStr">
        <is>
          <t>3I</t>
        </is>
      </c>
    </row>
    <row r="281">
      <c r="B281" s="88" t="n">
        <v>276</v>
      </c>
      <c r="C281" s="83" t="inlineStr">
        <is>
          <t>ACDEFGKL</t>
        </is>
      </c>
      <c r="D281" s="83" t="inlineStr">
        <is>
          <t>3C</t>
        </is>
      </c>
      <c r="E281" s="83" t="inlineStr">
        <is>
          <t>3G</t>
        </is>
      </c>
      <c r="F281" s="83" t="inlineStr">
        <is>
          <t>3E</t>
        </is>
      </c>
      <c r="G281" s="83" t="inlineStr">
        <is>
          <t>3D</t>
        </is>
      </c>
      <c r="H281" s="83" t="inlineStr">
        <is>
          <t>3A</t>
        </is>
      </c>
      <c r="I281" s="83" t="inlineStr">
        <is>
          <t>3F</t>
        </is>
      </c>
      <c r="J281" s="83" t="inlineStr">
        <is>
          <t>3L</t>
        </is>
      </c>
      <c r="K281" s="89" t="inlineStr">
        <is>
          <t>3K</t>
        </is>
      </c>
    </row>
    <row r="282">
      <c r="B282" s="88" t="n">
        <v>277</v>
      </c>
      <c r="C282" s="83" t="inlineStr">
        <is>
          <t>ACDEFGJL</t>
        </is>
      </c>
      <c r="D282" s="83" t="inlineStr">
        <is>
          <t>3C</t>
        </is>
      </c>
      <c r="E282" s="83" t="inlineStr">
        <is>
          <t>3G</t>
        </is>
      </c>
      <c r="F282" s="83" t="inlineStr">
        <is>
          <t>3J</t>
        </is>
      </c>
      <c r="G282" s="83" t="inlineStr">
        <is>
          <t>3D</t>
        </is>
      </c>
      <c r="H282" s="83" t="inlineStr">
        <is>
          <t>3A</t>
        </is>
      </c>
      <c r="I282" s="83" t="inlineStr">
        <is>
          <t>3F</t>
        </is>
      </c>
      <c r="J282" s="83" t="inlineStr">
        <is>
          <t>3L</t>
        </is>
      </c>
      <c r="K282" s="89" t="inlineStr">
        <is>
          <t>3E</t>
        </is>
      </c>
    </row>
    <row r="283">
      <c r="B283" s="88" t="n">
        <v>278</v>
      </c>
      <c r="C283" s="83" t="inlineStr">
        <is>
          <t>ACDEFGJK</t>
        </is>
      </c>
      <c r="D283" s="83" t="inlineStr">
        <is>
          <t>3C</t>
        </is>
      </c>
      <c r="E283" s="83" t="inlineStr">
        <is>
          <t>3G</t>
        </is>
      </c>
      <c r="F283" s="83" t="inlineStr">
        <is>
          <t>3J</t>
        </is>
      </c>
      <c r="G283" s="83" t="inlineStr">
        <is>
          <t>3D</t>
        </is>
      </c>
      <c r="H283" s="83" t="inlineStr">
        <is>
          <t>3A</t>
        </is>
      </c>
      <c r="I283" s="83" t="inlineStr">
        <is>
          <t>3F</t>
        </is>
      </c>
      <c r="J283" s="83" t="inlineStr">
        <is>
          <t>3E</t>
        </is>
      </c>
      <c r="K283" s="89" t="inlineStr">
        <is>
          <t>3K</t>
        </is>
      </c>
    </row>
    <row r="284">
      <c r="B284" s="88" t="n">
        <v>279</v>
      </c>
      <c r="C284" s="83" t="inlineStr">
        <is>
          <t>ACDEFGIL</t>
        </is>
      </c>
      <c r="D284" s="83" t="inlineStr">
        <is>
          <t>3C</t>
        </is>
      </c>
      <c r="E284" s="83" t="inlineStr">
        <is>
          <t>3G</t>
        </is>
      </c>
      <c r="F284" s="83" t="inlineStr">
        <is>
          <t>3E</t>
        </is>
      </c>
      <c r="G284" s="83" t="inlineStr">
        <is>
          <t>3D</t>
        </is>
      </c>
      <c r="H284" s="83" t="inlineStr">
        <is>
          <t>3A</t>
        </is>
      </c>
      <c r="I284" s="83" t="inlineStr">
        <is>
          <t>3F</t>
        </is>
      </c>
      <c r="J284" s="83" t="inlineStr">
        <is>
          <t>3L</t>
        </is>
      </c>
      <c r="K284" s="89" t="inlineStr">
        <is>
          <t>3I</t>
        </is>
      </c>
    </row>
    <row r="285">
      <c r="B285" s="88" t="n">
        <v>280</v>
      </c>
      <c r="C285" s="83" t="inlineStr">
        <is>
          <t>ACDEFGIK</t>
        </is>
      </c>
      <c r="D285" s="83" t="inlineStr">
        <is>
          <t>3C</t>
        </is>
      </c>
      <c r="E285" s="83" t="inlineStr">
        <is>
          <t>3G</t>
        </is>
      </c>
      <c r="F285" s="83" t="inlineStr">
        <is>
          <t>3E</t>
        </is>
      </c>
      <c r="G285" s="83" t="inlineStr">
        <is>
          <t>3D</t>
        </is>
      </c>
      <c r="H285" s="83" t="inlineStr">
        <is>
          <t>3A</t>
        </is>
      </c>
      <c r="I285" s="83" t="inlineStr">
        <is>
          <t>3F</t>
        </is>
      </c>
      <c r="J285" s="83" t="inlineStr">
        <is>
          <t>3I</t>
        </is>
      </c>
      <c r="K285" s="89" t="inlineStr">
        <is>
          <t>3K</t>
        </is>
      </c>
    </row>
    <row r="286">
      <c r="B286" s="88" t="n">
        <v>281</v>
      </c>
      <c r="C286" s="83" t="inlineStr">
        <is>
          <t>ACDEFGIJ</t>
        </is>
      </c>
      <c r="D286" s="83" t="inlineStr">
        <is>
          <t>3C</t>
        </is>
      </c>
      <c r="E286" s="83" t="inlineStr">
        <is>
          <t>3G</t>
        </is>
      </c>
      <c r="F286" s="83" t="inlineStr">
        <is>
          <t>3J</t>
        </is>
      </c>
      <c r="G286" s="83" t="inlineStr">
        <is>
          <t>3D</t>
        </is>
      </c>
      <c r="H286" s="83" t="inlineStr">
        <is>
          <t>3A</t>
        </is>
      </c>
      <c r="I286" s="83" t="inlineStr">
        <is>
          <t>3F</t>
        </is>
      </c>
      <c r="J286" s="83" t="inlineStr">
        <is>
          <t>3E</t>
        </is>
      </c>
      <c r="K286" s="89" t="inlineStr">
        <is>
          <t>3I</t>
        </is>
      </c>
    </row>
    <row r="287">
      <c r="B287" s="88" t="n">
        <v>282</v>
      </c>
      <c r="C287" s="83" t="inlineStr">
        <is>
          <t>ACDEFGHL</t>
        </is>
      </c>
      <c r="D287" s="83" t="inlineStr">
        <is>
          <t>3H</t>
        </is>
      </c>
      <c r="E287" s="83" t="inlineStr">
        <is>
          <t>3G</t>
        </is>
      </c>
      <c r="F287" s="83" t="inlineStr">
        <is>
          <t>3F</t>
        </is>
      </c>
      <c r="G287" s="83" t="inlineStr">
        <is>
          <t>3C</t>
        </is>
      </c>
      <c r="H287" s="83" t="inlineStr">
        <is>
          <t>3A</t>
        </is>
      </c>
      <c r="I287" s="83" t="inlineStr">
        <is>
          <t>3D</t>
        </is>
      </c>
      <c r="J287" s="83" t="inlineStr">
        <is>
          <t>3L</t>
        </is>
      </c>
      <c r="K287" s="89" t="inlineStr">
        <is>
          <t>3E</t>
        </is>
      </c>
    </row>
    <row r="288">
      <c r="B288" s="88" t="n">
        <v>283</v>
      </c>
      <c r="C288" s="83" t="inlineStr">
        <is>
          <t>ACDEFGHK</t>
        </is>
      </c>
      <c r="D288" s="83" t="inlineStr">
        <is>
          <t>3H</t>
        </is>
      </c>
      <c r="E288" s="83" t="inlineStr">
        <is>
          <t>3G</t>
        </is>
      </c>
      <c r="F288" s="83" t="inlineStr">
        <is>
          <t>3E</t>
        </is>
      </c>
      <c r="G288" s="83" t="inlineStr">
        <is>
          <t>3C</t>
        </is>
      </c>
      <c r="H288" s="83" t="inlineStr">
        <is>
          <t>3A</t>
        </is>
      </c>
      <c r="I288" s="83" t="inlineStr">
        <is>
          <t>3F</t>
        </is>
      </c>
      <c r="J288" s="83" t="inlineStr">
        <is>
          <t>3D</t>
        </is>
      </c>
      <c r="K288" s="89" t="inlineStr">
        <is>
          <t>3K</t>
        </is>
      </c>
    </row>
    <row r="289">
      <c r="B289" s="88" t="n">
        <v>284</v>
      </c>
      <c r="C289" s="83" t="inlineStr">
        <is>
          <t>ACDEFGHJ</t>
        </is>
      </c>
      <c r="D289" s="83" t="inlineStr">
        <is>
          <t>3H</t>
        </is>
      </c>
      <c r="E289" s="83" t="inlineStr">
        <is>
          <t>3G</t>
        </is>
      </c>
      <c r="F289" s="83" t="inlineStr">
        <is>
          <t>3J</t>
        </is>
      </c>
      <c r="G289" s="83" t="inlineStr">
        <is>
          <t>3C</t>
        </is>
      </c>
      <c r="H289" s="83" t="inlineStr">
        <is>
          <t>3A</t>
        </is>
      </c>
      <c r="I289" s="83" t="inlineStr">
        <is>
          <t>3F</t>
        </is>
      </c>
      <c r="J289" s="83" t="inlineStr">
        <is>
          <t>3D</t>
        </is>
      </c>
      <c r="K289" s="89" t="inlineStr">
        <is>
          <t>3E</t>
        </is>
      </c>
    </row>
    <row r="290">
      <c r="B290" s="88" t="n">
        <v>285</v>
      </c>
      <c r="C290" s="83" t="inlineStr">
        <is>
          <t>ACDEFGHI</t>
        </is>
      </c>
      <c r="D290" s="83" t="inlineStr">
        <is>
          <t>3H</t>
        </is>
      </c>
      <c r="E290" s="83" t="inlineStr">
        <is>
          <t>3G</t>
        </is>
      </c>
      <c r="F290" s="83" t="inlineStr">
        <is>
          <t>3E</t>
        </is>
      </c>
      <c r="G290" s="83" t="inlineStr">
        <is>
          <t>3C</t>
        </is>
      </c>
      <c r="H290" s="83" t="inlineStr">
        <is>
          <t>3A</t>
        </is>
      </c>
      <c r="I290" s="83" t="inlineStr">
        <is>
          <t>3F</t>
        </is>
      </c>
      <c r="J290" s="83" t="inlineStr">
        <is>
          <t>3D</t>
        </is>
      </c>
      <c r="K290" s="89" t="inlineStr">
        <is>
          <t>3I</t>
        </is>
      </c>
    </row>
    <row r="291">
      <c r="B291" s="88" t="n">
        <v>286</v>
      </c>
      <c r="C291" s="83" t="inlineStr">
        <is>
          <t>ABGHIJKL</t>
        </is>
      </c>
      <c r="D291" s="83" t="inlineStr">
        <is>
          <t>3H</t>
        </is>
      </c>
      <c r="E291" s="83" t="inlineStr">
        <is>
          <t>3J</t>
        </is>
      </c>
      <c r="F291" s="83" t="inlineStr">
        <is>
          <t>3B</t>
        </is>
      </c>
      <c r="G291" s="83" t="inlineStr">
        <is>
          <t>3A</t>
        </is>
      </c>
      <c r="H291" s="83" t="inlineStr">
        <is>
          <t>3I</t>
        </is>
      </c>
      <c r="I291" s="83" t="inlineStr">
        <is>
          <t>3G</t>
        </is>
      </c>
      <c r="J291" s="83" t="inlineStr">
        <is>
          <t>3L</t>
        </is>
      </c>
      <c r="K291" s="89" t="inlineStr">
        <is>
          <t>3K</t>
        </is>
      </c>
    </row>
    <row r="292">
      <c r="B292" s="88" t="n">
        <v>287</v>
      </c>
      <c r="C292" s="83" t="inlineStr">
        <is>
          <t>ABFHIJKL</t>
        </is>
      </c>
      <c r="D292" s="83" t="inlineStr">
        <is>
          <t>3H</t>
        </is>
      </c>
      <c r="E292" s="83" t="inlineStr">
        <is>
          <t>3J</t>
        </is>
      </c>
      <c r="F292" s="83" t="inlineStr">
        <is>
          <t>3B</t>
        </is>
      </c>
      <c r="G292" s="83" t="inlineStr">
        <is>
          <t>3A</t>
        </is>
      </c>
      <c r="H292" s="83" t="inlineStr">
        <is>
          <t>3I</t>
        </is>
      </c>
      <c r="I292" s="83" t="inlineStr">
        <is>
          <t>3F</t>
        </is>
      </c>
      <c r="J292" s="83" t="inlineStr">
        <is>
          <t>3L</t>
        </is>
      </c>
      <c r="K292" s="89" t="inlineStr">
        <is>
          <t>3K</t>
        </is>
      </c>
    </row>
    <row r="293">
      <c r="B293" s="88" t="n">
        <v>288</v>
      </c>
      <c r="C293" s="83" t="inlineStr">
        <is>
          <t>ABFGIJKL</t>
        </is>
      </c>
      <c r="D293" s="83" t="inlineStr">
        <is>
          <t>3I</t>
        </is>
      </c>
      <c r="E293" s="83" t="inlineStr">
        <is>
          <t>3J</t>
        </is>
      </c>
      <c r="F293" s="83" t="inlineStr">
        <is>
          <t>3B</t>
        </is>
      </c>
      <c r="G293" s="83" t="inlineStr">
        <is>
          <t>3F</t>
        </is>
      </c>
      <c r="H293" s="83" t="inlineStr">
        <is>
          <t>3A</t>
        </is>
      </c>
      <c r="I293" s="83" t="inlineStr">
        <is>
          <t>3G</t>
        </is>
      </c>
      <c r="J293" s="83" t="inlineStr">
        <is>
          <t>3L</t>
        </is>
      </c>
      <c r="K293" s="89" t="inlineStr">
        <is>
          <t>3K</t>
        </is>
      </c>
    </row>
    <row r="294">
      <c r="B294" s="88" t="n">
        <v>289</v>
      </c>
      <c r="C294" s="83" t="inlineStr">
        <is>
          <t>ABFGHJKL</t>
        </is>
      </c>
      <c r="D294" s="83" t="inlineStr">
        <is>
          <t>3H</t>
        </is>
      </c>
      <c r="E294" s="83" t="inlineStr">
        <is>
          <t>3J</t>
        </is>
      </c>
      <c r="F294" s="83" t="inlineStr">
        <is>
          <t>3B</t>
        </is>
      </c>
      <c r="G294" s="83" t="inlineStr">
        <is>
          <t>3F</t>
        </is>
      </c>
      <c r="H294" s="83" t="inlineStr">
        <is>
          <t>3A</t>
        </is>
      </c>
      <c r="I294" s="83" t="inlineStr">
        <is>
          <t>3G</t>
        </is>
      </c>
      <c r="J294" s="83" t="inlineStr">
        <is>
          <t>3L</t>
        </is>
      </c>
      <c r="K294" s="89" t="inlineStr">
        <is>
          <t>3K</t>
        </is>
      </c>
    </row>
    <row r="295">
      <c r="B295" s="88" t="n">
        <v>290</v>
      </c>
      <c r="C295" s="83" t="inlineStr">
        <is>
          <t>ABFGHIKL</t>
        </is>
      </c>
      <c r="D295" s="83" t="inlineStr">
        <is>
          <t>3H</t>
        </is>
      </c>
      <c r="E295" s="83" t="inlineStr">
        <is>
          <t>3G</t>
        </is>
      </c>
      <c r="F295" s="83" t="inlineStr">
        <is>
          <t>3B</t>
        </is>
      </c>
      <c r="G295" s="83" t="inlineStr">
        <is>
          <t>3A</t>
        </is>
      </c>
      <c r="H295" s="83" t="inlineStr">
        <is>
          <t>3I</t>
        </is>
      </c>
      <c r="I295" s="83" t="inlineStr">
        <is>
          <t>3F</t>
        </is>
      </c>
      <c r="J295" s="83" t="inlineStr">
        <is>
          <t>3L</t>
        </is>
      </c>
      <c r="K295" s="89" t="inlineStr">
        <is>
          <t>3K</t>
        </is>
      </c>
    </row>
    <row r="296">
      <c r="B296" s="88" t="n">
        <v>291</v>
      </c>
      <c r="C296" s="83" t="inlineStr">
        <is>
          <t>ABFGHIJL</t>
        </is>
      </c>
      <c r="D296" s="83" t="inlineStr">
        <is>
          <t>3H</t>
        </is>
      </c>
      <c r="E296" s="83" t="inlineStr">
        <is>
          <t>3J</t>
        </is>
      </c>
      <c r="F296" s="83" t="inlineStr">
        <is>
          <t>3B</t>
        </is>
      </c>
      <c r="G296" s="83" t="inlineStr">
        <is>
          <t>3F</t>
        </is>
      </c>
      <c r="H296" s="83" t="inlineStr">
        <is>
          <t>3A</t>
        </is>
      </c>
      <c r="I296" s="83" t="inlineStr">
        <is>
          <t>3G</t>
        </is>
      </c>
      <c r="J296" s="83" t="inlineStr">
        <is>
          <t>3L</t>
        </is>
      </c>
      <c r="K296" s="89" t="inlineStr">
        <is>
          <t>3I</t>
        </is>
      </c>
    </row>
    <row r="297">
      <c r="B297" s="88" t="n">
        <v>292</v>
      </c>
      <c r="C297" s="83" t="inlineStr">
        <is>
          <t>ABFGHIJK</t>
        </is>
      </c>
      <c r="D297" s="83" t="inlineStr">
        <is>
          <t>3H</t>
        </is>
      </c>
      <c r="E297" s="83" t="inlineStr">
        <is>
          <t>3J</t>
        </is>
      </c>
      <c r="F297" s="83" t="inlineStr">
        <is>
          <t>3B</t>
        </is>
      </c>
      <c r="G297" s="83" t="inlineStr">
        <is>
          <t>3F</t>
        </is>
      </c>
      <c r="H297" s="83" t="inlineStr">
        <is>
          <t>3A</t>
        </is>
      </c>
      <c r="I297" s="83" t="inlineStr">
        <is>
          <t>3G</t>
        </is>
      </c>
      <c r="J297" s="83" t="inlineStr">
        <is>
          <t>3I</t>
        </is>
      </c>
      <c r="K297" s="89" t="inlineStr">
        <is>
          <t>3K</t>
        </is>
      </c>
    </row>
    <row r="298">
      <c r="B298" s="88" t="n">
        <v>293</v>
      </c>
      <c r="C298" s="83" t="inlineStr">
        <is>
          <t>ABEHIJKL</t>
        </is>
      </c>
      <c r="D298" s="83" t="inlineStr">
        <is>
          <t>3E</t>
        </is>
      </c>
      <c r="E298" s="83" t="inlineStr">
        <is>
          <t>3J</t>
        </is>
      </c>
      <c r="F298" s="83" t="inlineStr">
        <is>
          <t>3B</t>
        </is>
      </c>
      <c r="G298" s="83" t="inlineStr">
        <is>
          <t>3A</t>
        </is>
      </c>
      <c r="H298" s="83" t="inlineStr">
        <is>
          <t>3I</t>
        </is>
      </c>
      <c r="I298" s="83" t="inlineStr">
        <is>
          <t>3H</t>
        </is>
      </c>
      <c r="J298" s="83" t="inlineStr">
        <is>
          <t>3L</t>
        </is>
      </c>
      <c r="K298" s="89" t="inlineStr">
        <is>
          <t>3K</t>
        </is>
      </c>
    </row>
    <row r="299">
      <c r="B299" s="88" t="n">
        <v>294</v>
      </c>
      <c r="C299" s="83" t="inlineStr">
        <is>
          <t>ABEGIJKL</t>
        </is>
      </c>
      <c r="D299" s="83" t="inlineStr">
        <is>
          <t>3E</t>
        </is>
      </c>
      <c r="E299" s="83" t="inlineStr">
        <is>
          <t>3J</t>
        </is>
      </c>
      <c r="F299" s="83" t="inlineStr">
        <is>
          <t>3B</t>
        </is>
      </c>
      <c r="G299" s="83" t="inlineStr">
        <is>
          <t>3A</t>
        </is>
      </c>
      <c r="H299" s="83" t="inlineStr">
        <is>
          <t>3I</t>
        </is>
      </c>
      <c r="I299" s="83" t="inlineStr">
        <is>
          <t>3G</t>
        </is>
      </c>
      <c r="J299" s="83" t="inlineStr">
        <is>
          <t>3L</t>
        </is>
      </c>
      <c r="K299" s="89" t="inlineStr">
        <is>
          <t>3K</t>
        </is>
      </c>
    </row>
    <row r="300">
      <c r="B300" s="88" t="n">
        <v>295</v>
      </c>
      <c r="C300" s="83" t="inlineStr">
        <is>
          <t>ABEGHJKL</t>
        </is>
      </c>
      <c r="D300" s="83" t="inlineStr">
        <is>
          <t>3E</t>
        </is>
      </c>
      <c r="E300" s="83" t="inlineStr">
        <is>
          <t>3J</t>
        </is>
      </c>
      <c r="F300" s="83" t="inlineStr">
        <is>
          <t>3B</t>
        </is>
      </c>
      <c r="G300" s="83" t="inlineStr">
        <is>
          <t>3A</t>
        </is>
      </c>
      <c r="H300" s="83" t="inlineStr">
        <is>
          <t>3H</t>
        </is>
      </c>
      <c r="I300" s="83" t="inlineStr">
        <is>
          <t>3G</t>
        </is>
      </c>
      <c r="J300" s="83" t="inlineStr">
        <is>
          <t>3L</t>
        </is>
      </c>
      <c r="K300" s="89" t="inlineStr">
        <is>
          <t>3K</t>
        </is>
      </c>
    </row>
    <row r="301">
      <c r="B301" s="88" t="n">
        <v>296</v>
      </c>
      <c r="C301" s="83" t="inlineStr">
        <is>
          <t>ABEGHIKL</t>
        </is>
      </c>
      <c r="D301" s="83" t="inlineStr">
        <is>
          <t>3E</t>
        </is>
      </c>
      <c r="E301" s="83" t="inlineStr">
        <is>
          <t>3G</t>
        </is>
      </c>
      <c r="F301" s="83" t="inlineStr">
        <is>
          <t>3B</t>
        </is>
      </c>
      <c r="G301" s="83" t="inlineStr">
        <is>
          <t>3A</t>
        </is>
      </c>
      <c r="H301" s="83" t="inlineStr">
        <is>
          <t>3I</t>
        </is>
      </c>
      <c r="I301" s="83" t="inlineStr">
        <is>
          <t>3H</t>
        </is>
      </c>
      <c r="J301" s="83" t="inlineStr">
        <is>
          <t>3L</t>
        </is>
      </c>
      <c r="K301" s="89" t="inlineStr">
        <is>
          <t>3K</t>
        </is>
      </c>
    </row>
    <row r="302">
      <c r="B302" s="88" t="n">
        <v>297</v>
      </c>
      <c r="C302" s="83" t="inlineStr">
        <is>
          <t>ABEGHIJL</t>
        </is>
      </c>
      <c r="D302" s="83" t="inlineStr">
        <is>
          <t>3E</t>
        </is>
      </c>
      <c r="E302" s="83" t="inlineStr">
        <is>
          <t>3J</t>
        </is>
      </c>
      <c r="F302" s="83" t="inlineStr">
        <is>
          <t>3B</t>
        </is>
      </c>
      <c r="G302" s="83" t="inlineStr">
        <is>
          <t>3A</t>
        </is>
      </c>
      <c r="H302" s="83" t="inlineStr">
        <is>
          <t>3H</t>
        </is>
      </c>
      <c r="I302" s="83" t="inlineStr">
        <is>
          <t>3G</t>
        </is>
      </c>
      <c r="J302" s="83" t="inlineStr">
        <is>
          <t>3L</t>
        </is>
      </c>
      <c r="K302" s="89" t="inlineStr">
        <is>
          <t>3I</t>
        </is>
      </c>
    </row>
    <row r="303">
      <c r="B303" s="88" t="n">
        <v>298</v>
      </c>
      <c r="C303" s="83" t="inlineStr">
        <is>
          <t>ABEGHIJK</t>
        </is>
      </c>
      <c r="D303" s="83" t="inlineStr">
        <is>
          <t>3E</t>
        </is>
      </c>
      <c r="E303" s="83" t="inlineStr">
        <is>
          <t>3J</t>
        </is>
      </c>
      <c r="F303" s="83" t="inlineStr">
        <is>
          <t>3B</t>
        </is>
      </c>
      <c r="G303" s="83" t="inlineStr">
        <is>
          <t>3A</t>
        </is>
      </c>
      <c r="H303" s="83" t="inlineStr">
        <is>
          <t>3H</t>
        </is>
      </c>
      <c r="I303" s="83" t="inlineStr">
        <is>
          <t>3G</t>
        </is>
      </c>
      <c r="J303" s="83" t="inlineStr">
        <is>
          <t>3I</t>
        </is>
      </c>
      <c r="K303" s="89" t="inlineStr">
        <is>
          <t>3K</t>
        </is>
      </c>
    </row>
    <row r="304">
      <c r="B304" s="88" t="n">
        <v>299</v>
      </c>
      <c r="C304" s="83" t="inlineStr">
        <is>
          <t>ABEFIJKL</t>
        </is>
      </c>
      <c r="D304" s="83" t="inlineStr">
        <is>
          <t>3E</t>
        </is>
      </c>
      <c r="E304" s="83" t="inlineStr">
        <is>
          <t>3J</t>
        </is>
      </c>
      <c r="F304" s="83" t="inlineStr">
        <is>
          <t>3B</t>
        </is>
      </c>
      <c r="G304" s="83" t="inlineStr">
        <is>
          <t>3A</t>
        </is>
      </c>
      <c r="H304" s="83" t="inlineStr">
        <is>
          <t>3I</t>
        </is>
      </c>
      <c r="I304" s="83" t="inlineStr">
        <is>
          <t>3F</t>
        </is>
      </c>
      <c r="J304" s="83" t="inlineStr">
        <is>
          <t>3L</t>
        </is>
      </c>
      <c r="K304" s="89" t="inlineStr">
        <is>
          <t>3K</t>
        </is>
      </c>
    </row>
    <row r="305">
      <c r="B305" s="88" t="n">
        <v>300</v>
      </c>
      <c r="C305" s="83" t="inlineStr">
        <is>
          <t>ABEFHJKL</t>
        </is>
      </c>
      <c r="D305" s="83" t="inlineStr">
        <is>
          <t>3E</t>
        </is>
      </c>
      <c r="E305" s="83" t="inlineStr">
        <is>
          <t>3J</t>
        </is>
      </c>
      <c r="F305" s="83" t="inlineStr">
        <is>
          <t>3B</t>
        </is>
      </c>
      <c r="G305" s="83" t="inlineStr">
        <is>
          <t>3F</t>
        </is>
      </c>
      <c r="H305" s="83" t="inlineStr">
        <is>
          <t>3A</t>
        </is>
      </c>
      <c r="I305" s="83" t="inlineStr">
        <is>
          <t>3H</t>
        </is>
      </c>
      <c r="J305" s="83" t="inlineStr">
        <is>
          <t>3L</t>
        </is>
      </c>
      <c r="K305" s="89" t="inlineStr">
        <is>
          <t>3K</t>
        </is>
      </c>
    </row>
    <row r="306">
      <c r="B306" s="88" t="n">
        <v>301</v>
      </c>
      <c r="C306" s="83" t="inlineStr">
        <is>
          <t>ABEFHIKL</t>
        </is>
      </c>
      <c r="D306" s="83" t="inlineStr">
        <is>
          <t>3E</t>
        </is>
      </c>
      <c r="E306" s="83" t="inlineStr">
        <is>
          <t>3I</t>
        </is>
      </c>
      <c r="F306" s="83" t="inlineStr">
        <is>
          <t>3B</t>
        </is>
      </c>
      <c r="G306" s="83" t="inlineStr">
        <is>
          <t>3F</t>
        </is>
      </c>
      <c r="H306" s="83" t="inlineStr">
        <is>
          <t>3A</t>
        </is>
      </c>
      <c r="I306" s="83" t="inlineStr">
        <is>
          <t>3H</t>
        </is>
      </c>
      <c r="J306" s="83" t="inlineStr">
        <is>
          <t>3L</t>
        </is>
      </c>
      <c r="K306" s="89" t="inlineStr">
        <is>
          <t>3K</t>
        </is>
      </c>
    </row>
    <row r="307">
      <c r="B307" s="88" t="n">
        <v>302</v>
      </c>
      <c r="C307" s="83" t="inlineStr">
        <is>
          <t>ABEFHIJL</t>
        </is>
      </c>
      <c r="D307" s="83" t="inlineStr">
        <is>
          <t>3E</t>
        </is>
      </c>
      <c r="E307" s="83" t="inlineStr">
        <is>
          <t>3J</t>
        </is>
      </c>
      <c r="F307" s="83" t="inlineStr">
        <is>
          <t>3B</t>
        </is>
      </c>
      <c r="G307" s="83" t="inlineStr">
        <is>
          <t>3F</t>
        </is>
      </c>
      <c r="H307" s="83" t="inlineStr">
        <is>
          <t>3A</t>
        </is>
      </c>
      <c r="I307" s="83" t="inlineStr">
        <is>
          <t>3H</t>
        </is>
      </c>
      <c r="J307" s="83" t="inlineStr">
        <is>
          <t>3L</t>
        </is>
      </c>
      <c r="K307" s="89" t="inlineStr">
        <is>
          <t>3I</t>
        </is>
      </c>
    </row>
    <row r="308">
      <c r="B308" s="88" t="n">
        <v>303</v>
      </c>
      <c r="C308" s="83" t="inlineStr">
        <is>
          <t>ABEFHIJK</t>
        </is>
      </c>
      <c r="D308" s="83" t="inlineStr">
        <is>
          <t>3E</t>
        </is>
      </c>
      <c r="E308" s="83" t="inlineStr">
        <is>
          <t>3J</t>
        </is>
      </c>
      <c r="F308" s="83" t="inlineStr">
        <is>
          <t>3B</t>
        </is>
      </c>
      <c r="G308" s="83" t="inlineStr">
        <is>
          <t>3F</t>
        </is>
      </c>
      <c r="H308" s="83" t="inlineStr">
        <is>
          <t>3A</t>
        </is>
      </c>
      <c r="I308" s="83" t="inlineStr">
        <is>
          <t>3H</t>
        </is>
      </c>
      <c r="J308" s="83" t="inlineStr">
        <is>
          <t>3I</t>
        </is>
      </c>
      <c r="K308" s="89" t="inlineStr">
        <is>
          <t>3K</t>
        </is>
      </c>
    </row>
    <row r="309">
      <c r="B309" s="88" t="n">
        <v>304</v>
      </c>
      <c r="C309" s="83" t="inlineStr">
        <is>
          <t>ABEFGJKL</t>
        </is>
      </c>
      <c r="D309" s="83" t="inlineStr">
        <is>
          <t>3E</t>
        </is>
      </c>
      <c r="E309" s="83" t="inlineStr">
        <is>
          <t>3J</t>
        </is>
      </c>
      <c r="F309" s="83" t="inlineStr">
        <is>
          <t>3B</t>
        </is>
      </c>
      <c r="G309" s="83" t="inlineStr">
        <is>
          <t>3F</t>
        </is>
      </c>
      <c r="H309" s="83" t="inlineStr">
        <is>
          <t>3A</t>
        </is>
      </c>
      <c r="I309" s="83" t="inlineStr">
        <is>
          <t>3G</t>
        </is>
      </c>
      <c r="J309" s="83" t="inlineStr">
        <is>
          <t>3L</t>
        </is>
      </c>
      <c r="K309" s="89" t="inlineStr">
        <is>
          <t>3K</t>
        </is>
      </c>
    </row>
    <row r="310">
      <c r="B310" s="88" t="n">
        <v>305</v>
      </c>
      <c r="C310" s="83" t="inlineStr">
        <is>
          <t>ABEFGIKL</t>
        </is>
      </c>
      <c r="D310" s="83" t="inlineStr">
        <is>
          <t>3E</t>
        </is>
      </c>
      <c r="E310" s="83" t="inlineStr">
        <is>
          <t>3G</t>
        </is>
      </c>
      <c r="F310" s="83" t="inlineStr">
        <is>
          <t>3B</t>
        </is>
      </c>
      <c r="G310" s="83" t="inlineStr">
        <is>
          <t>3A</t>
        </is>
      </c>
      <c r="H310" s="83" t="inlineStr">
        <is>
          <t>3I</t>
        </is>
      </c>
      <c r="I310" s="83" t="inlineStr">
        <is>
          <t>3F</t>
        </is>
      </c>
      <c r="J310" s="83" t="inlineStr">
        <is>
          <t>3L</t>
        </is>
      </c>
      <c r="K310" s="89" t="inlineStr">
        <is>
          <t>3K</t>
        </is>
      </c>
    </row>
    <row r="311">
      <c r="B311" s="88" t="n">
        <v>306</v>
      </c>
      <c r="C311" s="83" t="inlineStr">
        <is>
          <t>ABEFGIJL</t>
        </is>
      </c>
      <c r="D311" s="83" t="inlineStr">
        <is>
          <t>3E</t>
        </is>
      </c>
      <c r="E311" s="83" t="inlineStr">
        <is>
          <t>3J</t>
        </is>
      </c>
      <c r="F311" s="83" t="inlineStr">
        <is>
          <t>3B</t>
        </is>
      </c>
      <c r="G311" s="83" t="inlineStr">
        <is>
          <t>3F</t>
        </is>
      </c>
      <c r="H311" s="83" t="inlineStr">
        <is>
          <t>3A</t>
        </is>
      </c>
      <c r="I311" s="83" t="inlineStr">
        <is>
          <t>3G</t>
        </is>
      </c>
      <c r="J311" s="83" t="inlineStr">
        <is>
          <t>3L</t>
        </is>
      </c>
      <c r="K311" s="89" t="inlineStr">
        <is>
          <t>3I</t>
        </is>
      </c>
    </row>
    <row r="312">
      <c r="B312" s="88" t="n">
        <v>307</v>
      </c>
      <c r="C312" s="83" t="inlineStr">
        <is>
          <t>ABEFGIJK</t>
        </is>
      </c>
      <c r="D312" s="83" t="inlineStr">
        <is>
          <t>3E</t>
        </is>
      </c>
      <c r="E312" s="83" t="inlineStr">
        <is>
          <t>3J</t>
        </is>
      </c>
      <c r="F312" s="83" t="inlineStr">
        <is>
          <t>3B</t>
        </is>
      </c>
      <c r="G312" s="83" t="inlineStr">
        <is>
          <t>3F</t>
        </is>
      </c>
      <c r="H312" s="83" t="inlineStr">
        <is>
          <t>3A</t>
        </is>
      </c>
      <c r="I312" s="83" t="inlineStr">
        <is>
          <t>3G</t>
        </is>
      </c>
      <c r="J312" s="83" t="inlineStr">
        <is>
          <t>3I</t>
        </is>
      </c>
      <c r="K312" s="89" t="inlineStr">
        <is>
          <t>3K</t>
        </is>
      </c>
    </row>
    <row r="313">
      <c r="B313" s="88" t="n">
        <v>308</v>
      </c>
      <c r="C313" s="83" t="inlineStr">
        <is>
          <t>ABEFGHKL</t>
        </is>
      </c>
      <c r="D313" s="83" t="inlineStr">
        <is>
          <t>3E</t>
        </is>
      </c>
      <c r="E313" s="83" t="inlineStr">
        <is>
          <t>3G</t>
        </is>
      </c>
      <c r="F313" s="83" t="inlineStr">
        <is>
          <t>3B</t>
        </is>
      </c>
      <c r="G313" s="83" t="inlineStr">
        <is>
          <t>3F</t>
        </is>
      </c>
      <c r="H313" s="83" t="inlineStr">
        <is>
          <t>3A</t>
        </is>
      </c>
      <c r="I313" s="83" t="inlineStr">
        <is>
          <t>3H</t>
        </is>
      </c>
      <c r="J313" s="83" t="inlineStr">
        <is>
          <t>3L</t>
        </is>
      </c>
      <c r="K313" s="89" t="inlineStr">
        <is>
          <t>3K</t>
        </is>
      </c>
    </row>
    <row r="314">
      <c r="B314" s="88" t="n">
        <v>309</v>
      </c>
      <c r="C314" s="83" t="inlineStr">
        <is>
          <t>ABEFGHJL</t>
        </is>
      </c>
      <c r="D314" s="83" t="inlineStr">
        <is>
          <t>3H</t>
        </is>
      </c>
      <c r="E314" s="83" t="inlineStr">
        <is>
          <t>3J</t>
        </is>
      </c>
      <c r="F314" s="83" t="inlineStr">
        <is>
          <t>3B</t>
        </is>
      </c>
      <c r="G314" s="83" t="inlineStr">
        <is>
          <t>3F</t>
        </is>
      </c>
      <c r="H314" s="83" t="inlineStr">
        <is>
          <t>3A</t>
        </is>
      </c>
      <c r="I314" s="83" t="inlineStr">
        <is>
          <t>3G</t>
        </is>
      </c>
      <c r="J314" s="83" t="inlineStr">
        <is>
          <t>3L</t>
        </is>
      </c>
      <c r="K314" s="89" t="inlineStr">
        <is>
          <t>3E</t>
        </is>
      </c>
    </row>
    <row r="315">
      <c r="B315" s="88" t="n">
        <v>310</v>
      </c>
      <c r="C315" s="83" t="inlineStr">
        <is>
          <t>ABEFGHJK</t>
        </is>
      </c>
      <c r="D315" s="83" t="inlineStr">
        <is>
          <t>3H</t>
        </is>
      </c>
      <c r="E315" s="83" t="inlineStr">
        <is>
          <t>3J</t>
        </is>
      </c>
      <c r="F315" s="83" t="inlineStr">
        <is>
          <t>3B</t>
        </is>
      </c>
      <c r="G315" s="83" t="inlineStr">
        <is>
          <t>3F</t>
        </is>
      </c>
      <c r="H315" s="83" t="inlineStr">
        <is>
          <t>3A</t>
        </is>
      </c>
      <c r="I315" s="83" t="inlineStr">
        <is>
          <t>3G</t>
        </is>
      </c>
      <c r="J315" s="83" t="inlineStr">
        <is>
          <t>3E</t>
        </is>
      </c>
      <c r="K315" s="89" t="inlineStr">
        <is>
          <t>3K</t>
        </is>
      </c>
    </row>
    <row r="316">
      <c r="B316" s="88" t="n">
        <v>311</v>
      </c>
      <c r="C316" s="83" t="inlineStr">
        <is>
          <t>ABEFGHIL</t>
        </is>
      </c>
      <c r="D316" s="83" t="inlineStr">
        <is>
          <t>3E</t>
        </is>
      </c>
      <c r="E316" s="83" t="inlineStr">
        <is>
          <t>3G</t>
        </is>
      </c>
      <c r="F316" s="83" t="inlineStr">
        <is>
          <t>3B</t>
        </is>
      </c>
      <c r="G316" s="83" t="inlineStr">
        <is>
          <t>3F</t>
        </is>
      </c>
      <c r="H316" s="83" t="inlineStr">
        <is>
          <t>3A</t>
        </is>
      </c>
      <c r="I316" s="83" t="inlineStr">
        <is>
          <t>3H</t>
        </is>
      </c>
      <c r="J316" s="83" t="inlineStr">
        <is>
          <t>3L</t>
        </is>
      </c>
      <c r="K316" s="89" t="inlineStr">
        <is>
          <t>3I</t>
        </is>
      </c>
    </row>
    <row r="317">
      <c r="B317" s="88" t="n">
        <v>312</v>
      </c>
      <c r="C317" s="83" t="inlineStr">
        <is>
          <t>ABEFGHIK</t>
        </is>
      </c>
      <c r="D317" s="83" t="inlineStr">
        <is>
          <t>3E</t>
        </is>
      </c>
      <c r="E317" s="83" t="inlineStr">
        <is>
          <t>3G</t>
        </is>
      </c>
      <c r="F317" s="83" t="inlineStr">
        <is>
          <t>3B</t>
        </is>
      </c>
      <c r="G317" s="83" t="inlineStr">
        <is>
          <t>3F</t>
        </is>
      </c>
      <c r="H317" s="83" t="inlineStr">
        <is>
          <t>3A</t>
        </is>
      </c>
      <c r="I317" s="83" t="inlineStr">
        <is>
          <t>3H</t>
        </is>
      </c>
      <c r="J317" s="83" t="inlineStr">
        <is>
          <t>3I</t>
        </is>
      </c>
      <c r="K317" s="89" t="inlineStr">
        <is>
          <t>3K</t>
        </is>
      </c>
    </row>
    <row r="318">
      <c r="B318" s="88" t="n">
        <v>313</v>
      </c>
      <c r="C318" s="83" t="inlineStr">
        <is>
          <t>ABEFGHIJ</t>
        </is>
      </c>
      <c r="D318" s="83" t="inlineStr">
        <is>
          <t>3H</t>
        </is>
      </c>
      <c r="E318" s="83" t="inlineStr">
        <is>
          <t>3J</t>
        </is>
      </c>
      <c r="F318" s="83" t="inlineStr">
        <is>
          <t>3B</t>
        </is>
      </c>
      <c r="G318" s="83" t="inlineStr">
        <is>
          <t>3F</t>
        </is>
      </c>
      <c r="H318" s="83" t="inlineStr">
        <is>
          <t>3A</t>
        </is>
      </c>
      <c r="I318" s="83" t="inlineStr">
        <is>
          <t>3G</t>
        </is>
      </c>
      <c r="J318" s="83" t="inlineStr">
        <is>
          <t>3E</t>
        </is>
      </c>
      <c r="K318" s="89" t="inlineStr">
        <is>
          <t>3I</t>
        </is>
      </c>
    </row>
    <row r="319">
      <c r="B319" s="88" t="n">
        <v>314</v>
      </c>
      <c r="C319" s="83" t="inlineStr">
        <is>
          <t>ABDHIJKL</t>
        </is>
      </c>
      <c r="D319" s="83" t="inlineStr">
        <is>
          <t>3I</t>
        </is>
      </c>
      <c r="E319" s="83" t="inlineStr">
        <is>
          <t>3J</t>
        </is>
      </c>
      <c r="F319" s="83" t="inlineStr">
        <is>
          <t>3B</t>
        </is>
      </c>
      <c r="G319" s="83" t="inlineStr">
        <is>
          <t>3D</t>
        </is>
      </c>
      <c r="H319" s="83" t="inlineStr">
        <is>
          <t>3A</t>
        </is>
      </c>
      <c r="I319" s="83" t="inlineStr">
        <is>
          <t>3H</t>
        </is>
      </c>
      <c r="J319" s="83" t="inlineStr">
        <is>
          <t>3L</t>
        </is>
      </c>
      <c r="K319" s="89" t="inlineStr">
        <is>
          <t>3K</t>
        </is>
      </c>
    </row>
    <row r="320">
      <c r="B320" s="88" t="n">
        <v>315</v>
      </c>
      <c r="C320" s="83" t="inlineStr">
        <is>
          <t>ABDGIJKL</t>
        </is>
      </c>
      <c r="D320" s="83" t="inlineStr">
        <is>
          <t>3I</t>
        </is>
      </c>
      <c r="E320" s="83" t="inlineStr">
        <is>
          <t>3J</t>
        </is>
      </c>
      <c r="F320" s="83" t="inlineStr">
        <is>
          <t>3B</t>
        </is>
      </c>
      <c r="G320" s="83" t="inlineStr">
        <is>
          <t>3D</t>
        </is>
      </c>
      <c r="H320" s="83" t="inlineStr">
        <is>
          <t>3A</t>
        </is>
      </c>
      <c r="I320" s="83" t="inlineStr">
        <is>
          <t>3G</t>
        </is>
      </c>
      <c r="J320" s="83" t="inlineStr">
        <is>
          <t>3L</t>
        </is>
      </c>
      <c r="K320" s="89" t="inlineStr">
        <is>
          <t>3K</t>
        </is>
      </c>
    </row>
    <row r="321">
      <c r="B321" s="88" t="n">
        <v>316</v>
      </c>
      <c r="C321" s="83" t="inlineStr">
        <is>
          <t>ABDGHJKL</t>
        </is>
      </c>
      <c r="D321" s="83" t="inlineStr">
        <is>
          <t>3H</t>
        </is>
      </c>
      <c r="E321" s="83" t="inlineStr">
        <is>
          <t>3J</t>
        </is>
      </c>
      <c r="F321" s="83" t="inlineStr">
        <is>
          <t>3B</t>
        </is>
      </c>
      <c r="G321" s="83" t="inlineStr">
        <is>
          <t>3D</t>
        </is>
      </c>
      <c r="H321" s="83" t="inlineStr">
        <is>
          <t>3A</t>
        </is>
      </c>
      <c r="I321" s="83" t="inlineStr">
        <is>
          <t>3G</t>
        </is>
      </c>
      <c r="J321" s="83" t="inlineStr">
        <is>
          <t>3L</t>
        </is>
      </c>
      <c r="K321" s="89" t="inlineStr">
        <is>
          <t>3K</t>
        </is>
      </c>
    </row>
    <row r="322">
      <c r="B322" s="88" t="n">
        <v>317</v>
      </c>
      <c r="C322" s="83" t="inlineStr">
        <is>
          <t>ABDGHIKL</t>
        </is>
      </c>
      <c r="D322" s="83" t="inlineStr">
        <is>
          <t>3I</t>
        </is>
      </c>
      <c r="E322" s="83" t="inlineStr">
        <is>
          <t>3G</t>
        </is>
      </c>
      <c r="F322" s="83" t="inlineStr">
        <is>
          <t>3B</t>
        </is>
      </c>
      <c r="G322" s="83" t="inlineStr">
        <is>
          <t>3D</t>
        </is>
      </c>
      <c r="H322" s="83" t="inlineStr">
        <is>
          <t>3A</t>
        </is>
      </c>
      <c r="I322" s="83" t="inlineStr">
        <is>
          <t>3H</t>
        </is>
      </c>
      <c r="J322" s="83" t="inlineStr">
        <is>
          <t>3L</t>
        </is>
      </c>
      <c r="K322" s="89" t="inlineStr">
        <is>
          <t>3K</t>
        </is>
      </c>
    </row>
    <row r="323">
      <c r="B323" s="88" t="n">
        <v>318</v>
      </c>
      <c r="C323" s="83" t="inlineStr">
        <is>
          <t>ABDGHIJL</t>
        </is>
      </c>
      <c r="D323" s="83" t="inlineStr">
        <is>
          <t>3H</t>
        </is>
      </c>
      <c r="E323" s="83" t="inlineStr">
        <is>
          <t>3J</t>
        </is>
      </c>
      <c r="F323" s="83" t="inlineStr">
        <is>
          <t>3B</t>
        </is>
      </c>
      <c r="G323" s="83" t="inlineStr">
        <is>
          <t>3D</t>
        </is>
      </c>
      <c r="H323" s="83" t="inlineStr">
        <is>
          <t>3A</t>
        </is>
      </c>
      <c r="I323" s="83" t="inlineStr">
        <is>
          <t>3G</t>
        </is>
      </c>
      <c r="J323" s="83" t="inlineStr">
        <is>
          <t>3L</t>
        </is>
      </c>
      <c r="K323" s="89" t="inlineStr">
        <is>
          <t>3I</t>
        </is>
      </c>
    </row>
    <row r="324">
      <c r="B324" s="88" t="n">
        <v>319</v>
      </c>
      <c r="C324" s="83" t="inlineStr">
        <is>
          <t>ABDGHIJK</t>
        </is>
      </c>
      <c r="D324" s="83" t="inlineStr">
        <is>
          <t>3H</t>
        </is>
      </c>
      <c r="E324" s="83" t="inlineStr">
        <is>
          <t>3J</t>
        </is>
      </c>
      <c r="F324" s="83" t="inlineStr">
        <is>
          <t>3B</t>
        </is>
      </c>
      <c r="G324" s="83" t="inlineStr">
        <is>
          <t>3D</t>
        </is>
      </c>
      <c r="H324" s="83" t="inlineStr">
        <is>
          <t>3A</t>
        </is>
      </c>
      <c r="I324" s="83" t="inlineStr">
        <is>
          <t>3G</t>
        </is>
      </c>
      <c r="J324" s="83" t="inlineStr">
        <is>
          <t>3I</t>
        </is>
      </c>
      <c r="K324" s="89" t="inlineStr">
        <is>
          <t>3K</t>
        </is>
      </c>
    </row>
    <row r="325">
      <c r="B325" s="88" t="n">
        <v>320</v>
      </c>
      <c r="C325" s="83" t="inlineStr">
        <is>
          <t>ABDFIJKL</t>
        </is>
      </c>
      <c r="D325" s="83" t="inlineStr">
        <is>
          <t>3I</t>
        </is>
      </c>
      <c r="E325" s="83" t="inlineStr">
        <is>
          <t>3J</t>
        </is>
      </c>
      <c r="F325" s="83" t="inlineStr">
        <is>
          <t>3B</t>
        </is>
      </c>
      <c r="G325" s="83" t="inlineStr">
        <is>
          <t>3D</t>
        </is>
      </c>
      <c r="H325" s="83" t="inlineStr">
        <is>
          <t>3A</t>
        </is>
      </c>
      <c r="I325" s="83" t="inlineStr">
        <is>
          <t>3F</t>
        </is>
      </c>
      <c r="J325" s="83" t="inlineStr">
        <is>
          <t>3L</t>
        </is>
      </c>
      <c r="K325" s="89" t="inlineStr">
        <is>
          <t>3K</t>
        </is>
      </c>
    </row>
    <row r="326">
      <c r="B326" s="88" t="n">
        <v>321</v>
      </c>
      <c r="C326" s="83" t="inlineStr">
        <is>
          <t>ABDFHJKL</t>
        </is>
      </c>
      <c r="D326" s="83" t="inlineStr">
        <is>
          <t>3H</t>
        </is>
      </c>
      <c r="E326" s="83" t="inlineStr">
        <is>
          <t>3J</t>
        </is>
      </c>
      <c r="F326" s="83" t="inlineStr">
        <is>
          <t>3B</t>
        </is>
      </c>
      <c r="G326" s="83" t="inlineStr">
        <is>
          <t>3D</t>
        </is>
      </c>
      <c r="H326" s="83" t="inlineStr">
        <is>
          <t>3A</t>
        </is>
      </c>
      <c r="I326" s="83" t="inlineStr">
        <is>
          <t>3F</t>
        </is>
      </c>
      <c r="J326" s="83" t="inlineStr">
        <is>
          <t>3L</t>
        </is>
      </c>
      <c r="K326" s="89" t="inlineStr">
        <is>
          <t>3K</t>
        </is>
      </c>
    </row>
    <row r="327">
      <c r="B327" s="88" t="n">
        <v>322</v>
      </c>
      <c r="C327" s="83" t="inlineStr">
        <is>
          <t>ABDFHIKL</t>
        </is>
      </c>
      <c r="D327" s="83" t="inlineStr">
        <is>
          <t>3H</t>
        </is>
      </c>
      <c r="E327" s="83" t="inlineStr">
        <is>
          <t>3I</t>
        </is>
      </c>
      <c r="F327" s="83" t="inlineStr">
        <is>
          <t>3B</t>
        </is>
      </c>
      <c r="G327" s="83" t="inlineStr">
        <is>
          <t>3D</t>
        </is>
      </c>
      <c r="H327" s="83" t="inlineStr">
        <is>
          <t>3A</t>
        </is>
      </c>
      <c r="I327" s="83" t="inlineStr">
        <is>
          <t>3F</t>
        </is>
      </c>
      <c r="J327" s="83" t="inlineStr">
        <is>
          <t>3L</t>
        </is>
      </c>
      <c r="K327" s="89" t="inlineStr">
        <is>
          <t>3K</t>
        </is>
      </c>
    </row>
    <row r="328">
      <c r="B328" s="88" t="n">
        <v>323</v>
      </c>
      <c r="C328" s="83" t="inlineStr">
        <is>
          <t>ABDFHIJL</t>
        </is>
      </c>
      <c r="D328" s="83" t="inlineStr">
        <is>
          <t>3H</t>
        </is>
      </c>
      <c r="E328" s="83" t="inlineStr">
        <is>
          <t>3J</t>
        </is>
      </c>
      <c r="F328" s="83" t="inlineStr">
        <is>
          <t>3B</t>
        </is>
      </c>
      <c r="G328" s="83" t="inlineStr">
        <is>
          <t>3D</t>
        </is>
      </c>
      <c r="H328" s="83" t="inlineStr">
        <is>
          <t>3A</t>
        </is>
      </c>
      <c r="I328" s="83" t="inlineStr">
        <is>
          <t>3F</t>
        </is>
      </c>
      <c r="J328" s="83" t="inlineStr">
        <is>
          <t>3L</t>
        </is>
      </c>
      <c r="K328" s="89" t="inlineStr">
        <is>
          <t>3I</t>
        </is>
      </c>
    </row>
    <row r="329">
      <c r="B329" s="88" t="n">
        <v>324</v>
      </c>
      <c r="C329" s="83" t="inlineStr">
        <is>
          <t>ABDFHIJK</t>
        </is>
      </c>
      <c r="D329" s="83" t="inlineStr">
        <is>
          <t>3H</t>
        </is>
      </c>
      <c r="E329" s="83" t="inlineStr">
        <is>
          <t>3J</t>
        </is>
      </c>
      <c r="F329" s="83" t="inlineStr">
        <is>
          <t>3B</t>
        </is>
      </c>
      <c r="G329" s="83" t="inlineStr">
        <is>
          <t>3D</t>
        </is>
      </c>
      <c r="H329" s="83" t="inlineStr">
        <is>
          <t>3A</t>
        </is>
      </c>
      <c r="I329" s="83" t="inlineStr">
        <is>
          <t>3F</t>
        </is>
      </c>
      <c r="J329" s="83" t="inlineStr">
        <is>
          <t>3I</t>
        </is>
      </c>
      <c r="K329" s="89" t="inlineStr">
        <is>
          <t>3K</t>
        </is>
      </c>
    </row>
    <row r="330">
      <c r="B330" s="88" t="n">
        <v>325</v>
      </c>
      <c r="C330" s="83" t="inlineStr">
        <is>
          <t>ABDFGJKL</t>
        </is>
      </c>
      <c r="D330" s="83" t="inlineStr">
        <is>
          <t>3F</t>
        </is>
      </c>
      <c r="E330" s="83" t="inlineStr">
        <is>
          <t>3J</t>
        </is>
      </c>
      <c r="F330" s="83" t="inlineStr">
        <is>
          <t>3B</t>
        </is>
      </c>
      <c r="G330" s="83" t="inlineStr">
        <is>
          <t>3D</t>
        </is>
      </c>
      <c r="H330" s="83" t="inlineStr">
        <is>
          <t>3A</t>
        </is>
      </c>
      <c r="I330" s="83" t="inlineStr">
        <is>
          <t>3G</t>
        </is>
      </c>
      <c r="J330" s="83" t="inlineStr">
        <is>
          <t>3L</t>
        </is>
      </c>
      <c r="K330" s="89" t="inlineStr">
        <is>
          <t>3K</t>
        </is>
      </c>
    </row>
    <row r="331">
      <c r="B331" s="88" t="n">
        <v>326</v>
      </c>
      <c r="C331" s="83" t="inlineStr">
        <is>
          <t>ABDFGIKL</t>
        </is>
      </c>
      <c r="D331" s="83" t="inlineStr">
        <is>
          <t>3I</t>
        </is>
      </c>
      <c r="E331" s="83" t="inlineStr">
        <is>
          <t>3G</t>
        </is>
      </c>
      <c r="F331" s="83" t="inlineStr">
        <is>
          <t>3B</t>
        </is>
      </c>
      <c r="G331" s="83" t="inlineStr">
        <is>
          <t>3D</t>
        </is>
      </c>
      <c r="H331" s="83" t="inlineStr">
        <is>
          <t>3A</t>
        </is>
      </c>
      <c r="I331" s="83" t="inlineStr">
        <is>
          <t>3F</t>
        </is>
      </c>
      <c r="J331" s="83" t="inlineStr">
        <is>
          <t>3L</t>
        </is>
      </c>
      <c r="K331" s="89" t="inlineStr">
        <is>
          <t>3K</t>
        </is>
      </c>
    </row>
    <row r="332">
      <c r="B332" s="88" t="n">
        <v>327</v>
      </c>
      <c r="C332" s="83" t="inlineStr">
        <is>
          <t>ABDFGIJL</t>
        </is>
      </c>
      <c r="D332" s="83" t="inlineStr">
        <is>
          <t>3F</t>
        </is>
      </c>
      <c r="E332" s="83" t="inlineStr">
        <is>
          <t>3J</t>
        </is>
      </c>
      <c r="F332" s="83" t="inlineStr">
        <is>
          <t>3B</t>
        </is>
      </c>
      <c r="G332" s="83" t="inlineStr">
        <is>
          <t>3D</t>
        </is>
      </c>
      <c r="H332" s="83" t="inlineStr">
        <is>
          <t>3A</t>
        </is>
      </c>
      <c r="I332" s="83" t="inlineStr">
        <is>
          <t>3G</t>
        </is>
      </c>
      <c r="J332" s="83" t="inlineStr">
        <is>
          <t>3L</t>
        </is>
      </c>
      <c r="K332" s="89" t="inlineStr">
        <is>
          <t>3I</t>
        </is>
      </c>
    </row>
    <row r="333">
      <c r="B333" s="88" t="n">
        <v>328</v>
      </c>
      <c r="C333" s="83" t="inlineStr">
        <is>
          <t>ABDFGIJK</t>
        </is>
      </c>
      <c r="D333" s="83" t="inlineStr">
        <is>
          <t>3F</t>
        </is>
      </c>
      <c r="E333" s="83" t="inlineStr">
        <is>
          <t>3J</t>
        </is>
      </c>
      <c r="F333" s="83" t="inlineStr">
        <is>
          <t>3B</t>
        </is>
      </c>
      <c r="G333" s="83" t="inlineStr">
        <is>
          <t>3D</t>
        </is>
      </c>
      <c r="H333" s="83" t="inlineStr">
        <is>
          <t>3A</t>
        </is>
      </c>
      <c r="I333" s="83" t="inlineStr">
        <is>
          <t>3G</t>
        </is>
      </c>
      <c r="J333" s="83" t="inlineStr">
        <is>
          <t>3I</t>
        </is>
      </c>
      <c r="K333" s="89" t="inlineStr">
        <is>
          <t>3K</t>
        </is>
      </c>
    </row>
    <row r="334">
      <c r="B334" s="88" t="n">
        <v>329</v>
      </c>
      <c r="C334" s="83" t="inlineStr">
        <is>
          <t>ABDFGHKL</t>
        </is>
      </c>
      <c r="D334" s="83" t="inlineStr">
        <is>
          <t>3H</t>
        </is>
      </c>
      <c r="E334" s="83" t="inlineStr">
        <is>
          <t>3G</t>
        </is>
      </c>
      <c r="F334" s="83" t="inlineStr">
        <is>
          <t>3B</t>
        </is>
      </c>
      <c r="G334" s="83" t="inlineStr">
        <is>
          <t>3D</t>
        </is>
      </c>
      <c r="H334" s="83" t="inlineStr">
        <is>
          <t>3A</t>
        </is>
      </c>
      <c r="I334" s="83" t="inlineStr">
        <is>
          <t>3F</t>
        </is>
      </c>
      <c r="J334" s="83" t="inlineStr">
        <is>
          <t>3L</t>
        </is>
      </c>
      <c r="K334" s="89" t="inlineStr">
        <is>
          <t>3K</t>
        </is>
      </c>
    </row>
    <row r="335">
      <c r="B335" s="88" t="n">
        <v>330</v>
      </c>
      <c r="C335" s="83" t="inlineStr">
        <is>
          <t>ABDFGHJL</t>
        </is>
      </c>
      <c r="D335" s="83" t="inlineStr">
        <is>
          <t>3H</t>
        </is>
      </c>
      <c r="E335" s="83" t="inlineStr">
        <is>
          <t>3G</t>
        </is>
      </c>
      <c r="F335" s="83" t="inlineStr">
        <is>
          <t>3B</t>
        </is>
      </c>
      <c r="G335" s="83" t="inlineStr">
        <is>
          <t>3D</t>
        </is>
      </c>
      <c r="H335" s="83" t="inlineStr">
        <is>
          <t>3A</t>
        </is>
      </c>
      <c r="I335" s="83" t="inlineStr">
        <is>
          <t>3F</t>
        </is>
      </c>
      <c r="J335" s="83" t="inlineStr">
        <is>
          <t>3L</t>
        </is>
      </c>
      <c r="K335" s="89" t="inlineStr">
        <is>
          <t>3J</t>
        </is>
      </c>
    </row>
    <row r="336">
      <c r="B336" s="88" t="n">
        <v>331</v>
      </c>
      <c r="C336" s="83" t="inlineStr">
        <is>
          <t>ABDFGHJK</t>
        </is>
      </c>
      <c r="D336" s="83" t="inlineStr">
        <is>
          <t>3H</t>
        </is>
      </c>
      <c r="E336" s="83" t="inlineStr">
        <is>
          <t>3G</t>
        </is>
      </c>
      <c r="F336" s="83" t="inlineStr">
        <is>
          <t>3B</t>
        </is>
      </c>
      <c r="G336" s="83" t="inlineStr">
        <is>
          <t>3D</t>
        </is>
      </c>
      <c r="H336" s="83" t="inlineStr">
        <is>
          <t>3A</t>
        </is>
      </c>
      <c r="I336" s="83" t="inlineStr">
        <is>
          <t>3F</t>
        </is>
      </c>
      <c r="J336" s="83" t="inlineStr">
        <is>
          <t>3J</t>
        </is>
      </c>
      <c r="K336" s="89" t="inlineStr">
        <is>
          <t>3K</t>
        </is>
      </c>
    </row>
    <row r="337">
      <c r="B337" s="88" t="n">
        <v>332</v>
      </c>
      <c r="C337" s="83" t="inlineStr">
        <is>
          <t>ABDFGHIL</t>
        </is>
      </c>
      <c r="D337" s="83" t="inlineStr">
        <is>
          <t>3H</t>
        </is>
      </c>
      <c r="E337" s="83" t="inlineStr">
        <is>
          <t>3G</t>
        </is>
      </c>
      <c r="F337" s="83" t="inlineStr">
        <is>
          <t>3B</t>
        </is>
      </c>
      <c r="G337" s="83" t="inlineStr">
        <is>
          <t>3D</t>
        </is>
      </c>
      <c r="H337" s="83" t="inlineStr">
        <is>
          <t>3A</t>
        </is>
      </c>
      <c r="I337" s="83" t="inlineStr">
        <is>
          <t>3F</t>
        </is>
      </c>
      <c r="J337" s="83" t="inlineStr">
        <is>
          <t>3L</t>
        </is>
      </c>
      <c r="K337" s="89" t="inlineStr">
        <is>
          <t>3I</t>
        </is>
      </c>
    </row>
    <row r="338">
      <c r="B338" s="88" t="n">
        <v>333</v>
      </c>
      <c r="C338" s="83" t="inlineStr">
        <is>
          <t>ABDFGHIK</t>
        </is>
      </c>
      <c r="D338" s="83" t="inlineStr">
        <is>
          <t>3H</t>
        </is>
      </c>
      <c r="E338" s="83" t="inlineStr">
        <is>
          <t>3G</t>
        </is>
      </c>
      <c r="F338" s="83" t="inlineStr">
        <is>
          <t>3B</t>
        </is>
      </c>
      <c r="G338" s="83" t="inlineStr">
        <is>
          <t>3D</t>
        </is>
      </c>
      <c r="H338" s="83" t="inlineStr">
        <is>
          <t>3A</t>
        </is>
      </c>
      <c r="I338" s="83" t="inlineStr">
        <is>
          <t>3F</t>
        </is>
      </c>
      <c r="J338" s="83" t="inlineStr">
        <is>
          <t>3I</t>
        </is>
      </c>
      <c r="K338" s="89" t="inlineStr">
        <is>
          <t>3K</t>
        </is>
      </c>
    </row>
    <row r="339">
      <c r="B339" s="88" t="n">
        <v>334</v>
      </c>
      <c r="C339" s="83" t="inlineStr">
        <is>
          <t>ABDFGHIJ</t>
        </is>
      </c>
      <c r="D339" s="83" t="inlineStr">
        <is>
          <t>3H</t>
        </is>
      </c>
      <c r="E339" s="83" t="inlineStr">
        <is>
          <t>3G</t>
        </is>
      </c>
      <c r="F339" s="83" t="inlineStr">
        <is>
          <t>3B</t>
        </is>
      </c>
      <c r="G339" s="83" t="inlineStr">
        <is>
          <t>3D</t>
        </is>
      </c>
      <c r="H339" s="83" t="inlineStr">
        <is>
          <t>3A</t>
        </is>
      </c>
      <c r="I339" s="83" t="inlineStr">
        <is>
          <t>3F</t>
        </is>
      </c>
      <c r="J339" s="83" t="inlineStr">
        <is>
          <t>3I</t>
        </is>
      </c>
      <c r="K339" s="89" t="inlineStr">
        <is>
          <t>3J</t>
        </is>
      </c>
    </row>
    <row r="340">
      <c r="B340" s="88" t="n">
        <v>335</v>
      </c>
      <c r="C340" s="83" t="inlineStr">
        <is>
          <t>ABDEIJKL</t>
        </is>
      </c>
      <c r="D340" s="83" t="inlineStr">
        <is>
          <t>3E</t>
        </is>
      </c>
      <c r="E340" s="83" t="inlineStr">
        <is>
          <t>3J</t>
        </is>
      </c>
      <c r="F340" s="83" t="inlineStr">
        <is>
          <t>3B</t>
        </is>
      </c>
      <c r="G340" s="83" t="inlineStr">
        <is>
          <t>3A</t>
        </is>
      </c>
      <c r="H340" s="83" t="inlineStr">
        <is>
          <t>3I</t>
        </is>
      </c>
      <c r="I340" s="83" t="inlineStr">
        <is>
          <t>3D</t>
        </is>
      </c>
      <c r="J340" s="83" t="inlineStr">
        <is>
          <t>3L</t>
        </is>
      </c>
      <c r="K340" s="89" t="inlineStr">
        <is>
          <t>3K</t>
        </is>
      </c>
    </row>
    <row r="341">
      <c r="B341" s="88" t="n">
        <v>336</v>
      </c>
      <c r="C341" s="83" t="inlineStr">
        <is>
          <t>ABDEHJKL</t>
        </is>
      </c>
      <c r="D341" s="83" t="inlineStr">
        <is>
          <t>3E</t>
        </is>
      </c>
      <c r="E341" s="83" t="inlineStr">
        <is>
          <t>3J</t>
        </is>
      </c>
      <c r="F341" s="83" t="inlineStr">
        <is>
          <t>3B</t>
        </is>
      </c>
      <c r="G341" s="83" t="inlineStr">
        <is>
          <t>3D</t>
        </is>
      </c>
      <c r="H341" s="83" t="inlineStr">
        <is>
          <t>3A</t>
        </is>
      </c>
      <c r="I341" s="83" t="inlineStr">
        <is>
          <t>3H</t>
        </is>
      </c>
      <c r="J341" s="83" t="inlineStr">
        <is>
          <t>3L</t>
        </is>
      </c>
      <c r="K341" s="89" t="inlineStr">
        <is>
          <t>3K</t>
        </is>
      </c>
    </row>
    <row r="342">
      <c r="B342" s="88" t="n">
        <v>337</v>
      </c>
      <c r="C342" s="83" t="inlineStr">
        <is>
          <t>ABDEHIKL</t>
        </is>
      </c>
      <c r="D342" s="83" t="inlineStr">
        <is>
          <t>3E</t>
        </is>
      </c>
      <c r="E342" s="83" t="inlineStr">
        <is>
          <t>3I</t>
        </is>
      </c>
      <c r="F342" s="83" t="inlineStr">
        <is>
          <t>3B</t>
        </is>
      </c>
      <c r="G342" s="83" t="inlineStr">
        <is>
          <t>3D</t>
        </is>
      </c>
      <c r="H342" s="83" t="inlineStr">
        <is>
          <t>3A</t>
        </is>
      </c>
      <c r="I342" s="83" t="inlineStr">
        <is>
          <t>3H</t>
        </is>
      </c>
      <c r="J342" s="83" t="inlineStr">
        <is>
          <t>3L</t>
        </is>
      </c>
      <c r="K342" s="89" t="inlineStr">
        <is>
          <t>3K</t>
        </is>
      </c>
    </row>
    <row r="343">
      <c r="B343" s="88" t="n">
        <v>338</v>
      </c>
      <c r="C343" s="83" t="inlineStr">
        <is>
          <t>ABDEHIJL</t>
        </is>
      </c>
      <c r="D343" s="83" t="inlineStr">
        <is>
          <t>3E</t>
        </is>
      </c>
      <c r="E343" s="83" t="inlineStr">
        <is>
          <t>3J</t>
        </is>
      </c>
      <c r="F343" s="83" t="inlineStr">
        <is>
          <t>3B</t>
        </is>
      </c>
      <c r="G343" s="83" t="inlineStr">
        <is>
          <t>3D</t>
        </is>
      </c>
      <c r="H343" s="83" t="inlineStr">
        <is>
          <t>3A</t>
        </is>
      </c>
      <c r="I343" s="83" t="inlineStr">
        <is>
          <t>3H</t>
        </is>
      </c>
      <c r="J343" s="83" t="inlineStr">
        <is>
          <t>3L</t>
        </is>
      </c>
      <c r="K343" s="89" t="inlineStr">
        <is>
          <t>3I</t>
        </is>
      </c>
    </row>
    <row r="344">
      <c r="B344" s="88" t="n">
        <v>339</v>
      </c>
      <c r="C344" s="83" t="inlineStr">
        <is>
          <t>ABDEHIJK</t>
        </is>
      </c>
      <c r="D344" s="83" t="inlineStr">
        <is>
          <t>3E</t>
        </is>
      </c>
      <c r="E344" s="83" t="inlineStr">
        <is>
          <t>3J</t>
        </is>
      </c>
      <c r="F344" s="83" t="inlineStr">
        <is>
          <t>3B</t>
        </is>
      </c>
      <c r="G344" s="83" t="inlineStr">
        <is>
          <t>3D</t>
        </is>
      </c>
      <c r="H344" s="83" t="inlineStr">
        <is>
          <t>3A</t>
        </is>
      </c>
      <c r="I344" s="83" t="inlineStr">
        <is>
          <t>3H</t>
        </is>
      </c>
      <c r="J344" s="83" t="inlineStr">
        <is>
          <t>3I</t>
        </is>
      </c>
      <c r="K344" s="89" t="inlineStr">
        <is>
          <t>3K</t>
        </is>
      </c>
    </row>
    <row r="345">
      <c r="B345" s="88" t="n">
        <v>340</v>
      </c>
      <c r="C345" s="83" t="inlineStr">
        <is>
          <t>ABDEGJKL</t>
        </is>
      </c>
      <c r="D345" s="83" t="inlineStr">
        <is>
          <t>3E</t>
        </is>
      </c>
      <c r="E345" s="83" t="inlineStr">
        <is>
          <t>3J</t>
        </is>
      </c>
      <c r="F345" s="83" t="inlineStr">
        <is>
          <t>3B</t>
        </is>
      </c>
      <c r="G345" s="83" t="inlineStr">
        <is>
          <t>3D</t>
        </is>
      </c>
      <c r="H345" s="83" t="inlineStr">
        <is>
          <t>3A</t>
        </is>
      </c>
      <c r="I345" s="83" t="inlineStr">
        <is>
          <t>3G</t>
        </is>
      </c>
      <c r="J345" s="83" t="inlineStr">
        <is>
          <t>3L</t>
        </is>
      </c>
      <c r="K345" s="89" t="inlineStr">
        <is>
          <t>3K</t>
        </is>
      </c>
    </row>
    <row r="346">
      <c r="B346" s="88" t="n">
        <v>341</v>
      </c>
      <c r="C346" s="83" t="inlineStr">
        <is>
          <t>ABDEGIKL</t>
        </is>
      </c>
      <c r="D346" s="83" t="inlineStr">
        <is>
          <t>3E</t>
        </is>
      </c>
      <c r="E346" s="83" t="inlineStr">
        <is>
          <t>3G</t>
        </is>
      </c>
      <c r="F346" s="83" t="inlineStr">
        <is>
          <t>3B</t>
        </is>
      </c>
      <c r="G346" s="83" t="inlineStr">
        <is>
          <t>3A</t>
        </is>
      </c>
      <c r="H346" s="83" t="inlineStr">
        <is>
          <t>3I</t>
        </is>
      </c>
      <c r="I346" s="83" t="inlineStr">
        <is>
          <t>3D</t>
        </is>
      </c>
      <c r="J346" s="83" t="inlineStr">
        <is>
          <t>3L</t>
        </is>
      </c>
      <c r="K346" s="89" t="inlineStr">
        <is>
          <t>3K</t>
        </is>
      </c>
    </row>
    <row r="347">
      <c r="B347" s="88" t="n">
        <v>342</v>
      </c>
      <c r="C347" s="83" t="inlineStr">
        <is>
          <t>ABDEGIJL</t>
        </is>
      </c>
      <c r="D347" s="83" t="inlineStr">
        <is>
          <t>3E</t>
        </is>
      </c>
      <c r="E347" s="83" t="inlineStr">
        <is>
          <t>3J</t>
        </is>
      </c>
      <c r="F347" s="83" t="inlineStr">
        <is>
          <t>3B</t>
        </is>
      </c>
      <c r="G347" s="83" t="inlineStr">
        <is>
          <t>3D</t>
        </is>
      </c>
      <c r="H347" s="83" t="inlineStr">
        <is>
          <t>3A</t>
        </is>
      </c>
      <c r="I347" s="83" t="inlineStr">
        <is>
          <t>3G</t>
        </is>
      </c>
      <c r="J347" s="83" t="inlineStr">
        <is>
          <t>3L</t>
        </is>
      </c>
      <c r="K347" s="89" t="inlineStr">
        <is>
          <t>3I</t>
        </is>
      </c>
    </row>
    <row r="348">
      <c r="B348" s="88" t="n">
        <v>343</v>
      </c>
      <c r="C348" s="83" t="inlineStr">
        <is>
          <t>ABDEGIJK</t>
        </is>
      </c>
      <c r="D348" s="83" t="inlineStr">
        <is>
          <t>3E</t>
        </is>
      </c>
      <c r="E348" s="83" t="inlineStr">
        <is>
          <t>3J</t>
        </is>
      </c>
      <c r="F348" s="83" t="inlineStr">
        <is>
          <t>3B</t>
        </is>
      </c>
      <c r="G348" s="83" t="inlineStr">
        <is>
          <t>3D</t>
        </is>
      </c>
      <c r="H348" s="83" t="inlineStr">
        <is>
          <t>3A</t>
        </is>
      </c>
      <c r="I348" s="83" t="inlineStr">
        <is>
          <t>3G</t>
        </is>
      </c>
      <c r="J348" s="83" t="inlineStr">
        <is>
          <t>3I</t>
        </is>
      </c>
      <c r="K348" s="89" t="inlineStr">
        <is>
          <t>3K</t>
        </is>
      </c>
    </row>
    <row r="349">
      <c r="B349" s="88" t="n">
        <v>344</v>
      </c>
      <c r="C349" s="83" t="inlineStr">
        <is>
          <t>ABDEGHKL</t>
        </is>
      </c>
      <c r="D349" s="83" t="inlineStr">
        <is>
          <t>3E</t>
        </is>
      </c>
      <c r="E349" s="83" t="inlineStr">
        <is>
          <t>3G</t>
        </is>
      </c>
      <c r="F349" s="83" t="inlineStr">
        <is>
          <t>3B</t>
        </is>
      </c>
      <c r="G349" s="83" t="inlineStr">
        <is>
          <t>3D</t>
        </is>
      </c>
      <c r="H349" s="83" t="inlineStr">
        <is>
          <t>3A</t>
        </is>
      </c>
      <c r="I349" s="83" t="inlineStr">
        <is>
          <t>3H</t>
        </is>
      </c>
      <c r="J349" s="83" t="inlineStr">
        <is>
          <t>3L</t>
        </is>
      </c>
      <c r="K349" s="89" t="inlineStr">
        <is>
          <t>3K</t>
        </is>
      </c>
    </row>
    <row r="350">
      <c r="B350" s="88" t="n">
        <v>345</v>
      </c>
      <c r="C350" s="83" t="inlineStr">
        <is>
          <t>ABDEGHJL</t>
        </is>
      </c>
      <c r="D350" s="83" t="inlineStr">
        <is>
          <t>3H</t>
        </is>
      </c>
      <c r="E350" s="83" t="inlineStr">
        <is>
          <t>3J</t>
        </is>
      </c>
      <c r="F350" s="83" t="inlineStr">
        <is>
          <t>3B</t>
        </is>
      </c>
      <c r="G350" s="83" t="inlineStr">
        <is>
          <t>3D</t>
        </is>
      </c>
      <c r="H350" s="83" t="inlineStr">
        <is>
          <t>3A</t>
        </is>
      </c>
      <c r="I350" s="83" t="inlineStr">
        <is>
          <t>3G</t>
        </is>
      </c>
      <c r="J350" s="83" t="inlineStr">
        <is>
          <t>3L</t>
        </is>
      </c>
      <c r="K350" s="89" t="inlineStr">
        <is>
          <t>3E</t>
        </is>
      </c>
    </row>
    <row r="351">
      <c r="B351" s="88" t="n">
        <v>346</v>
      </c>
      <c r="C351" s="83" t="inlineStr">
        <is>
          <t>ABDEGHJK</t>
        </is>
      </c>
      <c r="D351" s="83" t="inlineStr">
        <is>
          <t>3H</t>
        </is>
      </c>
      <c r="E351" s="83" t="inlineStr">
        <is>
          <t>3J</t>
        </is>
      </c>
      <c r="F351" s="83" t="inlineStr">
        <is>
          <t>3B</t>
        </is>
      </c>
      <c r="G351" s="83" t="inlineStr">
        <is>
          <t>3D</t>
        </is>
      </c>
      <c r="H351" s="83" t="inlineStr">
        <is>
          <t>3A</t>
        </is>
      </c>
      <c r="I351" s="83" t="inlineStr">
        <is>
          <t>3G</t>
        </is>
      </c>
      <c r="J351" s="83" t="inlineStr">
        <is>
          <t>3E</t>
        </is>
      </c>
      <c r="K351" s="89" t="inlineStr">
        <is>
          <t>3K</t>
        </is>
      </c>
    </row>
    <row r="352">
      <c r="B352" s="88" t="n">
        <v>347</v>
      </c>
      <c r="C352" s="83" t="inlineStr">
        <is>
          <t>ABDEGHIL</t>
        </is>
      </c>
      <c r="D352" s="83" t="inlineStr">
        <is>
          <t>3E</t>
        </is>
      </c>
      <c r="E352" s="83" t="inlineStr">
        <is>
          <t>3G</t>
        </is>
      </c>
      <c r="F352" s="83" t="inlineStr">
        <is>
          <t>3B</t>
        </is>
      </c>
      <c r="G352" s="83" t="inlineStr">
        <is>
          <t>3D</t>
        </is>
      </c>
      <c r="H352" s="83" t="inlineStr">
        <is>
          <t>3A</t>
        </is>
      </c>
      <c r="I352" s="83" t="inlineStr">
        <is>
          <t>3H</t>
        </is>
      </c>
      <c r="J352" s="83" t="inlineStr">
        <is>
          <t>3L</t>
        </is>
      </c>
      <c r="K352" s="89" t="inlineStr">
        <is>
          <t>3I</t>
        </is>
      </c>
    </row>
    <row r="353">
      <c r="B353" s="88" t="n">
        <v>348</v>
      </c>
      <c r="C353" s="83" t="inlineStr">
        <is>
          <t>ABDEGHIK</t>
        </is>
      </c>
      <c r="D353" s="83" t="inlineStr">
        <is>
          <t>3E</t>
        </is>
      </c>
      <c r="E353" s="83" t="inlineStr">
        <is>
          <t>3G</t>
        </is>
      </c>
      <c r="F353" s="83" t="inlineStr">
        <is>
          <t>3B</t>
        </is>
      </c>
      <c r="G353" s="83" t="inlineStr">
        <is>
          <t>3D</t>
        </is>
      </c>
      <c r="H353" s="83" t="inlineStr">
        <is>
          <t>3A</t>
        </is>
      </c>
      <c r="I353" s="83" t="inlineStr">
        <is>
          <t>3H</t>
        </is>
      </c>
      <c r="J353" s="83" t="inlineStr">
        <is>
          <t>3I</t>
        </is>
      </c>
      <c r="K353" s="89" t="inlineStr">
        <is>
          <t>3K</t>
        </is>
      </c>
    </row>
    <row r="354">
      <c r="B354" s="88" t="n">
        <v>349</v>
      </c>
      <c r="C354" s="83" t="inlineStr">
        <is>
          <t>ABDEGHIJ</t>
        </is>
      </c>
      <c r="D354" s="83" t="inlineStr">
        <is>
          <t>3H</t>
        </is>
      </c>
      <c r="E354" s="83" t="inlineStr">
        <is>
          <t>3J</t>
        </is>
      </c>
      <c r="F354" s="83" t="inlineStr">
        <is>
          <t>3B</t>
        </is>
      </c>
      <c r="G354" s="83" t="inlineStr">
        <is>
          <t>3D</t>
        </is>
      </c>
      <c r="H354" s="83" t="inlineStr">
        <is>
          <t>3A</t>
        </is>
      </c>
      <c r="I354" s="83" t="inlineStr">
        <is>
          <t>3G</t>
        </is>
      </c>
      <c r="J354" s="83" t="inlineStr">
        <is>
          <t>3E</t>
        </is>
      </c>
      <c r="K354" s="89" t="inlineStr">
        <is>
          <t>3I</t>
        </is>
      </c>
    </row>
    <row r="355">
      <c r="B355" s="88" t="n">
        <v>350</v>
      </c>
      <c r="C355" s="83" t="inlineStr">
        <is>
          <t>ABDEFJKL</t>
        </is>
      </c>
      <c r="D355" s="83" t="inlineStr">
        <is>
          <t>3E</t>
        </is>
      </c>
      <c r="E355" s="83" t="inlineStr">
        <is>
          <t>3J</t>
        </is>
      </c>
      <c r="F355" s="83" t="inlineStr">
        <is>
          <t>3B</t>
        </is>
      </c>
      <c r="G355" s="83" t="inlineStr">
        <is>
          <t>3D</t>
        </is>
      </c>
      <c r="H355" s="83" t="inlineStr">
        <is>
          <t>3A</t>
        </is>
      </c>
      <c r="I355" s="83" t="inlineStr">
        <is>
          <t>3F</t>
        </is>
      </c>
      <c r="J355" s="83" t="inlineStr">
        <is>
          <t>3L</t>
        </is>
      </c>
      <c r="K355" s="89" t="inlineStr">
        <is>
          <t>3K</t>
        </is>
      </c>
    </row>
    <row r="356">
      <c r="B356" s="88" t="n">
        <v>351</v>
      </c>
      <c r="C356" s="83" t="inlineStr">
        <is>
          <t>ABDEFIKL</t>
        </is>
      </c>
      <c r="D356" s="83" t="inlineStr">
        <is>
          <t>3E</t>
        </is>
      </c>
      <c r="E356" s="83" t="inlineStr">
        <is>
          <t>3I</t>
        </is>
      </c>
      <c r="F356" s="83" t="inlineStr">
        <is>
          <t>3B</t>
        </is>
      </c>
      <c r="G356" s="83" t="inlineStr">
        <is>
          <t>3D</t>
        </is>
      </c>
      <c r="H356" s="83" t="inlineStr">
        <is>
          <t>3A</t>
        </is>
      </c>
      <c r="I356" s="83" t="inlineStr">
        <is>
          <t>3F</t>
        </is>
      </c>
      <c r="J356" s="83" t="inlineStr">
        <is>
          <t>3L</t>
        </is>
      </c>
      <c r="K356" s="89" t="inlineStr">
        <is>
          <t>3K</t>
        </is>
      </c>
    </row>
    <row r="357">
      <c r="B357" s="88" t="n">
        <v>352</v>
      </c>
      <c r="C357" s="83" t="inlineStr">
        <is>
          <t>ABDEFIJL</t>
        </is>
      </c>
      <c r="D357" s="83" t="inlineStr">
        <is>
          <t>3E</t>
        </is>
      </c>
      <c r="E357" s="83" t="inlineStr">
        <is>
          <t>3J</t>
        </is>
      </c>
      <c r="F357" s="83" t="inlineStr">
        <is>
          <t>3B</t>
        </is>
      </c>
      <c r="G357" s="83" t="inlineStr">
        <is>
          <t>3D</t>
        </is>
      </c>
      <c r="H357" s="83" t="inlineStr">
        <is>
          <t>3A</t>
        </is>
      </c>
      <c r="I357" s="83" t="inlineStr">
        <is>
          <t>3F</t>
        </is>
      </c>
      <c r="J357" s="83" t="inlineStr">
        <is>
          <t>3L</t>
        </is>
      </c>
      <c r="K357" s="89" t="inlineStr">
        <is>
          <t>3I</t>
        </is>
      </c>
    </row>
    <row r="358">
      <c r="B358" s="88" t="n">
        <v>353</v>
      </c>
      <c r="C358" s="83" t="inlineStr">
        <is>
          <t>ABDEFIJK</t>
        </is>
      </c>
      <c r="D358" s="83" t="inlineStr">
        <is>
          <t>3E</t>
        </is>
      </c>
      <c r="E358" s="83" t="inlineStr">
        <is>
          <t>3J</t>
        </is>
      </c>
      <c r="F358" s="83" t="inlineStr">
        <is>
          <t>3B</t>
        </is>
      </c>
      <c r="G358" s="83" t="inlineStr">
        <is>
          <t>3D</t>
        </is>
      </c>
      <c r="H358" s="83" t="inlineStr">
        <is>
          <t>3A</t>
        </is>
      </c>
      <c r="I358" s="83" t="inlineStr">
        <is>
          <t>3F</t>
        </is>
      </c>
      <c r="J358" s="83" t="inlineStr">
        <is>
          <t>3I</t>
        </is>
      </c>
      <c r="K358" s="89" t="inlineStr">
        <is>
          <t>3K</t>
        </is>
      </c>
    </row>
    <row r="359">
      <c r="B359" s="88" t="n">
        <v>354</v>
      </c>
      <c r="C359" s="83" t="inlineStr">
        <is>
          <t>ABDEFHKL</t>
        </is>
      </c>
      <c r="D359" s="83" t="inlineStr">
        <is>
          <t>3H</t>
        </is>
      </c>
      <c r="E359" s="83" t="inlineStr">
        <is>
          <t>3E</t>
        </is>
      </c>
      <c r="F359" s="83" t="inlineStr">
        <is>
          <t>3B</t>
        </is>
      </c>
      <c r="G359" s="83" t="inlineStr">
        <is>
          <t>3D</t>
        </is>
      </c>
      <c r="H359" s="83" t="inlineStr">
        <is>
          <t>3A</t>
        </is>
      </c>
      <c r="I359" s="83" t="inlineStr">
        <is>
          <t>3F</t>
        </is>
      </c>
      <c r="J359" s="83" t="inlineStr">
        <is>
          <t>3L</t>
        </is>
      </c>
      <c r="K359" s="89" t="inlineStr">
        <is>
          <t>3K</t>
        </is>
      </c>
    </row>
    <row r="360">
      <c r="B360" s="88" t="n">
        <v>355</v>
      </c>
      <c r="C360" s="83" t="inlineStr">
        <is>
          <t>ABDEFHJL</t>
        </is>
      </c>
      <c r="D360" s="83" t="inlineStr">
        <is>
          <t>3H</t>
        </is>
      </c>
      <c r="E360" s="83" t="inlineStr">
        <is>
          <t>3J</t>
        </is>
      </c>
      <c r="F360" s="83" t="inlineStr">
        <is>
          <t>3B</t>
        </is>
      </c>
      <c r="G360" s="83" t="inlineStr">
        <is>
          <t>3D</t>
        </is>
      </c>
      <c r="H360" s="83" t="inlineStr">
        <is>
          <t>3A</t>
        </is>
      </c>
      <c r="I360" s="83" t="inlineStr">
        <is>
          <t>3F</t>
        </is>
      </c>
      <c r="J360" s="83" t="inlineStr">
        <is>
          <t>3L</t>
        </is>
      </c>
      <c r="K360" s="89" t="inlineStr">
        <is>
          <t>3E</t>
        </is>
      </c>
    </row>
    <row r="361">
      <c r="B361" s="88" t="n">
        <v>356</v>
      </c>
      <c r="C361" s="83" t="inlineStr">
        <is>
          <t>ABDEFHJK</t>
        </is>
      </c>
      <c r="D361" s="83" t="inlineStr">
        <is>
          <t>3H</t>
        </is>
      </c>
      <c r="E361" s="83" t="inlineStr">
        <is>
          <t>3J</t>
        </is>
      </c>
      <c r="F361" s="83" t="inlineStr">
        <is>
          <t>3B</t>
        </is>
      </c>
      <c r="G361" s="83" t="inlineStr">
        <is>
          <t>3D</t>
        </is>
      </c>
      <c r="H361" s="83" t="inlineStr">
        <is>
          <t>3A</t>
        </is>
      </c>
      <c r="I361" s="83" t="inlineStr">
        <is>
          <t>3F</t>
        </is>
      </c>
      <c r="J361" s="83" t="inlineStr">
        <is>
          <t>3E</t>
        </is>
      </c>
      <c r="K361" s="89" t="inlineStr">
        <is>
          <t>3K</t>
        </is>
      </c>
    </row>
    <row r="362">
      <c r="B362" s="88" t="n">
        <v>357</v>
      </c>
      <c r="C362" s="83" t="inlineStr">
        <is>
          <t>ABDEFHIL</t>
        </is>
      </c>
      <c r="D362" s="83" t="inlineStr">
        <is>
          <t>3H</t>
        </is>
      </c>
      <c r="E362" s="83" t="inlineStr">
        <is>
          <t>3E</t>
        </is>
      </c>
      <c r="F362" s="83" t="inlineStr">
        <is>
          <t>3B</t>
        </is>
      </c>
      <c r="G362" s="83" t="inlineStr">
        <is>
          <t>3D</t>
        </is>
      </c>
      <c r="H362" s="83" t="inlineStr">
        <is>
          <t>3A</t>
        </is>
      </c>
      <c r="I362" s="83" t="inlineStr">
        <is>
          <t>3F</t>
        </is>
      </c>
      <c r="J362" s="83" t="inlineStr">
        <is>
          <t>3L</t>
        </is>
      </c>
      <c r="K362" s="89" t="inlineStr">
        <is>
          <t>3I</t>
        </is>
      </c>
    </row>
    <row r="363">
      <c r="B363" s="88" t="n">
        <v>358</v>
      </c>
      <c r="C363" s="83" t="inlineStr">
        <is>
          <t>ABDEFHIK</t>
        </is>
      </c>
      <c r="D363" s="83" t="inlineStr">
        <is>
          <t>3H</t>
        </is>
      </c>
      <c r="E363" s="83" t="inlineStr">
        <is>
          <t>3E</t>
        </is>
      </c>
      <c r="F363" s="83" t="inlineStr">
        <is>
          <t>3B</t>
        </is>
      </c>
      <c r="G363" s="83" t="inlineStr">
        <is>
          <t>3D</t>
        </is>
      </c>
      <c r="H363" s="83" t="inlineStr">
        <is>
          <t>3A</t>
        </is>
      </c>
      <c r="I363" s="83" t="inlineStr">
        <is>
          <t>3F</t>
        </is>
      </c>
      <c r="J363" s="83" t="inlineStr">
        <is>
          <t>3I</t>
        </is>
      </c>
      <c r="K363" s="89" t="inlineStr">
        <is>
          <t>3K</t>
        </is>
      </c>
    </row>
    <row r="364">
      <c r="B364" s="88" t="n">
        <v>359</v>
      </c>
      <c r="C364" s="83" t="inlineStr">
        <is>
          <t>ABDEFHIJ</t>
        </is>
      </c>
      <c r="D364" s="83" t="inlineStr">
        <is>
          <t>3H</t>
        </is>
      </c>
      <c r="E364" s="83" t="inlineStr">
        <is>
          <t>3J</t>
        </is>
      </c>
      <c r="F364" s="83" t="inlineStr">
        <is>
          <t>3B</t>
        </is>
      </c>
      <c r="G364" s="83" t="inlineStr">
        <is>
          <t>3D</t>
        </is>
      </c>
      <c r="H364" s="83" t="inlineStr">
        <is>
          <t>3A</t>
        </is>
      </c>
      <c r="I364" s="83" t="inlineStr">
        <is>
          <t>3F</t>
        </is>
      </c>
      <c r="J364" s="83" t="inlineStr">
        <is>
          <t>3E</t>
        </is>
      </c>
      <c r="K364" s="89" t="inlineStr">
        <is>
          <t>3I</t>
        </is>
      </c>
    </row>
    <row r="365">
      <c r="B365" s="88" t="n">
        <v>360</v>
      </c>
      <c r="C365" s="83" t="inlineStr">
        <is>
          <t>ABDEFGKL</t>
        </is>
      </c>
      <c r="D365" s="83" t="inlineStr">
        <is>
          <t>3E</t>
        </is>
      </c>
      <c r="E365" s="83" t="inlineStr">
        <is>
          <t>3G</t>
        </is>
      </c>
      <c r="F365" s="83" t="inlineStr">
        <is>
          <t>3B</t>
        </is>
      </c>
      <c r="G365" s="83" t="inlineStr">
        <is>
          <t>3D</t>
        </is>
      </c>
      <c r="H365" s="83" t="inlineStr">
        <is>
          <t>3A</t>
        </is>
      </c>
      <c r="I365" s="83" t="inlineStr">
        <is>
          <t>3F</t>
        </is>
      </c>
      <c r="J365" s="83" t="inlineStr">
        <is>
          <t>3L</t>
        </is>
      </c>
      <c r="K365" s="89" t="inlineStr">
        <is>
          <t>3K</t>
        </is>
      </c>
    </row>
    <row r="366">
      <c r="B366" s="88" t="n">
        <v>361</v>
      </c>
      <c r="C366" s="83" t="inlineStr">
        <is>
          <t>ABDEFGJL</t>
        </is>
      </c>
      <c r="D366" s="83" t="inlineStr">
        <is>
          <t>3E</t>
        </is>
      </c>
      <c r="E366" s="83" t="inlineStr">
        <is>
          <t>3G</t>
        </is>
      </c>
      <c r="F366" s="83" t="inlineStr">
        <is>
          <t>3B</t>
        </is>
      </c>
      <c r="G366" s="83" t="inlineStr">
        <is>
          <t>3D</t>
        </is>
      </c>
      <c r="H366" s="83" t="inlineStr">
        <is>
          <t>3A</t>
        </is>
      </c>
      <c r="I366" s="83" t="inlineStr">
        <is>
          <t>3F</t>
        </is>
      </c>
      <c r="J366" s="83" t="inlineStr">
        <is>
          <t>3L</t>
        </is>
      </c>
      <c r="K366" s="89" t="inlineStr">
        <is>
          <t>3J</t>
        </is>
      </c>
    </row>
    <row r="367">
      <c r="B367" s="88" t="n">
        <v>362</v>
      </c>
      <c r="C367" s="83" t="inlineStr">
        <is>
          <t>ABDEFGJK</t>
        </is>
      </c>
      <c r="D367" s="83" t="inlineStr">
        <is>
          <t>3E</t>
        </is>
      </c>
      <c r="E367" s="83" t="inlineStr">
        <is>
          <t>3G</t>
        </is>
      </c>
      <c r="F367" s="83" t="inlineStr">
        <is>
          <t>3B</t>
        </is>
      </c>
      <c r="G367" s="83" t="inlineStr">
        <is>
          <t>3D</t>
        </is>
      </c>
      <c r="H367" s="83" t="inlineStr">
        <is>
          <t>3A</t>
        </is>
      </c>
      <c r="I367" s="83" t="inlineStr">
        <is>
          <t>3F</t>
        </is>
      </c>
      <c r="J367" s="83" t="inlineStr">
        <is>
          <t>3J</t>
        </is>
      </c>
      <c r="K367" s="89" t="inlineStr">
        <is>
          <t>3K</t>
        </is>
      </c>
    </row>
    <row r="368">
      <c r="B368" s="88" t="n">
        <v>363</v>
      </c>
      <c r="C368" s="83" t="inlineStr">
        <is>
          <t>ABDEFGIL</t>
        </is>
      </c>
      <c r="D368" s="83" t="inlineStr">
        <is>
          <t>3E</t>
        </is>
      </c>
      <c r="E368" s="83" t="inlineStr">
        <is>
          <t>3G</t>
        </is>
      </c>
      <c r="F368" s="83" t="inlineStr">
        <is>
          <t>3B</t>
        </is>
      </c>
      <c r="G368" s="83" t="inlineStr">
        <is>
          <t>3D</t>
        </is>
      </c>
      <c r="H368" s="83" t="inlineStr">
        <is>
          <t>3A</t>
        </is>
      </c>
      <c r="I368" s="83" t="inlineStr">
        <is>
          <t>3F</t>
        </is>
      </c>
      <c r="J368" s="83" t="inlineStr">
        <is>
          <t>3L</t>
        </is>
      </c>
      <c r="K368" s="89" t="inlineStr">
        <is>
          <t>3I</t>
        </is>
      </c>
    </row>
    <row r="369">
      <c r="B369" s="88" t="n">
        <v>364</v>
      </c>
      <c r="C369" s="83" t="inlineStr">
        <is>
          <t>ABDEFGIK</t>
        </is>
      </c>
      <c r="D369" s="83" t="inlineStr">
        <is>
          <t>3E</t>
        </is>
      </c>
      <c r="E369" s="83" t="inlineStr">
        <is>
          <t>3G</t>
        </is>
      </c>
      <c r="F369" s="83" t="inlineStr">
        <is>
          <t>3B</t>
        </is>
      </c>
      <c r="G369" s="83" t="inlineStr">
        <is>
          <t>3D</t>
        </is>
      </c>
      <c r="H369" s="83" t="inlineStr">
        <is>
          <t>3A</t>
        </is>
      </c>
      <c r="I369" s="83" t="inlineStr">
        <is>
          <t>3F</t>
        </is>
      </c>
      <c r="J369" s="83" t="inlineStr">
        <is>
          <t>3I</t>
        </is>
      </c>
      <c r="K369" s="89" t="inlineStr">
        <is>
          <t>3K</t>
        </is>
      </c>
    </row>
    <row r="370">
      <c r="B370" s="88" t="n">
        <v>365</v>
      </c>
      <c r="C370" s="83" t="inlineStr">
        <is>
          <t>ABDEFGIJ</t>
        </is>
      </c>
      <c r="D370" s="83" t="inlineStr">
        <is>
          <t>3E</t>
        </is>
      </c>
      <c r="E370" s="83" t="inlineStr">
        <is>
          <t>3G</t>
        </is>
      </c>
      <c r="F370" s="83" t="inlineStr">
        <is>
          <t>3B</t>
        </is>
      </c>
      <c r="G370" s="83" t="inlineStr">
        <is>
          <t>3D</t>
        </is>
      </c>
      <c r="H370" s="83" t="inlineStr">
        <is>
          <t>3A</t>
        </is>
      </c>
      <c r="I370" s="83" t="inlineStr">
        <is>
          <t>3F</t>
        </is>
      </c>
      <c r="J370" s="83" t="inlineStr">
        <is>
          <t>3I</t>
        </is>
      </c>
      <c r="K370" s="89" t="inlineStr">
        <is>
          <t>3J</t>
        </is>
      </c>
    </row>
    <row r="371">
      <c r="B371" s="88" t="n">
        <v>366</v>
      </c>
      <c r="C371" s="83" t="inlineStr">
        <is>
          <t>ABDEFGHL</t>
        </is>
      </c>
      <c r="D371" s="83" t="inlineStr">
        <is>
          <t>3H</t>
        </is>
      </c>
      <c r="E371" s="83" t="inlineStr">
        <is>
          <t>3G</t>
        </is>
      </c>
      <c r="F371" s="83" t="inlineStr">
        <is>
          <t>3B</t>
        </is>
      </c>
      <c r="G371" s="83" t="inlineStr">
        <is>
          <t>3D</t>
        </is>
      </c>
      <c r="H371" s="83" t="inlineStr">
        <is>
          <t>3A</t>
        </is>
      </c>
      <c r="I371" s="83" t="inlineStr">
        <is>
          <t>3F</t>
        </is>
      </c>
      <c r="J371" s="83" t="inlineStr">
        <is>
          <t>3L</t>
        </is>
      </c>
      <c r="K371" s="89" t="inlineStr">
        <is>
          <t>3E</t>
        </is>
      </c>
    </row>
    <row r="372">
      <c r="B372" s="88" t="n">
        <v>367</v>
      </c>
      <c r="C372" s="83" t="inlineStr">
        <is>
          <t>ABDEFGHK</t>
        </is>
      </c>
      <c r="D372" s="83" t="inlineStr">
        <is>
          <t>3H</t>
        </is>
      </c>
      <c r="E372" s="83" t="inlineStr">
        <is>
          <t>3G</t>
        </is>
      </c>
      <c r="F372" s="83" t="inlineStr">
        <is>
          <t>3B</t>
        </is>
      </c>
      <c r="G372" s="83" t="inlineStr">
        <is>
          <t>3D</t>
        </is>
      </c>
      <c r="H372" s="83" t="inlineStr">
        <is>
          <t>3A</t>
        </is>
      </c>
      <c r="I372" s="83" t="inlineStr">
        <is>
          <t>3F</t>
        </is>
      </c>
      <c r="J372" s="83" t="inlineStr">
        <is>
          <t>3E</t>
        </is>
      </c>
      <c r="K372" s="89" t="inlineStr">
        <is>
          <t>3K</t>
        </is>
      </c>
    </row>
    <row r="373">
      <c r="B373" s="88" t="n">
        <v>368</v>
      </c>
      <c r="C373" s="83" t="inlineStr">
        <is>
          <t>ABDEFGHJ</t>
        </is>
      </c>
      <c r="D373" s="83" t="inlineStr">
        <is>
          <t>3H</t>
        </is>
      </c>
      <c r="E373" s="83" t="inlineStr">
        <is>
          <t>3G</t>
        </is>
      </c>
      <c r="F373" s="83" t="inlineStr">
        <is>
          <t>3B</t>
        </is>
      </c>
      <c r="G373" s="83" t="inlineStr">
        <is>
          <t>3D</t>
        </is>
      </c>
      <c r="H373" s="83" t="inlineStr">
        <is>
          <t>3A</t>
        </is>
      </c>
      <c r="I373" s="83" t="inlineStr">
        <is>
          <t>3F</t>
        </is>
      </c>
      <c r="J373" s="83" t="inlineStr">
        <is>
          <t>3E</t>
        </is>
      </c>
      <c r="K373" s="89" t="inlineStr">
        <is>
          <t>3J</t>
        </is>
      </c>
    </row>
    <row r="374">
      <c r="B374" s="88" t="n">
        <v>369</v>
      </c>
      <c r="C374" s="83" t="inlineStr">
        <is>
          <t>ABDEFGHI</t>
        </is>
      </c>
      <c r="D374" s="83" t="inlineStr">
        <is>
          <t>3H</t>
        </is>
      </c>
      <c r="E374" s="83" t="inlineStr">
        <is>
          <t>3G</t>
        </is>
      </c>
      <c r="F374" s="83" t="inlineStr">
        <is>
          <t>3B</t>
        </is>
      </c>
      <c r="G374" s="83" t="inlineStr">
        <is>
          <t>3D</t>
        </is>
      </c>
      <c r="H374" s="83" t="inlineStr">
        <is>
          <t>3A</t>
        </is>
      </c>
      <c r="I374" s="83" t="inlineStr">
        <is>
          <t>3F</t>
        </is>
      </c>
      <c r="J374" s="83" t="inlineStr">
        <is>
          <t>3E</t>
        </is>
      </c>
      <c r="K374" s="89" t="inlineStr">
        <is>
          <t>3I</t>
        </is>
      </c>
    </row>
    <row r="375">
      <c r="B375" s="88" t="n">
        <v>370</v>
      </c>
      <c r="C375" s="83" t="inlineStr">
        <is>
          <t>ABCHIJKL</t>
        </is>
      </c>
      <c r="D375" s="83" t="inlineStr">
        <is>
          <t>3I</t>
        </is>
      </c>
      <c r="E375" s="83" t="inlineStr">
        <is>
          <t>3J</t>
        </is>
      </c>
      <c r="F375" s="83" t="inlineStr">
        <is>
          <t>3B</t>
        </is>
      </c>
      <c r="G375" s="83" t="inlineStr">
        <is>
          <t>3C</t>
        </is>
      </c>
      <c r="H375" s="83" t="inlineStr">
        <is>
          <t>3A</t>
        </is>
      </c>
      <c r="I375" s="83" t="inlineStr">
        <is>
          <t>3H</t>
        </is>
      </c>
      <c r="J375" s="83" t="inlineStr">
        <is>
          <t>3L</t>
        </is>
      </c>
      <c r="K375" s="89" t="inlineStr">
        <is>
          <t>3K</t>
        </is>
      </c>
    </row>
    <row r="376">
      <c r="B376" s="88" t="n">
        <v>371</v>
      </c>
      <c r="C376" s="83" t="inlineStr">
        <is>
          <t>ABCGIJKL</t>
        </is>
      </c>
      <c r="D376" s="83" t="inlineStr">
        <is>
          <t>3I</t>
        </is>
      </c>
      <c r="E376" s="83" t="inlineStr">
        <is>
          <t>3J</t>
        </is>
      </c>
      <c r="F376" s="83" t="inlineStr">
        <is>
          <t>3B</t>
        </is>
      </c>
      <c r="G376" s="83" t="inlineStr">
        <is>
          <t>3C</t>
        </is>
      </c>
      <c r="H376" s="83" t="inlineStr">
        <is>
          <t>3A</t>
        </is>
      </c>
      <c r="I376" s="83" t="inlineStr">
        <is>
          <t>3G</t>
        </is>
      </c>
      <c r="J376" s="83" t="inlineStr">
        <is>
          <t>3L</t>
        </is>
      </c>
      <c r="K376" s="89" t="inlineStr">
        <is>
          <t>3K</t>
        </is>
      </c>
    </row>
    <row r="377">
      <c r="B377" s="88" t="n">
        <v>372</v>
      </c>
      <c r="C377" s="83" t="inlineStr">
        <is>
          <t>ABCGHJKL</t>
        </is>
      </c>
      <c r="D377" s="83" t="inlineStr">
        <is>
          <t>3H</t>
        </is>
      </c>
      <c r="E377" s="83" t="inlineStr">
        <is>
          <t>3J</t>
        </is>
      </c>
      <c r="F377" s="83" t="inlineStr">
        <is>
          <t>3B</t>
        </is>
      </c>
      <c r="G377" s="83" t="inlineStr">
        <is>
          <t>3C</t>
        </is>
      </c>
      <c r="H377" s="83" t="inlineStr">
        <is>
          <t>3A</t>
        </is>
      </c>
      <c r="I377" s="83" t="inlineStr">
        <is>
          <t>3G</t>
        </is>
      </c>
      <c r="J377" s="83" t="inlineStr">
        <is>
          <t>3L</t>
        </is>
      </c>
      <c r="K377" s="89" t="inlineStr">
        <is>
          <t>3K</t>
        </is>
      </c>
    </row>
    <row r="378">
      <c r="B378" s="88" t="n">
        <v>373</v>
      </c>
      <c r="C378" s="83" t="inlineStr">
        <is>
          <t>ABCGHIKL</t>
        </is>
      </c>
      <c r="D378" s="83" t="inlineStr">
        <is>
          <t>3I</t>
        </is>
      </c>
      <c r="E378" s="83" t="inlineStr">
        <is>
          <t>3G</t>
        </is>
      </c>
      <c r="F378" s="83" t="inlineStr">
        <is>
          <t>3B</t>
        </is>
      </c>
      <c r="G378" s="83" t="inlineStr">
        <is>
          <t>3C</t>
        </is>
      </c>
      <c r="H378" s="83" t="inlineStr">
        <is>
          <t>3A</t>
        </is>
      </c>
      <c r="I378" s="83" t="inlineStr">
        <is>
          <t>3H</t>
        </is>
      </c>
      <c r="J378" s="83" t="inlineStr">
        <is>
          <t>3L</t>
        </is>
      </c>
      <c r="K378" s="89" t="inlineStr">
        <is>
          <t>3K</t>
        </is>
      </c>
    </row>
    <row r="379">
      <c r="B379" s="88" t="n">
        <v>374</v>
      </c>
      <c r="C379" s="83" t="inlineStr">
        <is>
          <t>ABCGHIJL</t>
        </is>
      </c>
      <c r="D379" s="83" t="inlineStr">
        <is>
          <t>3H</t>
        </is>
      </c>
      <c r="E379" s="83" t="inlineStr">
        <is>
          <t>3J</t>
        </is>
      </c>
      <c r="F379" s="83" t="inlineStr">
        <is>
          <t>3B</t>
        </is>
      </c>
      <c r="G379" s="83" t="inlineStr">
        <is>
          <t>3C</t>
        </is>
      </c>
      <c r="H379" s="83" t="inlineStr">
        <is>
          <t>3A</t>
        </is>
      </c>
      <c r="I379" s="83" t="inlineStr">
        <is>
          <t>3G</t>
        </is>
      </c>
      <c r="J379" s="83" t="inlineStr">
        <is>
          <t>3L</t>
        </is>
      </c>
      <c r="K379" s="89" t="inlineStr">
        <is>
          <t>3I</t>
        </is>
      </c>
    </row>
    <row r="380">
      <c r="B380" s="88" t="n">
        <v>375</v>
      </c>
      <c r="C380" s="83" t="inlineStr">
        <is>
          <t>ABCGHIJK</t>
        </is>
      </c>
      <c r="D380" s="83" t="inlineStr">
        <is>
          <t>3H</t>
        </is>
      </c>
      <c r="E380" s="83" t="inlineStr">
        <is>
          <t>3J</t>
        </is>
      </c>
      <c r="F380" s="83" t="inlineStr">
        <is>
          <t>3B</t>
        </is>
      </c>
      <c r="G380" s="83" t="inlineStr">
        <is>
          <t>3C</t>
        </is>
      </c>
      <c r="H380" s="83" t="inlineStr">
        <is>
          <t>3A</t>
        </is>
      </c>
      <c r="I380" s="83" t="inlineStr">
        <is>
          <t>3G</t>
        </is>
      </c>
      <c r="J380" s="83" t="inlineStr">
        <is>
          <t>3I</t>
        </is>
      </c>
      <c r="K380" s="89" t="inlineStr">
        <is>
          <t>3K</t>
        </is>
      </c>
    </row>
    <row r="381">
      <c r="B381" s="88" t="n">
        <v>376</v>
      </c>
      <c r="C381" s="83" t="inlineStr">
        <is>
          <t>ABCFIJKL</t>
        </is>
      </c>
      <c r="D381" s="83" t="inlineStr">
        <is>
          <t>3I</t>
        </is>
      </c>
      <c r="E381" s="83" t="inlineStr">
        <is>
          <t>3J</t>
        </is>
      </c>
      <c r="F381" s="83" t="inlineStr">
        <is>
          <t>3B</t>
        </is>
      </c>
      <c r="G381" s="83" t="inlineStr">
        <is>
          <t>3C</t>
        </is>
      </c>
      <c r="H381" s="83" t="inlineStr">
        <is>
          <t>3A</t>
        </is>
      </c>
      <c r="I381" s="83" t="inlineStr">
        <is>
          <t>3F</t>
        </is>
      </c>
      <c r="J381" s="83" t="inlineStr">
        <is>
          <t>3L</t>
        </is>
      </c>
      <c r="K381" s="89" t="inlineStr">
        <is>
          <t>3K</t>
        </is>
      </c>
    </row>
    <row r="382">
      <c r="B382" s="88" t="n">
        <v>377</v>
      </c>
      <c r="C382" s="83" t="inlineStr">
        <is>
          <t>ABCFHJKL</t>
        </is>
      </c>
      <c r="D382" s="83" t="inlineStr">
        <is>
          <t>3H</t>
        </is>
      </c>
      <c r="E382" s="83" t="inlineStr">
        <is>
          <t>3J</t>
        </is>
      </c>
      <c r="F382" s="83" t="inlineStr">
        <is>
          <t>3B</t>
        </is>
      </c>
      <c r="G382" s="83" t="inlineStr">
        <is>
          <t>3C</t>
        </is>
      </c>
      <c r="H382" s="83" t="inlineStr">
        <is>
          <t>3A</t>
        </is>
      </c>
      <c r="I382" s="83" t="inlineStr">
        <is>
          <t>3F</t>
        </is>
      </c>
      <c r="J382" s="83" t="inlineStr">
        <is>
          <t>3L</t>
        </is>
      </c>
      <c r="K382" s="89" t="inlineStr">
        <is>
          <t>3K</t>
        </is>
      </c>
    </row>
    <row r="383">
      <c r="B383" s="88" t="n">
        <v>378</v>
      </c>
      <c r="C383" s="83" t="inlineStr">
        <is>
          <t>ABCFHIKL</t>
        </is>
      </c>
      <c r="D383" s="83" t="inlineStr">
        <is>
          <t>3H</t>
        </is>
      </c>
      <c r="E383" s="83" t="inlineStr">
        <is>
          <t>3I</t>
        </is>
      </c>
      <c r="F383" s="83" t="inlineStr">
        <is>
          <t>3B</t>
        </is>
      </c>
      <c r="G383" s="83" t="inlineStr">
        <is>
          <t>3C</t>
        </is>
      </c>
      <c r="H383" s="83" t="inlineStr">
        <is>
          <t>3A</t>
        </is>
      </c>
      <c r="I383" s="83" t="inlineStr">
        <is>
          <t>3F</t>
        </is>
      </c>
      <c r="J383" s="83" t="inlineStr">
        <is>
          <t>3L</t>
        </is>
      </c>
      <c r="K383" s="89" t="inlineStr">
        <is>
          <t>3K</t>
        </is>
      </c>
    </row>
    <row r="384">
      <c r="B384" s="88" t="n">
        <v>379</v>
      </c>
      <c r="C384" s="83" t="inlineStr">
        <is>
          <t>ABCFHIJL</t>
        </is>
      </c>
      <c r="D384" s="83" t="inlineStr">
        <is>
          <t>3H</t>
        </is>
      </c>
      <c r="E384" s="83" t="inlineStr">
        <is>
          <t>3J</t>
        </is>
      </c>
      <c r="F384" s="83" t="inlineStr">
        <is>
          <t>3B</t>
        </is>
      </c>
      <c r="G384" s="83" t="inlineStr">
        <is>
          <t>3C</t>
        </is>
      </c>
      <c r="H384" s="83" t="inlineStr">
        <is>
          <t>3A</t>
        </is>
      </c>
      <c r="I384" s="83" t="inlineStr">
        <is>
          <t>3F</t>
        </is>
      </c>
      <c r="J384" s="83" t="inlineStr">
        <is>
          <t>3L</t>
        </is>
      </c>
      <c r="K384" s="89" t="inlineStr">
        <is>
          <t>3I</t>
        </is>
      </c>
    </row>
    <row r="385">
      <c r="B385" s="88" t="n">
        <v>380</v>
      </c>
      <c r="C385" s="83" t="inlineStr">
        <is>
          <t>ABCFHIJK</t>
        </is>
      </c>
      <c r="D385" s="83" t="inlineStr">
        <is>
          <t>3H</t>
        </is>
      </c>
      <c r="E385" s="83" t="inlineStr">
        <is>
          <t>3J</t>
        </is>
      </c>
      <c r="F385" s="83" t="inlineStr">
        <is>
          <t>3B</t>
        </is>
      </c>
      <c r="G385" s="83" t="inlineStr">
        <is>
          <t>3C</t>
        </is>
      </c>
      <c r="H385" s="83" t="inlineStr">
        <is>
          <t>3A</t>
        </is>
      </c>
      <c r="I385" s="83" t="inlineStr">
        <is>
          <t>3F</t>
        </is>
      </c>
      <c r="J385" s="83" t="inlineStr">
        <is>
          <t>3I</t>
        </is>
      </c>
      <c r="K385" s="89" t="inlineStr">
        <is>
          <t>3K</t>
        </is>
      </c>
    </row>
    <row r="386">
      <c r="B386" s="88" t="n">
        <v>381</v>
      </c>
      <c r="C386" s="83" t="inlineStr">
        <is>
          <t>ABCFGJKL</t>
        </is>
      </c>
      <c r="D386" s="83" t="inlineStr">
        <is>
          <t>3C</t>
        </is>
      </c>
      <c r="E386" s="83" t="inlineStr">
        <is>
          <t>3J</t>
        </is>
      </c>
      <c r="F386" s="83" t="inlineStr">
        <is>
          <t>3B</t>
        </is>
      </c>
      <c r="G386" s="83" t="inlineStr">
        <is>
          <t>3F</t>
        </is>
      </c>
      <c r="H386" s="83" t="inlineStr">
        <is>
          <t>3A</t>
        </is>
      </c>
      <c r="I386" s="83" t="inlineStr">
        <is>
          <t>3G</t>
        </is>
      </c>
      <c r="J386" s="83" t="inlineStr">
        <is>
          <t>3L</t>
        </is>
      </c>
      <c r="K386" s="89" t="inlineStr">
        <is>
          <t>3K</t>
        </is>
      </c>
    </row>
    <row r="387">
      <c r="B387" s="88" t="n">
        <v>382</v>
      </c>
      <c r="C387" s="83" t="inlineStr">
        <is>
          <t>ABCFGIKL</t>
        </is>
      </c>
      <c r="D387" s="83" t="inlineStr">
        <is>
          <t>3I</t>
        </is>
      </c>
      <c r="E387" s="83" t="inlineStr">
        <is>
          <t>3G</t>
        </is>
      </c>
      <c r="F387" s="83" t="inlineStr">
        <is>
          <t>3B</t>
        </is>
      </c>
      <c r="G387" s="83" t="inlineStr">
        <is>
          <t>3C</t>
        </is>
      </c>
      <c r="H387" s="83" t="inlineStr">
        <is>
          <t>3A</t>
        </is>
      </c>
      <c r="I387" s="83" t="inlineStr">
        <is>
          <t>3F</t>
        </is>
      </c>
      <c r="J387" s="83" t="inlineStr">
        <is>
          <t>3L</t>
        </is>
      </c>
      <c r="K387" s="89" t="inlineStr">
        <is>
          <t>3K</t>
        </is>
      </c>
    </row>
    <row r="388">
      <c r="B388" s="88" t="n">
        <v>383</v>
      </c>
      <c r="C388" s="83" t="inlineStr">
        <is>
          <t>ABCFGIJL</t>
        </is>
      </c>
      <c r="D388" s="83" t="inlineStr">
        <is>
          <t>3C</t>
        </is>
      </c>
      <c r="E388" s="83" t="inlineStr">
        <is>
          <t>3J</t>
        </is>
      </c>
      <c r="F388" s="83" t="inlineStr">
        <is>
          <t>3B</t>
        </is>
      </c>
      <c r="G388" s="83" t="inlineStr">
        <is>
          <t>3F</t>
        </is>
      </c>
      <c r="H388" s="83" t="inlineStr">
        <is>
          <t>3A</t>
        </is>
      </c>
      <c r="I388" s="83" t="inlineStr">
        <is>
          <t>3G</t>
        </is>
      </c>
      <c r="J388" s="83" t="inlineStr">
        <is>
          <t>3L</t>
        </is>
      </c>
      <c r="K388" s="89" t="inlineStr">
        <is>
          <t>3I</t>
        </is>
      </c>
    </row>
    <row r="389">
      <c r="B389" s="88" t="n">
        <v>384</v>
      </c>
      <c r="C389" s="83" t="inlineStr">
        <is>
          <t>ABCFGIJK</t>
        </is>
      </c>
      <c r="D389" s="83" t="inlineStr">
        <is>
          <t>3C</t>
        </is>
      </c>
      <c r="E389" s="83" t="inlineStr">
        <is>
          <t>3J</t>
        </is>
      </c>
      <c r="F389" s="83" t="inlineStr">
        <is>
          <t>3B</t>
        </is>
      </c>
      <c r="G389" s="83" t="inlineStr">
        <is>
          <t>3F</t>
        </is>
      </c>
      <c r="H389" s="83" t="inlineStr">
        <is>
          <t>3A</t>
        </is>
      </c>
      <c r="I389" s="83" t="inlineStr">
        <is>
          <t>3G</t>
        </is>
      </c>
      <c r="J389" s="83" t="inlineStr">
        <is>
          <t>3I</t>
        </is>
      </c>
      <c r="K389" s="89" t="inlineStr">
        <is>
          <t>3K</t>
        </is>
      </c>
    </row>
    <row r="390">
      <c r="B390" s="88" t="n">
        <v>385</v>
      </c>
      <c r="C390" s="83" t="inlineStr">
        <is>
          <t>ABCFGHKL</t>
        </is>
      </c>
      <c r="D390" s="83" t="inlineStr">
        <is>
          <t>3H</t>
        </is>
      </c>
      <c r="E390" s="83" t="inlineStr">
        <is>
          <t>3G</t>
        </is>
      </c>
      <c r="F390" s="83" t="inlineStr">
        <is>
          <t>3B</t>
        </is>
      </c>
      <c r="G390" s="83" t="inlineStr">
        <is>
          <t>3C</t>
        </is>
      </c>
      <c r="H390" s="83" t="inlineStr">
        <is>
          <t>3A</t>
        </is>
      </c>
      <c r="I390" s="83" t="inlineStr">
        <is>
          <t>3F</t>
        </is>
      </c>
      <c r="J390" s="83" t="inlineStr">
        <is>
          <t>3L</t>
        </is>
      </c>
      <c r="K390" s="89" t="inlineStr">
        <is>
          <t>3K</t>
        </is>
      </c>
    </row>
    <row r="391">
      <c r="B391" s="88" t="n">
        <v>386</v>
      </c>
      <c r="C391" s="83" t="inlineStr">
        <is>
          <t>ABCFGHJL</t>
        </is>
      </c>
      <c r="D391" s="83" t="inlineStr">
        <is>
          <t>3H</t>
        </is>
      </c>
      <c r="E391" s="83" t="inlineStr">
        <is>
          <t>3G</t>
        </is>
      </c>
      <c r="F391" s="83" t="inlineStr">
        <is>
          <t>3B</t>
        </is>
      </c>
      <c r="G391" s="83" t="inlineStr">
        <is>
          <t>3C</t>
        </is>
      </c>
      <c r="H391" s="83" t="inlineStr">
        <is>
          <t>3A</t>
        </is>
      </c>
      <c r="I391" s="83" t="inlineStr">
        <is>
          <t>3F</t>
        </is>
      </c>
      <c r="J391" s="83" t="inlineStr">
        <is>
          <t>3L</t>
        </is>
      </c>
      <c r="K391" s="89" t="inlineStr">
        <is>
          <t>3J</t>
        </is>
      </c>
    </row>
    <row r="392">
      <c r="B392" s="88" t="n">
        <v>387</v>
      </c>
      <c r="C392" s="83" t="inlineStr">
        <is>
          <t>ABCFGHJK</t>
        </is>
      </c>
      <c r="D392" s="83" t="inlineStr">
        <is>
          <t>3H</t>
        </is>
      </c>
      <c r="E392" s="83" t="inlineStr">
        <is>
          <t>3G</t>
        </is>
      </c>
      <c r="F392" s="83" t="inlineStr">
        <is>
          <t>3B</t>
        </is>
      </c>
      <c r="G392" s="83" t="inlineStr">
        <is>
          <t>3C</t>
        </is>
      </c>
      <c r="H392" s="83" t="inlineStr">
        <is>
          <t>3A</t>
        </is>
      </c>
      <c r="I392" s="83" t="inlineStr">
        <is>
          <t>3F</t>
        </is>
      </c>
      <c r="J392" s="83" t="inlineStr">
        <is>
          <t>3J</t>
        </is>
      </c>
      <c r="K392" s="89" t="inlineStr">
        <is>
          <t>3K</t>
        </is>
      </c>
    </row>
    <row r="393">
      <c r="B393" s="88" t="n">
        <v>388</v>
      </c>
      <c r="C393" s="83" t="inlineStr">
        <is>
          <t>ABCFGHIL</t>
        </is>
      </c>
      <c r="D393" s="83" t="inlineStr">
        <is>
          <t>3H</t>
        </is>
      </c>
      <c r="E393" s="83" t="inlineStr">
        <is>
          <t>3G</t>
        </is>
      </c>
      <c r="F393" s="83" t="inlineStr">
        <is>
          <t>3B</t>
        </is>
      </c>
      <c r="G393" s="83" t="inlineStr">
        <is>
          <t>3C</t>
        </is>
      </c>
      <c r="H393" s="83" t="inlineStr">
        <is>
          <t>3A</t>
        </is>
      </c>
      <c r="I393" s="83" t="inlineStr">
        <is>
          <t>3F</t>
        </is>
      </c>
      <c r="J393" s="83" t="inlineStr">
        <is>
          <t>3L</t>
        </is>
      </c>
      <c r="K393" s="89" t="inlineStr">
        <is>
          <t>3I</t>
        </is>
      </c>
    </row>
    <row r="394">
      <c r="B394" s="88" t="n">
        <v>389</v>
      </c>
      <c r="C394" s="83" t="inlineStr">
        <is>
          <t>ABCFGHIK</t>
        </is>
      </c>
      <c r="D394" s="83" t="inlineStr">
        <is>
          <t>3H</t>
        </is>
      </c>
      <c r="E394" s="83" t="inlineStr">
        <is>
          <t>3G</t>
        </is>
      </c>
      <c r="F394" s="83" t="inlineStr">
        <is>
          <t>3B</t>
        </is>
      </c>
      <c r="G394" s="83" t="inlineStr">
        <is>
          <t>3C</t>
        </is>
      </c>
      <c r="H394" s="83" t="inlineStr">
        <is>
          <t>3A</t>
        </is>
      </c>
      <c r="I394" s="83" t="inlineStr">
        <is>
          <t>3F</t>
        </is>
      </c>
      <c r="J394" s="83" t="inlineStr">
        <is>
          <t>3I</t>
        </is>
      </c>
      <c r="K394" s="89" t="inlineStr">
        <is>
          <t>3K</t>
        </is>
      </c>
    </row>
    <row r="395">
      <c r="B395" s="88" t="n">
        <v>390</v>
      </c>
      <c r="C395" s="83" t="inlineStr">
        <is>
          <t>ABCFGHIJ</t>
        </is>
      </c>
      <c r="D395" s="83" t="inlineStr">
        <is>
          <t>3H</t>
        </is>
      </c>
      <c r="E395" s="83" t="inlineStr">
        <is>
          <t>3G</t>
        </is>
      </c>
      <c r="F395" s="83" t="inlineStr">
        <is>
          <t>3B</t>
        </is>
      </c>
      <c r="G395" s="83" t="inlineStr">
        <is>
          <t>3C</t>
        </is>
      </c>
      <c r="H395" s="83" t="inlineStr">
        <is>
          <t>3A</t>
        </is>
      </c>
      <c r="I395" s="83" t="inlineStr">
        <is>
          <t>3F</t>
        </is>
      </c>
      <c r="J395" s="83" t="inlineStr">
        <is>
          <t>3I</t>
        </is>
      </c>
      <c r="K395" s="89" t="inlineStr">
        <is>
          <t>3J</t>
        </is>
      </c>
    </row>
    <row r="396">
      <c r="B396" s="88" t="n">
        <v>391</v>
      </c>
      <c r="C396" s="83" t="inlineStr">
        <is>
          <t>ABCEIJKL</t>
        </is>
      </c>
      <c r="D396" s="83" t="inlineStr">
        <is>
          <t>3E</t>
        </is>
      </c>
      <c r="E396" s="83" t="inlineStr">
        <is>
          <t>3J</t>
        </is>
      </c>
      <c r="F396" s="83" t="inlineStr">
        <is>
          <t>3B</t>
        </is>
      </c>
      <c r="G396" s="83" t="inlineStr">
        <is>
          <t>3A</t>
        </is>
      </c>
      <c r="H396" s="83" t="inlineStr">
        <is>
          <t>3I</t>
        </is>
      </c>
      <c r="I396" s="83" t="inlineStr">
        <is>
          <t>3C</t>
        </is>
      </c>
      <c r="J396" s="83" t="inlineStr">
        <is>
          <t>3L</t>
        </is>
      </c>
      <c r="K396" s="89" t="inlineStr">
        <is>
          <t>3K</t>
        </is>
      </c>
    </row>
    <row r="397">
      <c r="B397" s="88" t="n">
        <v>392</v>
      </c>
      <c r="C397" s="83" t="inlineStr">
        <is>
          <t>ABCEHJKL</t>
        </is>
      </c>
      <c r="D397" s="83" t="inlineStr">
        <is>
          <t>3E</t>
        </is>
      </c>
      <c r="E397" s="83" t="inlineStr">
        <is>
          <t>3J</t>
        </is>
      </c>
      <c r="F397" s="83" t="inlineStr">
        <is>
          <t>3B</t>
        </is>
      </c>
      <c r="G397" s="83" t="inlineStr">
        <is>
          <t>3C</t>
        </is>
      </c>
      <c r="H397" s="83" t="inlineStr">
        <is>
          <t>3A</t>
        </is>
      </c>
      <c r="I397" s="83" t="inlineStr">
        <is>
          <t>3H</t>
        </is>
      </c>
      <c r="J397" s="83" t="inlineStr">
        <is>
          <t>3L</t>
        </is>
      </c>
      <c r="K397" s="89" t="inlineStr">
        <is>
          <t>3K</t>
        </is>
      </c>
    </row>
    <row r="398">
      <c r="B398" s="88" t="n">
        <v>393</v>
      </c>
      <c r="C398" s="83" t="inlineStr">
        <is>
          <t>ABCEHIKL</t>
        </is>
      </c>
      <c r="D398" s="83" t="inlineStr">
        <is>
          <t>3E</t>
        </is>
      </c>
      <c r="E398" s="83" t="inlineStr">
        <is>
          <t>3I</t>
        </is>
      </c>
      <c r="F398" s="83" t="inlineStr">
        <is>
          <t>3B</t>
        </is>
      </c>
      <c r="G398" s="83" t="inlineStr">
        <is>
          <t>3C</t>
        </is>
      </c>
      <c r="H398" s="83" t="inlineStr">
        <is>
          <t>3A</t>
        </is>
      </c>
      <c r="I398" s="83" t="inlineStr">
        <is>
          <t>3H</t>
        </is>
      </c>
      <c r="J398" s="83" t="inlineStr">
        <is>
          <t>3L</t>
        </is>
      </c>
      <c r="K398" s="89" t="inlineStr">
        <is>
          <t>3K</t>
        </is>
      </c>
    </row>
    <row r="399">
      <c r="B399" s="88" t="n">
        <v>394</v>
      </c>
      <c r="C399" s="83" t="inlineStr">
        <is>
          <t>ABCEHIJL</t>
        </is>
      </c>
      <c r="D399" s="83" t="inlineStr">
        <is>
          <t>3E</t>
        </is>
      </c>
      <c r="E399" s="83" t="inlineStr">
        <is>
          <t>3J</t>
        </is>
      </c>
      <c r="F399" s="83" t="inlineStr">
        <is>
          <t>3B</t>
        </is>
      </c>
      <c r="G399" s="83" t="inlineStr">
        <is>
          <t>3C</t>
        </is>
      </c>
      <c r="H399" s="83" t="inlineStr">
        <is>
          <t>3A</t>
        </is>
      </c>
      <c r="I399" s="83" t="inlineStr">
        <is>
          <t>3H</t>
        </is>
      </c>
      <c r="J399" s="83" t="inlineStr">
        <is>
          <t>3L</t>
        </is>
      </c>
      <c r="K399" s="89" t="inlineStr">
        <is>
          <t>3I</t>
        </is>
      </c>
    </row>
    <row r="400">
      <c r="B400" s="88" t="n">
        <v>395</v>
      </c>
      <c r="C400" s="83" t="inlineStr">
        <is>
          <t>ABCEHIJK</t>
        </is>
      </c>
      <c r="D400" s="83" t="inlineStr">
        <is>
          <t>3E</t>
        </is>
      </c>
      <c r="E400" s="83" t="inlineStr">
        <is>
          <t>3J</t>
        </is>
      </c>
      <c r="F400" s="83" t="inlineStr">
        <is>
          <t>3B</t>
        </is>
      </c>
      <c r="G400" s="83" t="inlineStr">
        <is>
          <t>3C</t>
        </is>
      </c>
      <c r="H400" s="83" t="inlineStr">
        <is>
          <t>3A</t>
        </is>
      </c>
      <c r="I400" s="83" t="inlineStr">
        <is>
          <t>3H</t>
        </is>
      </c>
      <c r="J400" s="83" t="inlineStr">
        <is>
          <t>3I</t>
        </is>
      </c>
      <c r="K400" s="89" t="inlineStr">
        <is>
          <t>3K</t>
        </is>
      </c>
    </row>
    <row r="401">
      <c r="B401" s="88" t="n">
        <v>396</v>
      </c>
      <c r="C401" s="83" t="inlineStr">
        <is>
          <t>ABCEGJKL</t>
        </is>
      </c>
      <c r="D401" s="83" t="inlineStr">
        <is>
          <t>3E</t>
        </is>
      </c>
      <c r="E401" s="83" t="inlineStr">
        <is>
          <t>3J</t>
        </is>
      </c>
      <c r="F401" s="83" t="inlineStr">
        <is>
          <t>3B</t>
        </is>
      </c>
      <c r="G401" s="83" t="inlineStr">
        <is>
          <t>3C</t>
        </is>
      </c>
      <c r="H401" s="83" t="inlineStr">
        <is>
          <t>3A</t>
        </is>
      </c>
      <c r="I401" s="83" t="inlineStr">
        <is>
          <t>3G</t>
        </is>
      </c>
      <c r="J401" s="83" t="inlineStr">
        <is>
          <t>3L</t>
        </is>
      </c>
      <c r="K401" s="89" t="inlineStr">
        <is>
          <t>3K</t>
        </is>
      </c>
    </row>
    <row r="402">
      <c r="B402" s="88" t="n">
        <v>397</v>
      </c>
      <c r="C402" s="83" t="inlineStr">
        <is>
          <t>ABCEGIKL</t>
        </is>
      </c>
      <c r="D402" s="83" t="inlineStr">
        <is>
          <t>3E</t>
        </is>
      </c>
      <c r="E402" s="83" t="inlineStr">
        <is>
          <t>3G</t>
        </is>
      </c>
      <c r="F402" s="83" t="inlineStr">
        <is>
          <t>3B</t>
        </is>
      </c>
      <c r="G402" s="83" t="inlineStr">
        <is>
          <t>3A</t>
        </is>
      </c>
      <c r="H402" s="83" t="inlineStr">
        <is>
          <t>3I</t>
        </is>
      </c>
      <c r="I402" s="83" t="inlineStr">
        <is>
          <t>3C</t>
        </is>
      </c>
      <c r="J402" s="83" t="inlineStr">
        <is>
          <t>3L</t>
        </is>
      </c>
      <c r="K402" s="89" t="inlineStr">
        <is>
          <t>3K</t>
        </is>
      </c>
    </row>
    <row r="403">
      <c r="B403" s="88" t="n">
        <v>398</v>
      </c>
      <c r="C403" s="83" t="inlineStr">
        <is>
          <t>ABCEGIJL</t>
        </is>
      </c>
      <c r="D403" s="83" t="inlineStr">
        <is>
          <t>3E</t>
        </is>
      </c>
      <c r="E403" s="83" t="inlineStr">
        <is>
          <t>3J</t>
        </is>
      </c>
      <c r="F403" s="83" t="inlineStr">
        <is>
          <t>3B</t>
        </is>
      </c>
      <c r="G403" s="83" t="inlineStr">
        <is>
          <t>3C</t>
        </is>
      </c>
      <c r="H403" s="83" t="inlineStr">
        <is>
          <t>3A</t>
        </is>
      </c>
      <c r="I403" s="83" t="inlineStr">
        <is>
          <t>3G</t>
        </is>
      </c>
      <c r="J403" s="83" t="inlineStr">
        <is>
          <t>3L</t>
        </is>
      </c>
      <c r="K403" s="89" t="inlineStr">
        <is>
          <t>3I</t>
        </is>
      </c>
    </row>
    <row r="404">
      <c r="B404" s="88" t="n">
        <v>399</v>
      </c>
      <c r="C404" s="83" t="inlineStr">
        <is>
          <t>ABCEGIJK</t>
        </is>
      </c>
      <c r="D404" s="83" t="inlineStr">
        <is>
          <t>3E</t>
        </is>
      </c>
      <c r="E404" s="83" t="inlineStr">
        <is>
          <t>3J</t>
        </is>
      </c>
      <c r="F404" s="83" t="inlineStr">
        <is>
          <t>3B</t>
        </is>
      </c>
      <c r="G404" s="83" t="inlineStr">
        <is>
          <t>3C</t>
        </is>
      </c>
      <c r="H404" s="83" t="inlineStr">
        <is>
          <t>3A</t>
        </is>
      </c>
      <c r="I404" s="83" t="inlineStr">
        <is>
          <t>3G</t>
        </is>
      </c>
      <c r="J404" s="83" t="inlineStr">
        <is>
          <t>3I</t>
        </is>
      </c>
      <c r="K404" s="89" t="inlineStr">
        <is>
          <t>3K</t>
        </is>
      </c>
    </row>
    <row r="405">
      <c r="B405" s="88" t="n">
        <v>400</v>
      </c>
      <c r="C405" s="83" t="inlineStr">
        <is>
          <t>ABCEGHKL</t>
        </is>
      </c>
      <c r="D405" s="83" t="inlineStr">
        <is>
          <t>3E</t>
        </is>
      </c>
      <c r="E405" s="83" t="inlineStr">
        <is>
          <t>3G</t>
        </is>
      </c>
      <c r="F405" s="83" t="inlineStr">
        <is>
          <t>3B</t>
        </is>
      </c>
      <c r="G405" s="83" t="inlineStr">
        <is>
          <t>3C</t>
        </is>
      </c>
      <c r="H405" s="83" t="inlineStr">
        <is>
          <t>3A</t>
        </is>
      </c>
      <c r="I405" s="83" t="inlineStr">
        <is>
          <t>3H</t>
        </is>
      </c>
      <c r="J405" s="83" t="inlineStr">
        <is>
          <t>3L</t>
        </is>
      </c>
      <c r="K405" s="89" t="inlineStr">
        <is>
          <t>3K</t>
        </is>
      </c>
    </row>
    <row r="406">
      <c r="B406" s="88" t="n">
        <v>401</v>
      </c>
      <c r="C406" s="83" t="inlineStr">
        <is>
          <t>ABCEGHJL</t>
        </is>
      </c>
      <c r="D406" s="83" t="inlineStr">
        <is>
          <t>3H</t>
        </is>
      </c>
      <c r="E406" s="83" t="inlineStr">
        <is>
          <t>3J</t>
        </is>
      </c>
      <c r="F406" s="83" t="inlineStr">
        <is>
          <t>3B</t>
        </is>
      </c>
      <c r="G406" s="83" t="inlineStr">
        <is>
          <t>3C</t>
        </is>
      </c>
      <c r="H406" s="83" t="inlineStr">
        <is>
          <t>3A</t>
        </is>
      </c>
      <c r="I406" s="83" t="inlineStr">
        <is>
          <t>3G</t>
        </is>
      </c>
      <c r="J406" s="83" t="inlineStr">
        <is>
          <t>3L</t>
        </is>
      </c>
      <c r="K406" s="89" t="inlineStr">
        <is>
          <t>3E</t>
        </is>
      </c>
    </row>
    <row r="407">
      <c r="B407" s="88" t="n">
        <v>402</v>
      </c>
      <c r="C407" s="83" t="inlineStr">
        <is>
          <t>ABCEGHJK</t>
        </is>
      </c>
      <c r="D407" s="83" t="inlineStr">
        <is>
          <t>3H</t>
        </is>
      </c>
      <c r="E407" s="83" t="inlineStr">
        <is>
          <t>3J</t>
        </is>
      </c>
      <c r="F407" s="83" t="inlineStr">
        <is>
          <t>3B</t>
        </is>
      </c>
      <c r="G407" s="83" t="inlineStr">
        <is>
          <t>3C</t>
        </is>
      </c>
      <c r="H407" s="83" t="inlineStr">
        <is>
          <t>3A</t>
        </is>
      </c>
      <c r="I407" s="83" t="inlineStr">
        <is>
          <t>3G</t>
        </is>
      </c>
      <c r="J407" s="83" t="inlineStr">
        <is>
          <t>3E</t>
        </is>
      </c>
      <c r="K407" s="89" t="inlineStr">
        <is>
          <t>3K</t>
        </is>
      </c>
    </row>
    <row r="408">
      <c r="B408" s="88" t="n">
        <v>403</v>
      </c>
      <c r="C408" s="83" t="inlineStr">
        <is>
          <t>ABCEGHIL</t>
        </is>
      </c>
      <c r="D408" s="83" t="inlineStr">
        <is>
          <t>3E</t>
        </is>
      </c>
      <c r="E408" s="83" t="inlineStr">
        <is>
          <t>3G</t>
        </is>
      </c>
      <c r="F408" s="83" t="inlineStr">
        <is>
          <t>3B</t>
        </is>
      </c>
      <c r="G408" s="83" t="inlineStr">
        <is>
          <t>3C</t>
        </is>
      </c>
      <c r="H408" s="83" t="inlineStr">
        <is>
          <t>3A</t>
        </is>
      </c>
      <c r="I408" s="83" t="inlineStr">
        <is>
          <t>3H</t>
        </is>
      </c>
      <c r="J408" s="83" t="inlineStr">
        <is>
          <t>3L</t>
        </is>
      </c>
      <c r="K408" s="89" t="inlineStr">
        <is>
          <t>3I</t>
        </is>
      </c>
    </row>
    <row r="409">
      <c r="B409" s="88" t="n">
        <v>404</v>
      </c>
      <c r="C409" s="83" t="inlineStr">
        <is>
          <t>ABCEGHIK</t>
        </is>
      </c>
      <c r="D409" s="83" t="inlineStr">
        <is>
          <t>3E</t>
        </is>
      </c>
      <c r="E409" s="83" t="inlineStr">
        <is>
          <t>3G</t>
        </is>
      </c>
      <c r="F409" s="83" t="inlineStr">
        <is>
          <t>3B</t>
        </is>
      </c>
      <c r="G409" s="83" t="inlineStr">
        <is>
          <t>3C</t>
        </is>
      </c>
      <c r="H409" s="83" t="inlineStr">
        <is>
          <t>3A</t>
        </is>
      </c>
      <c r="I409" s="83" t="inlineStr">
        <is>
          <t>3H</t>
        </is>
      </c>
      <c r="J409" s="83" t="inlineStr">
        <is>
          <t>3I</t>
        </is>
      </c>
      <c r="K409" s="89" t="inlineStr">
        <is>
          <t>3K</t>
        </is>
      </c>
    </row>
    <row r="410">
      <c r="B410" s="88" t="n">
        <v>405</v>
      </c>
      <c r="C410" s="83" t="inlineStr">
        <is>
          <t>ABCEGHIJ</t>
        </is>
      </c>
      <c r="D410" s="83" t="inlineStr">
        <is>
          <t>3H</t>
        </is>
      </c>
      <c r="E410" s="83" t="inlineStr">
        <is>
          <t>3J</t>
        </is>
      </c>
      <c r="F410" s="83" t="inlineStr">
        <is>
          <t>3B</t>
        </is>
      </c>
      <c r="G410" s="83" t="inlineStr">
        <is>
          <t>3C</t>
        </is>
      </c>
      <c r="H410" s="83" t="inlineStr">
        <is>
          <t>3A</t>
        </is>
      </c>
      <c r="I410" s="83" t="inlineStr">
        <is>
          <t>3G</t>
        </is>
      </c>
      <c r="J410" s="83" t="inlineStr">
        <is>
          <t>3E</t>
        </is>
      </c>
      <c r="K410" s="89" t="inlineStr">
        <is>
          <t>3I</t>
        </is>
      </c>
    </row>
    <row r="411">
      <c r="B411" s="88" t="n">
        <v>406</v>
      </c>
      <c r="C411" s="83" t="inlineStr">
        <is>
          <t>ABCEFJKL</t>
        </is>
      </c>
      <c r="D411" s="83" t="inlineStr">
        <is>
          <t>3E</t>
        </is>
      </c>
      <c r="E411" s="83" t="inlineStr">
        <is>
          <t>3J</t>
        </is>
      </c>
      <c r="F411" s="83" t="inlineStr">
        <is>
          <t>3B</t>
        </is>
      </c>
      <c r="G411" s="83" t="inlineStr">
        <is>
          <t>3C</t>
        </is>
      </c>
      <c r="H411" s="83" t="inlineStr">
        <is>
          <t>3A</t>
        </is>
      </c>
      <c r="I411" s="83" t="inlineStr">
        <is>
          <t>3F</t>
        </is>
      </c>
      <c r="J411" s="83" t="inlineStr">
        <is>
          <t>3L</t>
        </is>
      </c>
      <c r="K411" s="89" t="inlineStr">
        <is>
          <t>3K</t>
        </is>
      </c>
    </row>
    <row r="412">
      <c r="B412" s="88" t="n">
        <v>407</v>
      </c>
      <c r="C412" s="83" t="inlineStr">
        <is>
          <t>ABCEFIKL</t>
        </is>
      </c>
      <c r="D412" s="83" t="inlineStr">
        <is>
          <t>3E</t>
        </is>
      </c>
      <c r="E412" s="83" t="inlineStr">
        <is>
          <t>3I</t>
        </is>
      </c>
      <c r="F412" s="83" t="inlineStr">
        <is>
          <t>3B</t>
        </is>
      </c>
      <c r="G412" s="83" t="inlineStr">
        <is>
          <t>3C</t>
        </is>
      </c>
      <c r="H412" s="83" t="inlineStr">
        <is>
          <t>3A</t>
        </is>
      </c>
      <c r="I412" s="83" t="inlineStr">
        <is>
          <t>3F</t>
        </is>
      </c>
      <c r="J412" s="83" t="inlineStr">
        <is>
          <t>3L</t>
        </is>
      </c>
      <c r="K412" s="89" t="inlineStr">
        <is>
          <t>3K</t>
        </is>
      </c>
    </row>
    <row r="413">
      <c r="B413" s="88" t="n">
        <v>408</v>
      </c>
      <c r="C413" s="83" t="inlineStr">
        <is>
          <t>ABCEFIJL</t>
        </is>
      </c>
      <c r="D413" s="83" t="inlineStr">
        <is>
          <t>3E</t>
        </is>
      </c>
      <c r="E413" s="83" t="inlineStr">
        <is>
          <t>3J</t>
        </is>
      </c>
      <c r="F413" s="83" t="inlineStr">
        <is>
          <t>3B</t>
        </is>
      </c>
      <c r="G413" s="83" t="inlineStr">
        <is>
          <t>3C</t>
        </is>
      </c>
      <c r="H413" s="83" t="inlineStr">
        <is>
          <t>3A</t>
        </is>
      </c>
      <c r="I413" s="83" t="inlineStr">
        <is>
          <t>3F</t>
        </is>
      </c>
      <c r="J413" s="83" t="inlineStr">
        <is>
          <t>3L</t>
        </is>
      </c>
      <c r="K413" s="89" t="inlineStr">
        <is>
          <t>3I</t>
        </is>
      </c>
    </row>
    <row r="414">
      <c r="B414" s="88" t="n">
        <v>409</v>
      </c>
      <c r="C414" s="83" t="inlineStr">
        <is>
          <t>ABCEFIJK</t>
        </is>
      </c>
      <c r="D414" s="83" t="inlineStr">
        <is>
          <t>3E</t>
        </is>
      </c>
      <c r="E414" s="83" t="inlineStr">
        <is>
          <t>3J</t>
        </is>
      </c>
      <c r="F414" s="83" t="inlineStr">
        <is>
          <t>3B</t>
        </is>
      </c>
      <c r="G414" s="83" t="inlineStr">
        <is>
          <t>3C</t>
        </is>
      </c>
      <c r="H414" s="83" t="inlineStr">
        <is>
          <t>3A</t>
        </is>
      </c>
      <c r="I414" s="83" t="inlineStr">
        <is>
          <t>3F</t>
        </is>
      </c>
      <c r="J414" s="83" t="inlineStr">
        <is>
          <t>3I</t>
        </is>
      </c>
      <c r="K414" s="89" t="inlineStr">
        <is>
          <t>3K</t>
        </is>
      </c>
    </row>
    <row r="415">
      <c r="B415" s="88" t="n">
        <v>410</v>
      </c>
      <c r="C415" s="83" t="inlineStr">
        <is>
          <t>ABCEFHKL</t>
        </is>
      </c>
      <c r="D415" s="83" t="inlineStr">
        <is>
          <t>3H</t>
        </is>
      </c>
      <c r="E415" s="83" t="inlineStr">
        <is>
          <t>3E</t>
        </is>
      </c>
      <c r="F415" s="83" t="inlineStr">
        <is>
          <t>3B</t>
        </is>
      </c>
      <c r="G415" s="83" t="inlineStr">
        <is>
          <t>3C</t>
        </is>
      </c>
      <c r="H415" s="83" t="inlineStr">
        <is>
          <t>3A</t>
        </is>
      </c>
      <c r="I415" s="83" t="inlineStr">
        <is>
          <t>3F</t>
        </is>
      </c>
      <c r="J415" s="83" t="inlineStr">
        <is>
          <t>3L</t>
        </is>
      </c>
      <c r="K415" s="89" t="inlineStr">
        <is>
          <t>3K</t>
        </is>
      </c>
    </row>
    <row r="416">
      <c r="B416" s="88" t="n">
        <v>411</v>
      </c>
      <c r="C416" s="83" t="inlineStr">
        <is>
          <t>ABCEFHJL</t>
        </is>
      </c>
      <c r="D416" s="83" t="inlineStr">
        <is>
          <t>3H</t>
        </is>
      </c>
      <c r="E416" s="83" t="inlineStr">
        <is>
          <t>3J</t>
        </is>
      </c>
      <c r="F416" s="83" t="inlineStr">
        <is>
          <t>3B</t>
        </is>
      </c>
      <c r="G416" s="83" t="inlineStr">
        <is>
          <t>3C</t>
        </is>
      </c>
      <c r="H416" s="83" t="inlineStr">
        <is>
          <t>3A</t>
        </is>
      </c>
      <c r="I416" s="83" t="inlineStr">
        <is>
          <t>3F</t>
        </is>
      </c>
      <c r="J416" s="83" t="inlineStr">
        <is>
          <t>3L</t>
        </is>
      </c>
      <c r="K416" s="89" t="inlineStr">
        <is>
          <t>3E</t>
        </is>
      </c>
    </row>
    <row r="417">
      <c r="B417" s="88" t="n">
        <v>412</v>
      </c>
      <c r="C417" s="83" t="inlineStr">
        <is>
          <t>ABCEFHJK</t>
        </is>
      </c>
      <c r="D417" s="83" t="inlineStr">
        <is>
          <t>3H</t>
        </is>
      </c>
      <c r="E417" s="83" t="inlineStr">
        <is>
          <t>3J</t>
        </is>
      </c>
      <c r="F417" s="83" t="inlineStr">
        <is>
          <t>3B</t>
        </is>
      </c>
      <c r="G417" s="83" t="inlineStr">
        <is>
          <t>3C</t>
        </is>
      </c>
      <c r="H417" s="83" t="inlineStr">
        <is>
          <t>3A</t>
        </is>
      </c>
      <c r="I417" s="83" t="inlineStr">
        <is>
          <t>3F</t>
        </is>
      </c>
      <c r="J417" s="83" t="inlineStr">
        <is>
          <t>3E</t>
        </is>
      </c>
      <c r="K417" s="89" t="inlineStr">
        <is>
          <t>3K</t>
        </is>
      </c>
    </row>
    <row r="418">
      <c r="B418" s="88" t="n">
        <v>413</v>
      </c>
      <c r="C418" s="83" t="inlineStr">
        <is>
          <t>ABCEFHIL</t>
        </is>
      </c>
      <c r="D418" s="83" t="inlineStr">
        <is>
          <t>3H</t>
        </is>
      </c>
      <c r="E418" s="83" t="inlineStr">
        <is>
          <t>3E</t>
        </is>
      </c>
      <c r="F418" s="83" t="inlineStr">
        <is>
          <t>3B</t>
        </is>
      </c>
      <c r="G418" s="83" t="inlineStr">
        <is>
          <t>3C</t>
        </is>
      </c>
      <c r="H418" s="83" t="inlineStr">
        <is>
          <t>3A</t>
        </is>
      </c>
      <c r="I418" s="83" t="inlineStr">
        <is>
          <t>3F</t>
        </is>
      </c>
      <c r="J418" s="83" t="inlineStr">
        <is>
          <t>3L</t>
        </is>
      </c>
      <c r="K418" s="89" t="inlineStr">
        <is>
          <t>3I</t>
        </is>
      </c>
    </row>
    <row r="419">
      <c r="B419" s="88" t="n">
        <v>414</v>
      </c>
      <c r="C419" s="83" t="inlineStr">
        <is>
          <t>ABCEFHIK</t>
        </is>
      </c>
      <c r="D419" s="83" t="inlineStr">
        <is>
          <t>3H</t>
        </is>
      </c>
      <c r="E419" s="83" t="inlineStr">
        <is>
          <t>3E</t>
        </is>
      </c>
      <c r="F419" s="83" t="inlineStr">
        <is>
          <t>3B</t>
        </is>
      </c>
      <c r="G419" s="83" t="inlineStr">
        <is>
          <t>3C</t>
        </is>
      </c>
      <c r="H419" s="83" t="inlineStr">
        <is>
          <t>3A</t>
        </is>
      </c>
      <c r="I419" s="83" t="inlineStr">
        <is>
          <t>3F</t>
        </is>
      </c>
      <c r="J419" s="83" t="inlineStr">
        <is>
          <t>3I</t>
        </is>
      </c>
      <c r="K419" s="89" t="inlineStr">
        <is>
          <t>3K</t>
        </is>
      </c>
    </row>
    <row r="420">
      <c r="B420" s="88" t="n">
        <v>415</v>
      </c>
      <c r="C420" s="83" t="inlineStr">
        <is>
          <t>ABCEFHIJ</t>
        </is>
      </c>
      <c r="D420" s="83" t="inlineStr">
        <is>
          <t>3H</t>
        </is>
      </c>
      <c r="E420" s="83" t="inlineStr">
        <is>
          <t>3J</t>
        </is>
      </c>
      <c r="F420" s="83" t="inlineStr">
        <is>
          <t>3B</t>
        </is>
      </c>
      <c r="G420" s="83" t="inlineStr">
        <is>
          <t>3C</t>
        </is>
      </c>
      <c r="H420" s="83" t="inlineStr">
        <is>
          <t>3A</t>
        </is>
      </c>
      <c r="I420" s="83" t="inlineStr">
        <is>
          <t>3F</t>
        </is>
      </c>
      <c r="J420" s="83" t="inlineStr">
        <is>
          <t>3E</t>
        </is>
      </c>
      <c r="K420" s="89" t="inlineStr">
        <is>
          <t>3I</t>
        </is>
      </c>
    </row>
    <row r="421">
      <c r="B421" s="88" t="n">
        <v>416</v>
      </c>
      <c r="C421" s="83" t="inlineStr">
        <is>
          <t>ABCEFGKL</t>
        </is>
      </c>
      <c r="D421" s="83" t="inlineStr">
        <is>
          <t>3E</t>
        </is>
      </c>
      <c r="E421" s="83" t="inlineStr">
        <is>
          <t>3G</t>
        </is>
      </c>
      <c r="F421" s="83" t="inlineStr">
        <is>
          <t>3B</t>
        </is>
      </c>
      <c r="G421" s="83" t="inlineStr">
        <is>
          <t>3C</t>
        </is>
      </c>
      <c r="H421" s="83" t="inlineStr">
        <is>
          <t>3A</t>
        </is>
      </c>
      <c r="I421" s="83" t="inlineStr">
        <is>
          <t>3F</t>
        </is>
      </c>
      <c r="J421" s="83" t="inlineStr">
        <is>
          <t>3L</t>
        </is>
      </c>
      <c r="K421" s="89" t="inlineStr">
        <is>
          <t>3K</t>
        </is>
      </c>
    </row>
    <row r="422">
      <c r="B422" s="88" t="n">
        <v>417</v>
      </c>
      <c r="C422" s="83" t="inlineStr">
        <is>
          <t>ABCEFGJL</t>
        </is>
      </c>
      <c r="D422" s="83" t="inlineStr">
        <is>
          <t>3E</t>
        </is>
      </c>
      <c r="E422" s="83" t="inlineStr">
        <is>
          <t>3G</t>
        </is>
      </c>
      <c r="F422" s="83" t="inlineStr">
        <is>
          <t>3B</t>
        </is>
      </c>
      <c r="G422" s="83" t="inlineStr">
        <is>
          <t>3C</t>
        </is>
      </c>
      <c r="H422" s="83" t="inlineStr">
        <is>
          <t>3A</t>
        </is>
      </c>
      <c r="I422" s="83" t="inlineStr">
        <is>
          <t>3F</t>
        </is>
      </c>
      <c r="J422" s="83" t="inlineStr">
        <is>
          <t>3L</t>
        </is>
      </c>
      <c r="K422" s="89" t="inlineStr">
        <is>
          <t>3J</t>
        </is>
      </c>
    </row>
    <row r="423">
      <c r="B423" s="88" t="n">
        <v>418</v>
      </c>
      <c r="C423" s="83" t="inlineStr">
        <is>
          <t>ABCEFGJK</t>
        </is>
      </c>
      <c r="D423" s="83" t="inlineStr">
        <is>
          <t>3E</t>
        </is>
      </c>
      <c r="E423" s="83" t="inlineStr">
        <is>
          <t>3G</t>
        </is>
      </c>
      <c r="F423" s="83" t="inlineStr">
        <is>
          <t>3B</t>
        </is>
      </c>
      <c r="G423" s="83" t="inlineStr">
        <is>
          <t>3C</t>
        </is>
      </c>
      <c r="H423" s="83" t="inlineStr">
        <is>
          <t>3A</t>
        </is>
      </c>
      <c r="I423" s="83" t="inlineStr">
        <is>
          <t>3F</t>
        </is>
      </c>
      <c r="J423" s="83" t="inlineStr">
        <is>
          <t>3J</t>
        </is>
      </c>
      <c r="K423" s="89" t="inlineStr">
        <is>
          <t>3K</t>
        </is>
      </c>
    </row>
    <row r="424">
      <c r="B424" s="88" t="n">
        <v>419</v>
      </c>
      <c r="C424" s="83" t="inlineStr">
        <is>
          <t>ABCEFGIL</t>
        </is>
      </c>
      <c r="D424" s="83" t="inlineStr">
        <is>
          <t>3E</t>
        </is>
      </c>
      <c r="E424" s="83" t="inlineStr">
        <is>
          <t>3G</t>
        </is>
      </c>
      <c r="F424" s="83" t="inlineStr">
        <is>
          <t>3B</t>
        </is>
      </c>
      <c r="G424" s="83" t="inlineStr">
        <is>
          <t>3C</t>
        </is>
      </c>
      <c r="H424" s="83" t="inlineStr">
        <is>
          <t>3A</t>
        </is>
      </c>
      <c r="I424" s="83" t="inlineStr">
        <is>
          <t>3F</t>
        </is>
      </c>
      <c r="J424" s="83" t="inlineStr">
        <is>
          <t>3L</t>
        </is>
      </c>
      <c r="K424" s="89" t="inlineStr">
        <is>
          <t>3I</t>
        </is>
      </c>
    </row>
    <row r="425">
      <c r="B425" s="88" t="n">
        <v>420</v>
      </c>
      <c r="C425" s="83" t="inlineStr">
        <is>
          <t>ABCEFGIK</t>
        </is>
      </c>
      <c r="D425" s="83" t="inlineStr">
        <is>
          <t>3E</t>
        </is>
      </c>
      <c r="E425" s="83" t="inlineStr">
        <is>
          <t>3G</t>
        </is>
      </c>
      <c r="F425" s="83" t="inlineStr">
        <is>
          <t>3B</t>
        </is>
      </c>
      <c r="G425" s="83" t="inlineStr">
        <is>
          <t>3C</t>
        </is>
      </c>
      <c r="H425" s="83" t="inlineStr">
        <is>
          <t>3A</t>
        </is>
      </c>
      <c r="I425" s="83" t="inlineStr">
        <is>
          <t>3F</t>
        </is>
      </c>
      <c r="J425" s="83" t="inlineStr">
        <is>
          <t>3I</t>
        </is>
      </c>
      <c r="K425" s="89" t="inlineStr">
        <is>
          <t>3K</t>
        </is>
      </c>
    </row>
    <row r="426">
      <c r="B426" s="88" t="n">
        <v>421</v>
      </c>
      <c r="C426" s="83" t="inlineStr">
        <is>
          <t>ABCEFGIJ</t>
        </is>
      </c>
      <c r="D426" s="83" t="inlineStr">
        <is>
          <t>3E</t>
        </is>
      </c>
      <c r="E426" s="83" t="inlineStr">
        <is>
          <t>3G</t>
        </is>
      </c>
      <c r="F426" s="83" t="inlineStr">
        <is>
          <t>3B</t>
        </is>
      </c>
      <c r="G426" s="83" t="inlineStr">
        <is>
          <t>3C</t>
        </is>
      </c>
      <c r="H426" s="83" t="inlineStr">
        <is>
          <t>3A</t>
        </is>
      </c>
      <c r="I426" s="83" t="inlineStr">
        <is>
          <t>3F</t>
        </is>
      </c>
      <c r="J426" s="83" t="inlineStr">
        <is>
          <t>3I</t>
        </is>
      </c>
      <c r="K426" s="89" t="inlineStr">
        <is>
          <t>3J</t>
        </is>
      </c>
    </row>
    <row r="427">
      <c r="B427" s="88" t="n">
        <v>422</v>
      </c>
      <c r="C427" s="83" t="inlineStr">
        <is>
          <t>ABCEFGHL</t>
        </is>
      </c>
      <c r="D427" s="83" t="inlineStr">
        <is>
          <t>3H</t>
        </is>
      </c>
      <c r="E427" s="83" t="inlineStr">
        <is>
          <t>3G</t>
        </is>
      </c>
      <c r="F427" s="83" t="inlineStr">
        <is>
          <t>3B</t>
        </is>
      </c>
      <c r="G427" s="83" t="inlineStr">
        <is>
          <t>3C</t>
        </is>
      </c>
      <c r="H427" s="83" t="inlineStr">
        <is>
          <t>3A</t>
        </is>
      </c>
      <c r="I427" s="83" t="inlineStr">
        <is>
          <t>3F</t>
        </is>
      </c>
      <c r="J427" s="83" t="inlineStr">
        <is>
          <t>3L</t>
        </is>
      </c>
      <c r="K427" s="89" t="inlineStr">
        <is>
          <t>3E</t>
        </is>
      </c>
    </row>
    <row r="428">
      <c r="B428" s="88" t="n">
        <v>423</v>
      </c>
      <c r="C428" s="83" t="inlineStr">
        <is>
          <t>ABCEFGHK</t>
        </is>
      </c>
      <c r="D428" s="83" t="inlineStr">
        <is>
          <t>3H</t>
        </is>
      </c>
      <c r="E428" s="83" t="inlineStr">
        <is>
          <t>3G</t>
        </is>
      </c>
      <c r="F428" s="83" t="inlineStr">
        <is>
          <t>3B</t>
        </is>
      </c>
      <c r="G428" s="83" t="inlineStr">
        <is>
          <t>3C</t>
        </is>
      </c>
      <c r="H428" s="83" t="inlineStr">
        <is>
          <t>3A</t>
        </is>
      </c>
      <c r="I428" s="83" t="inlineStr">
        <is>
          <t>3F</t>
        </is>
      </c>
      <c r="J428" s="83" t="inlineStr">
        <is>
          <t>3E</t>
        </is>
      </c>
      <c r="K428" s="89" t="inlineStr">
        <is>
          <t>3K</t>
        </is>
      </c>
    </row>
    <row r="429">
      <c r="B429" s="88" t="n">
        <v>424</v>
      </c>
      <c r="C429" s="83" t="inlineStr">
        <is>
          <t>ABCEFGHJ</t>
        </is>
      </c>
      <c r="D429" s="83" t="inlineStr">
        <is>
          <t>3H</t>
        </is>
      </c>
      <c r="E429" s="83" t="inlineStr">
        <is>
          <t>3G</t>
        </is>
      </c>
      <c r="F429" s="83" t="inlineStr">
        <is>
          <t>3B</t>
        </is>
      </c>
      <c r="G429" s="83" t="inlineStr">
        <is>
          <t>3C</t>
        </is>
      </c>
      <c r="H429" s="83" t="inlineStr">
        <is>
          <t>3A</t>
        </is>
      </c>
      <c r="I429" s="83" t="inlineStr">
        <is>
          <t>3F</t>
        </is>
      </c>
      <c r="J429" s="83" t="inlineStr">
        <is>
          <t>3E</t>
        </is>
      </c>
      <c r="K429" s="89" t="inlineStr">
        <is>
          <t>3J</t>
        </is>
      </c>
    </row>
    <row r="430">
      <c r="B430" s="88" t="n">
        <v>425</v>
      </c>
      <c r="C430" s="83" t="inlineStr">
        <is>
          <t>ABCEFGHI</t>
        </is>
      </c>
      <c r="D430" s="83" t="inlineStr">
        <is>
          <t>3H</t>
        </is>
      </c>
      <c r="E430" s="83" t="inlineStr">
        <is>
          <t>3G</t>
        </is>
      </c>
      <c r="F430" s="83" t="inlineStr">
        <is>
          <t>3B</t>
        </is>
      </c>
      <c r="G430" s="83" t="inlineStr">
        <is>
          <t>3C</t>
        </is>
      </c>
      <c r="H430" s="83" t="inlineStr">
        <is>
          <t>3A</t>
        </is>
      </c>
      <c r="I430" s="83" t="inlineStr">
        <is>
          <t>3F</t>
        </is>
      </c>
      <c r="J430" s="83" t="inlineStr">
        <is>
          <t>3E</t>
        </is>
      </c>
      <c r="K430" s="89" t="inlineStr">
        <is>
          <t>3I</t>
        </is>
      </c>
    </row>
    <row r="431">
      <c r="B431" s="88" t="n">
        <v>426</v>
      </c>
      <c r="C431" s="83" t="inlineStr">
        <is>
          <t>ABCDIJKL</t>
        </is>
      </c>
      <c r="D431" s="83" t="inlineStr">
        <is>
          <t>3I</t>
        </is>
      </c>
      <c r="E431" s="83" t="inlineStr">
        <is>
          <t>3J</t>
        </is>
      </c>
      <c r="F431" s="83" t="inlineStr">
        <is>
          <t>3B</t>
        </is>
      </c>
      <c r="G431" s="83" t="inlineStr">
        <is>
          <t>3C</t>
        </is>
      </c>
      <c r="H431" s="83" t="inlineStr">
        <is>
          <t>3A</t>
        </is>
      </c>
      <c r="I431" s="83" t="inlineStr">
        <is>
          <t>3D</t>
        </is>
      </c>
      <c r="J431" s="83" t="inlineStr">
        <is>
          <t>3L</t>
        </is>
      </c>
      <c r="K431" s="89" t="inlineStr">
        <is>
          <t>3K</t>
        </is>
      </c>
    </row>
    <row r="432">
      <c r="B432" s="88" t="n">
        <v>427</v>
      </c>
      <c r="C432" s="83" t="inlineStr">
        <is>
          <t>ABCDHJKL</t>
        </is>
      </c>
      <c r="D432" s="83" t="inlineStr">
        <is>
          <t>3H</t>
        </is>
      </c>
      <c r="E432" s="83" t="inlineStr">
        <is>
          <t>3J</t>
        </is>
      </c>
      <c r="F432" s="83" t="inlineStr">
        <is>
          <t>3B</t>
        </is>
      </c>
      <c r="G432" s="83" t="inlineStr">
        <is>
          <t>3C</t>
        </is>
      </c>
      <c r="H432" s="83" t="inlineStr">
        <is>
          <t>3A</t>
        </is>
      </c>
      <c r="I432" s="83" t="inlineStr">
        <is>
          <t>3D</t>
        </is>
      </c>
      <c r="J432" s="83" t="inlineStr">
        <is>
          <t>3L</t>
        </is>
      </c>
      <c r="K432" s="89" t="inlineStr">
        <is>
          <t>3K</t>
        </is>
      </c>
    </row>
    <row r="433">
      <c r="B433" s="88" t="n">
        <v>428</v>
      </c>
      <c r="C433" s="83" t="inlineStr">
        <is>
          <t>ABCDHIKL</t>
        </is>
      </c>
      <c r="D433" s="83" t="inlineStr">
        <is>
          <t>3H</t>
        </is>
      </c>
      <c r="E433" s="83" t="inlineStr">
        <is>
          <t>3I</t>
        </is>
      </c>
      <c r="F433" s="83" t="inlineStr">
        <is>
          <t>3B</t>
        </is>
      </c>
      <c r="G433" s="83" t="inlineStr">
        <is>
          <t>3C</t>
        </is>
      </c>
      <c r="H433" s="83" t="inlineStr">
        <is>
          <t>3A</t>
        </is>
      </c>
      <c r="I433" s="83" t="inlineStr">
        <is>
          <t>3D</t>
        </is>
      </c>
      <c r="J433" s="83" t="inlineStr">
        <is>
          <t>3L</t>
        </is>
      </c>
      <c r="K433" s="89" t="inlineStr">
        <is>
          <t>3K</t>
        </is>
      </c>
    </row>
    <row r="434">
      <c r="B434" s="88" t="n">
        <v>429</v>
      </c>
      <c r="C434" s="83" t="inlineStr">
        <is>
          <t>ABCDHIJL</t>
        </is>
      </c>
      <c r="D434" s="83" t="inlineStr">
        <is>
          <t>3H</t>
        </is>
      </c>
      <c r="E434" s="83" t="inlineStr">
        <is>
          <t>3J</t>
        </is>
      </c>
      <c r="F434" s="83" t="inlineStr">
        <is>
          <t>3B</t>
        </is>
      </c>
      <c r="G434" s="83" t="inlineStr">
        <is>
          <t>3C</t>
        </is>
      </c>
      <c r="H434" s="83" t="inlineStr">
        <is>
          <t>3A</t>
        </is>
      </c>
      <c r="I434" s="83" t="inlineStr">
        <is>
          <t>3D</t>
        </is>
      </c>
      <c r="J434" s="83" t="inlineStr">
        <is>
          <t>3L</t>
        </is>
      </c>
      <c r="K434" s="89" t="inlineStr">
        <is>
          <t>3I</t>
        </is>
      </c>
    </row>
    <row r="435">
      <c r="B435" s="88" t="n">
        <v>430</v>
      </c>
      <c r="C435" s="83" t="inlineStr">
        <is>
          <t>ABCDHIJK</t>
        </is>
      </c>
      <c r="D435" s="83" t="inlineStr">
        <is>
          <t>3H</t>
        </is>
      </c>
      <c r="E435" s="83" t="inlineStr">
        <is>
          <t>3J</t>
        </is>
      </c>
      <c r="F435" s="83" t="inlineStr">
        <is>
          <t>3B</t>
        </is>
      </c>
      <c r="G435" s="83" t="inlineStr">
        <is>
          <t>3C</t>
        </is>
      </c>
      <c r="H435" s="83" t="inlineStr">
        <is>
          <t>3A</t>
        </is>
      </c>
      <c r="I435" s="83" t="inlineStr">
        <is>
          <t>3D</t>
        </is>
      </c>
      <c r="J435" s="83" t="inlineStr">
        <is>
          <t>3I</t>
        </is>
      </c>
      <c r="K435" s="89" t="inlineStr">
        <is>
          <t>3K</t>
        </is>
      </c>
    </row>
    <row r="436">
      <c r="B436" s="88" t="n">
        <v>431</v>
      </c>
      <c r="C436" s="83" t="inlineStr">
        <is>
          <t>ABCDGJKL</t>
        </is>
      </c>
      <c r="D436" s="83" t="inlineStr">
        <is>
          <t>3C</t>
        </is>
      </c>
      <c r="E436" s="83" t="inlineStr">
        <is>
          <t>3J</t>
        </is>
      </c>
      <c r="F436" s="83" t="inlineStr">
        <is>
          <t>3B</t>
        </is>
      </c>
      <c r="G436" s="83" t="inlineStr">
        <is>
          <t>3D</t>
        </is>
      </c>
      <c r="H436" s="83" t="inlineStr">
        <is>
          <t>3A</t>
        </is>
      </c>
      <c r="I436" s="83" t="inlineStr">
        <is>
          <t>3G</t>
        </is>
      </c>
      <c r="J436" s="83" t="inlineStr">
        <is>
          <t>3L</t>
        </is>
      </c>
      <c r="K436" s="89" t="inlineStr">
        <is>
          <t>3K</t>
        </is>
      </c>
    </row>
    <row r="437">
      <c r="B437" s="88" t="n">
        <v>432</v>
      </c>
      <c r="C437" s="83" t="inlineStr">
        <is>
          <t>ABCDGIKL</t>
        </is>
      </c>
      <c r="D437" s="83" t="inlineStr">
        <is>
          <t>3I</t>
        </is>
      </c>
      <c r="E437" s="83" t="inlineStr">
        <is>
          <t>3G</t>
        </is>
      </c>
      <c r="F437" s="83" t="inlineStr">
        <is>
          <t>3B</t>
        </is>
      </c>
      <c r="G437" s="83" t="inlineStr">
        <is>
          <t>3C</t>
        </is>
      </c>
      <c r="H437" s="83" t="inlineStr">
        <is>
          <t>3A</t>
        </is>
      </c>
      <c r="I437" s="83" t="inlineStr">
        <is>
          <t>3D</t>
        </is>
      </c>
      <c r="J437" s="83" t="inlineStr">
        <is>
          <t>3L</t>
        </is>
      </c>
      <c r="K437" s="89" t="inlineStr">
        <is>
          <t>3K</t>
        </is>
      </c>
    </row>
    <row r="438">
      <c r="B438" s="88" t="n">
        <v>433</v>
      </c>
      <c r="C438" s="83" t="inlineStr">
        <is>
          <t>ABCDGIJL</t>
        </is>
      </c>
      <c r="D438" s="83" t="inlineStr">
        <is>
          <t>3C</t>
        </is>
      </c>
      <c r="E438" s="83" t="inlineStr">
        <is>
          <t>3J</t>
        </is>
      </c>
      <c r="F438" s="83" t="inlineStr">
        <is>
          <t>3B</t>
        </is>
      </c>
      <c r="G438" s="83" t="inlineStr">
        <is>
          <t>3D</t>
        </is>
      </c>
      <c r="H438" s="83" t="inlineStr">
        <is>
          <t>3A</t>
        </is>
      </c>
      <c r="I438" s="83" t="inlineStr">
        <is>
          <t>3G</t>
        </is>
      </c>
      <c r="J438" s="83" t="inlineStr">
        <is>
          <t>3L</t>
        </is>
      </c>
      <c r="K438" s="89" t="inlineStr">
        <is>
          <t>3I</t>
        </is>
      </c>
    </row>
    <row r="439">
      <c r="B439" s="88" t="n">
        <v>434</v>
      </c>
      <c r="C439" s="83" t="inlineStr">
        <is>
          <t>ABCDGIJK</t>
        </is>
      </c>
      <c r="D439" s="83" t="inlineStr">
        <is>
          <t>3C</t>
        </is>
      </c>
      <c r="E439" s="83" t="inlineStr">
        <is>
          <t>3J</t>
        </is>
      </c>
      <c r="F439" s="83" t="inlineStr">
        <is>
          <t>3B</t>
        </is>
      </c>
      <c r="G439" s="83" t="inlineStr">
        <is>
          <t>3D</t>
        </is>
      </c>
      <c r="H439" s="83" t="inlineStr">
        <is>
          <t>3A</t>
        </is>
      </c>
      <c r="I439" s="83" t="inlineStr">
        <is>
          <t>3G</t>
        </is>
      </c>
      <c r="J439" s="83" t="inlineStr">
        <is>
          <t>3I</t>
        </is>
      </c>
      <c r="K439" s="89" t="inlineStr">
        <is>
          <t>3K</t>
        </is>
      </c>
    </row>
    <row r="440">
      <c r="B440" s="88" t="n">
        <v>435</v>
      </c>
      <c r="C440" s="83" t="inlineStr">
        <is>
          <t>ABCDGHKL</t>
        </is>
      </c>
      <c r="D440" s="83" t="inlineStr">
        <is>
          <t>3H</t>
        </is>
      </c>
      <c r="E440" s="83" t="inlineStr">
        <is>
          <t>3G</t>
        </is>
      </c>
      <c r="F440" s="83" t="inlineStr">
        <is>
          <t>3B</t>
        </is>
      </c>
      <c r="G440" s="83" t="inlineStr">
        <is>
          <t>3C</t>
        </is>
      </c>
      <c r="H440" s="83" t="inlineStr">
        <is>
          <t>3A</t>
        </is>
      </c>
      <c r="I440" s="83" t="inlineStr">
        <is>
          <t>3D</t>
        </is>
      </c>
      <c r="J440" s="83" t="inlineStr">
        <is>
          <t>3L</t>
        </is>
      </c>
      <c r="K440" s="89" t="inlineStr">
        <is>
          <t>3K</t>
        </is>
      </c>
    </row>
    <row r="441">
      <c r="B441" s="88" t="n">
        <v>436</v>
      </c>
      <c r="C441" s="83" t="inlineStr">
        <is>
          <t>ABCDGHJL</t>
        </is>
      </c>
      <c r="D441" s="83" t="inlineStr">
        <is>
          <t>3H</t>
        </is>
      </c>
      <c r="E441" s="83" t="inlineStr">
        <is>
          <t>3G</t>
        </is>
      </c>
      <c r="F441" s="83" t="inlineStr">
        <is>
          <t>3B</t>
        </is>
      </c>
      <c r="G441" s="83" t="inlineStr">
        <is>
          <t>3C</t>
        </is>
      </c>
      <c r="H441" s="83" t="inlineStr">
        <is>
          <t>3A</t>
        </is>
      </c>
      <c r="I441" s="83" t="inlineStr">
        <is>
          <t>3D</t>
        </is>
      </c>
      <c r="J441" s="83" t="inlineStr">
        <is>
          <t>3L</t>
        </is>
      </c>
      <c r="K441" s="89" t="inlineStr">
        <is>
          <t>3J</t>
        </is>
      </c>
    </row>
    <row r="442">
      <c r="B442" s="88" t="n">
        <v>437</v>
      </c>
      <c r="C442" s="83" t="inlineStr">
        <is>
          <t>ABCDGHJK</t>
        </is>
      </c>
      <c r="D442" s="83" t="inlineStr">
        <is>
          <t>3H</t>
        </is>
      </c>
      <c r="E442" s="83" t="inlineStr">
        <is>
          <t>3G</t>
        </is>
      </c>
      <c r="F442" s="83" t="inlineStr">
        <is>
          <t>3B</t>
        </is>
      </c>
      <c r="G442" s="83" t="inlineStr">
        <is>
          <t>3C</t>
        </is>
      </c>
      <c r="H442" s="83" t="inlineStr">
        <is>
          <t>3A</t>
        </is>
      </c>
      <c r="I442" s="83" t="inlineStr">
        <is>
          <t>3D</t>
        </is>
      </c>
      <c r="J442" s="83" t="inlineStr">
        <is>
          <t>3J</t>
        </is>
      </c>
      <c r="K442" s="89" t="inlineStr">
        <is>
          <t>3K</t>
        </is>
      </c>
    </row>
    <row r="443">
      <c r="B443" s="88" t="n">
        <v>438</v>
      </c>
      <c r="C443" s="83" t="inlineStr">
        <is>
          <t>ABCDGHIL</t>
        </is>
      </c>
      <c r="D443" s="83" t="inlineStr">
        <is>
          <t>3H</t>
        </is>
      </c>
      <c r="E443" s="83" t="inlineStr">
        <is>
          <t>3G</t>
        </is>
      </c>
      <c r="F443" s="83" t="inlineStr">
        <is>
          <t>3B</t>
        </is>
      </c>
      <c r="G443" s="83" t="inlineStr">
        <is>
          <t>3C</t>
        </is>
      </c>
      <c r="H443" s="83" t="inlineStr">
        <is>
          <t>3A</t>
        </is>
      </c>
      <c r="I443" s="83" t="inlineStr">
        <is>
          <t>3D</t>
        </is>
      </c>
      <c r="J443" s="83" t="inlineStr">
        <is>
          <t>3L</t>
        </is>
      </c>
      <c r="K443" s="89" t="inlineStr">
        <is>
          <t>3I</t>
        </is>
      </c>
    </row>
    <row r="444">
      <c r="B444" s="88" t="n">
        <v>439</v>
      </c>
      <c r="C444" s="83" t="inlineStr">
        <is>
          <t>ABCDGHIK</t>
        </is>
      </c>
      <c r="D444" s="83" t="inlineStr">
        <is>
          <t>3H</t>
        </is>
      </c>
      <c r="E444" s="83" t="inlineStr">
        <is>
          <t>3G</t>
        </is>
      </c>
      <c r="F444" s="83" t="inlineStr">
        <is>
          <t>3B</t>
        </is>
      </c>
      <c r="G444" s="83" t="inlineStr">
        <is>
          <t>3C</t>
        </is>
      </c>
      <c r="H444" s="83" t="inlineStr">
        <is>
          <t>3A</t>
        </is>
      </c>
      <c r="I444" s="83" t="inlineStr">
        <is>
          <t>3D</t>
        </is>
      </c>
      <c r="J444" s="83" t="inlineStr">
        <is>
          <t>3I</t>
        </is>
      </c>
      <c r="K444" s="89" t="inlineStr">
        <is>
          <t>3K</t>
        </is>
      </c>
    </row>
    <row r="445">
      <c r="B445" s="88" t="n">
        <v>440</v>
      </c>
      <c r="C445" s="83" t="inlineStr">
        <is>
          <t>ABCDGHIJ</t>
        </is>
      </c>
      <c r="D445" s="83" t="inlineStr">
        <is>
          <t>3H</t>
        </is>
      </c>
      <c r="E445" s="83" t="inlineStr">
        <is>
          <t>3G</t>
        </is>
      </c>
      <c r="F445" s="83" t="inlineStr">
        <is>
          <t>3B</t>
        </is>
      </c>
      <c r="G445" s="83" t="inlineStr">
        <is>
          <t>3C</t>
        </is>
      </c>
      <c r="H445" s="83" t="inlineStr">
        <is>
          <t>3A</t>
        </is>
      </c>
      <c r="I445" s="83" t="inlineStr">
        <is>
          <t>3D</t>
        </is>
      </c>
      <c r="J445" s="83" t="inlineStr">
        <is>
          <t>3I</t>
        </is>
      </c>
      <c r="K445" s="89" t="inlineStr">
        <is>
          <t>3J</t>
        </is>
      </c>
    </row>
    <row r="446">
      <c r="B446" s="88" t="n">
        <v>441</v>
      </c>
      <c r="C446" s="83" t="inlineStr">
        <is>
          <t>ABCDFJKL</t>
        </is>
      </c>
      <c r="D446" s="83" t="inlineStr">
        <is>
          <t>3C</t>
        </is>
      </c>
      <c r="E446" s="83" t="inlineStr">
        <is>
          <t>3J</t>
        </is>
      </c>
      <c r="F446" s="83" t="inlineStr">
        <is>
          <t>3B</t>
        </is>
      </c>
      <c r="G446" s="83" t="inlineStr">
        <is>
          <t>3D</t>
        </is>
      </c>
      <c r="H446" s="83" t="inlineStr">
        <is>
          <t>3A</t>
        </is>
      </c>
      <c r="I446" s="83" t="inlineStr">
        <is>
          <t>3F</t>
        </is>
      </c>
      <c r="J446" s="83" t="inlineStr">
        <is>
          <t>3L</t>
        </is>
      </c>
      <c r="K446" s="89" t="inlineStr">
        <is>
          <t>3K</t>
        </is>
      </c>
    </row>
    <row r="447">
      <c r="B447" s="88" t="n">
        <v>442</v>
      </c>
      <c r="C447" s="83" t="inlineStr">
        <is>
          <t>ABCDFIKL</t>
        </is>
      </c>
      <c r="D447" s="83" t="inlineStr">
        <is>
          <t>3C</t>
        </is>
      </c>
      <c r="E447" s="83" t="inlineStr">
        <is>
          <t>3I</t>
        </is>
      </c>
      <c r="F447" s="83" t="inlineStr">
        <is>
          <t>3B</t>
        </is>
      </c>
      <c r="G447" s="83" t="inlineStr">
        <is>
          <t>3D</t>
        </is>
      </c>
      <c r="H447" s="83" t="inlineStr">
        <is>
          <t>3A</t>
        </is>
      </c>
      <c r="I447" s="83" t="inlineStr">
        <is>
          <t>3F</t>
        </is>
      </c>
      <c r="J447" s="83" t="inlineStr">
        <is>
          <t>3L</t>
        </is>
      </c>
      <c r="K447" s="89" t="inlineStr">
        <is>
          <t>3K</t>
        </is>
      </c>
    </row>
    <row r="448">
      <c r="B448" s="88" t="n">
        <v>443</v>
      </c>
      <c r="C448" s="83" t="inlineStr">
        <is>
          <t>ABCDFIJL</t>
        </is>
      </c>
      <c r="D448" s="83" t="inlineStr">
        <is>
          <t>3C</t>
        </is>
      </c>
      <c r="E448" s="83" t="inlineStr">
        <is>
          <t>3J</t>
        </is>
      </c>
      <c r="F448" s="83" t="inlineStr">
        <is>
          <t>3B</t>
        </is>
      </c>
      <c r="G448" s="83" t="inlineStr">
        <is>
          <t>3D</t>
        </is>
      </c>
      <c r="H448" s="83" t="inlineStr">
        <is>
          <t>3A</t>
        </is>
      </c>
      <c r="I448" s="83" t="inlineStr">
        <is>
          <t>3F</t>
        </is>
      </c>
      <c r="J448" s="83" t="inlineStr">
        <is>
          <t>3L</t>
        </is>
      </c>
      <c r="K448" s="89" t="inlineStr">
        <is>
          <t>3I</t>
        </is>
      </c>
    </row>
    <row r="449">
      <c r="B449" s="88" t="n">
        <v>444</v>
      </c>
      <c r="C449" s="83" t="inlineStr">
        <is>
          <t>ABCDFIJK</t>
        </is>
      </c>
      <c r="D449" s="83" t="inlineStr">
        <is>
          <t>3C</t>
        </is>
      </c>
      <c r="E449" s="83" t="inlineStr">
        <is>
          <t>3J</t>
        </is>
      </c>
      <c r="F449" s="83" t="inlineStr">
        <is>
          <t>3B</t>
        </is>
      </c>
      <c r="G449" s="83" t="inlineStr">
        <is>
          <t>3D</t>
        </is>
      </c>
      <c r="H449" s="83" t="inlineStr">
        <is>
          <t>3A</t>
        </is>
      </c>
      <c r="I449" s="83" t="inlineStr">
        <is>
          <t>3F</t>
        </is>
      </c>
      <c r="J449" s="83" t="inlineStr">
        <is>
          <t>3I</t>
        </is>
      </c>
      <c r="K449" s="89" t="inlineStr">
        <is>
          <t>3K</t>
        </is>
      </c>
    </row>
    <row r="450">
      <c r="B450" s="88" t="n">
        <v>445</v>
      </c>
      <c r="C450" s="83" t="inlineStr">
        <is>
          <t>ABCDFHKL</t>
        </is>
      </c>
      <c r="D450" s="83" t="inlineStr">
        <is>
          <t>3H</t>
        </is>
      </c>
      <c r="E450" s="83" t="inlineStr">
        <is>
          <t>3F</t>
        </is>
      </c>
      <c r="F450" s="83" t="inlineStr">
        <is>
          <t>3B</t>
        </is>
      </c>
      <c r="G450" s="83" t="inlineStr">
        <is>
          <t>3C</t>
        </is>
      </c>
      <c r="H450" s="83" t="inlineStr">
        <is>
          <t>3A</t>
        </is>
      </c>
      <c r="I450" s="83" t="inlineStr">
        <is>
          <t>3D</t>
        </is>
      </c>
      <c r="J450" s="83" t="inlineStr">
        <is>
          <t>3L</t>
        </is>
      </c>
      <c r="K450" s="89" t="inlineStr">
        <is>
          <t>3K</t>
        </is>
      </c>
    </row>
    <row r="451">
      <c r="B451" s="88" t="n">
        <v>446</v>
      </c>
      <c r="C451" s="83" t="inlineStr">
        <is>
          <t>ABCDFHJL</t>
        </is>
      </c>
      <c r="D451" s="83" t="inlineStr">
        <is>
          <t>3C</t>
        </is>
      </c>
      <c r="E451" s="83" t="inlineStr">
        <is>
          <t>3J</t>
        </is>
      </c>
      <c r="F451" s="83" t="inlineStr">
        <is>
          <t>3B</t>
        </is>
      </c>
      <c r="G451" s="83" t="inlineStr">
        <is>
          <t>3D</t>
        </is>
      </c>
      <c r="H451" s="83" t="inlineStr">
        <is>
          <t>3A</t>
        </is>
      </c>
      <c r="I451" s="83" t="inlineStr">
        <is>
          <t>3F</t>
        </is>
      </c>
      <c r="J451" s="83" t="inlineStr">
        <is>
          <t>3L</t>
        </is>
      </c>
      <c r="K451" s="89" t="inlineStr">
        <is>
          <t>3H</t>
        </is>
      </c>
    </row>
    <row r="452">
      <c r="B452" s="88" t="n">
        <v>447</v>
      </c>
      <c r="C452" s="83" t="inlineStr">
        <is>
          <t>ABCDFHJK</t>
        </is>
      </c>
      <c r="D452" s="83" t="inlineStr">
        <is>
          <t>3H</t>
        </is>
      </c>
      <c r="E452" s="83" t="inlineStr">
        <is>
          <t>3J</t>
        </is>
      </c>
      <c r="F452" s="83" t="inlineStr">
        <is>
          <t>3B</t>
        </is>
      </c>
      <c r="G452" s="83" t="inlineStr">
        <is>
          <t>3C</t>
        </is>
      </c>
      <c r="H452" s="83" t="inlineStr">
        <is>
          <t>3A</t>
        </is>
      </c>
      <c r="I452" s="83" t="inlineStr">
        <is>
          <t>3F</t>
        </is>
      </c>
      <c r="J452" s="83" t="inlineStr">
        <is>
          <t>3D</t>
        </is>
      </c>
      <c r="K452" s="89" t="inlineStr">
        <is>
          <t>3K</t>
        </is>
      </c>
    </row>
    <row r="453">
      <c r="B453" s="88" t="n">
        <v>448</v>
      </c>
      <c r="C453" s="83" t="inlineStr">
        <is>
          <t>ABCDFHIL</t>
        </is>
      </c>
      <c r="D453" s="83" t="inlineStr">
        <is>
          <t>3H</t>
        </is>
      </c>
      <c r="E453" s="83" t="inlineStr">
        <is>
          <t>3F</t>
        </is>
      </c>
      <c r="F453" s="83" t="inlineStr">
        <is>
          <t>3B</t>
        </is>
      </c>
      <c r="G453" s="83" t="inlineStr">
        <is>
          <t>3C</t>
        </is>
      </c>
      <c r="H453" s="83" t="inlineStr">
        <is>
          <t>3A</t>
        </is>
      </c>
      <c r="I453" s="83" t="inlineStr">
        <is>
          <t>3D</t>
        </is>
      </c>
      <c r="J453" s="83" t="inlineStr">
        <is>
          <t>3L</t>
        </is>
      </c>
      <c r="K453" s="89" t="inlineStr">
        <is>
          <t>3I</t>
        </is>
      </c>
    </row>
    <row r="454">
      <c r="B454" s="88" t="n">
        <v>449</v>
      </c>
      <c r="C454" s="83" t="inlineStr">
        <is>
          <t>ABCDFHIK</t>
        </is>
      </c>
      <c r="D454" s="83" t="inlineStr">
        <is>
          <t>3H</t>
        </is>
      </c>
      <c r="E454" s="83" t="inlineStr">
        <is>
          <t>3F</t>
        </is>
      </c>
      <c r="F454" s="83" t="inlineStr">
        <is>
          <t>3B</t>
        </is>
      </c>
      <c r="G454" s="83" t="inlineStr">
        <is>
          <t>3C</t>
        </is>
      </c>
      <c r="H454" s="83" t="inlineStr">
        <is>
          <t>3A</t>
        </is>
      </c>
      <c r="I454" s="83" t="inlineStr">
        <is>
          <t>3D</t>
        </is>
      </c>
      <c r="J454" s="83" t="inlineStr">
        <is>
          <t>3I</t>
        </is>
      </c>
      <c r="K454" s="89" t="inlineStr">
        <is>
          <t>3K</t>
        </is>
      </c>
    </row>
    <row r="455">
      <c r="B455" s="88" t="n">
        <v>450</v>
      </c>
      <c r="C455" s="83" t="inlineStr">
        <is>
          <t>ABCDFHIJ</t>
        </is>
      </c>
      <c r="D455" s="83" t="inlineStr">
        <is>
          <t>3H</t>
        </is>
      </c>
      <c r="E455" s="83" t="inlineStr">
        <is>
          <t>3J</t>
        </is>
      </c>
      <c r="F455" s="83" t="inlineStr">
        <is>
          <t>3B</t>
        </is>
      </c>
      <c r="G455" s="83" t="inlineStr">
        <is>
          <t>3C</t>
        </is>
      </c>
      <c r="H455" s="83" t="inlineStr">
        <is>
          <t>3A</t>
        </is>
      </c>
      <c r="I455" s="83" t="inlineStr">
        <is>
          <t>3F</t>
        </is>
      </c>
      <c r="J455" s="83" t="inlineStr">
        <is>
          <t>3D</t>
        </is>
      </c>
      <c r="K455" s="89" t="inlineStr">
        <is>
          <t>3I</t>
        </is>
      </c>
    </row>
    <row r="456">
      <c r="B456" s="88" t="n">
        <v>451</v>
      </c>
      <c r="C456" s="83" t="inlineStr">
        <is>
          <t>ABCDFGKL</t>
        </is>
      </c>
      <c r="D456" s="83" t="inlineStr">
        <is>
          <t>3C</t>
        </is>
      </c>
      <c r="E456" s="83" t="inlineStr">
        <is>
          <t>3G</t>
        </is>
      </c>
      <c r="F456" s="83" t="inlineStr">
        <is>
          <t>3B</t>
        </is>
      </c>
      <c r="G456" s="83" t="inlineStr">
        <is>
          <t>3D</t>
        </is>
      </c>
      <c r="H456" s="83" t="inlineStr">
        <is>
          <t>3A</t>
        </is>
      </c>
      <c r="I456" s="83" t="inlineStr">
        <is>
          <t>3F</t>
        </is>
      </c>
      <c r="J456" s="83" t="inlineStr">
        <is>
          <t>3L</t>
        </is>
      </c>
      <c r="K456" s="89" t="inlineStr">
        <is>
          <t>3K</t>
        </is>
      </c>
    </row>
    <row r="457">
      <c r="B457" s="88" t="n">
        <v>452</v>
      </c>
      <c r="C457" s="83" t="inlineStr">
        <is>
          <t>ABCDFGJL</t>
        </is>
      </c>
      <c r="D457" s="83" t="inlineStr">
        <is>
          <t>3C</t>
        </is>
      </c>
      <c r="E457" s="83" t="inlineStr">
        <is>
          <t>3G</t>
        </is>
      </c>
      <c r="F457" s="83" t="inlineStr">
        <is>
          <t>3B</t>
        </is>
      </c>
      <c r="G457" s="83" t="inlineStr">
        <is>
          <t>3D</t>
        </is>
      </c>
      <c r="H457" s="83" t="inlineStr">
        <is>
          <t>3A</t>
        </is>
      </c>
      <c r="I457" s="83" t="inlineStr">
        <is>
          <t>3F</t>
        </is>
      </c>
      <c r="J457" s="83" t="inlineStr">
        <is>
          <t>3L</t>
        </is>
      </c>
      <c r="K457" s="89" t="inlineStr">
        <is>
          <t>3J</t>
        </is>
      </c>
    </row>
    <row r="458">
      <c r="B458" s="88" t="n">
        <v>453</v>
      </c>
      <c r="C458" s="83" t="inlineStr">
        <is>
          <t>ABCDFGJK</t>
        </is>
      </c>
      <c r="D458" s="83" t="inlineStr">
        <is>
          <t>3C</t>
        </is>
      </c>
      <c r="E458" s="83" t="inlineStr">
        <is>
          <t>3G</t>
        </is>
      </c>
      <c r="F458" s="83" t="inlineStr">
        <is>
          <t>3B</t>
        </is>
      </c>
      <c r="G458" s="83" t="inlineStr">
        <is>
          <t>3D</t>
        </is>
      </c>
      <c r="H458" s="83" t="inlineStr">
        <is>
          <t>3A</t>
        </is>
      </c>
      <c r="I458" s="83" t="inlineStr">
        <is>
          <t>3F</t>
        </is>
      </c>
      <c r="J458" s="83" t="inlineStr">
        <is>
          <t>3J</t>
        </is>
      </c>
      <c r="K458" s="89" t="inlineStr">
        <is>
          <t>3K</t>
        </is>
      </c>
    </row>
    <row r="459">
      <c r="B459" s="88" t="n">
        <v>454</v>
      </c>
      <c r="C459" s="83" t="inlineStr">
        <is>
          <t>ABCDFGIL</t>
        </is>
      </c>
      <c r="D459" s="83" t="inlineStr">
        <is>
          <t>3C</t>
        </is>
      </c>
      <c r="E459" s="83" t="inlineStr">
        <is>
          <t>3G</t>
        </is>
      </c>
      <c r="F459" s="83" t="inlineStr">
        <is>
          <t>3B</t>
        </is>
      </c>
      <c r="G459" s="83" t="inlineStr">
        <is>
          <t>3D</t>
        </is>
      </c>
      <c r="H459" s="83" t="inlineStr">
        <is>
          <t>3A</t>
        </is>
      </c>
      <c r="I459" s="83" t="inlineStr">
        <is>
          <t>3F</t>
        </is>
      </c>
      <c r="J459" s="83" t="inlineStr">
        <is>
          <t>3L</t>
        </is>
      </c>
      <c r="K459" s="89" t="inlineStr">
        <is>
          <t>3I</t>
        </is>
      </c>
    </row>
    <row r="460">
      <c r="B460" s="88" t="n">
        <v>455</v>
      </c>
      <c r="C460" s="83" t="inlineStr">
        <is>
          <t>ABCDFGIK</t>
        </is>
      </c>
      <c r="D460" s="83" t="inlineStr">
        <is>
          <t>3C</t>
        </is>
      </c>
      <c r="E460" s="83" t="inlineStr">
        <is>
          <t>3G</t>
        </is>
      </c>
      <c r="F460" s="83" t="inlineStr">
        <is>
          <t>3B</t>
        </is>
      </c>
      <c r="G460" s="83" t="inlineStr">
        <is>
          <t>3D</t>
        </is>
      </c>
      <c r="H460" s="83" t="inlineStr">
        <is>
          <t>3A</t>
        </is>
      </c>
      <c r="I460" s="83" t="inlineStr">
        <is>
          <t>3F</t>
        </is>
      </c>
      <c r="J460" s="83" t="inlineStr">
        <is>
          <t>3I</t>
        </is>
      </c>
      <c r="K460" s="89" t="inlineStr">
        <is>
          <t>3K</t>
        </is>
      </c>
    </row>
    <row r="461">
      <c r="B461" s="88" t="n">
        <v>456</v>
      </c>
      <c r="C461" s="83" t="inlineStr">
        <is>
          <t>ABCDFGIJ</t>
        </is>
      </c>
      <c r="D461" s="83" t="inlineStr">
        <is>
          <t>3C</t>
        </is>
      </c>
      <c r="E461" s="83" t="inlineStr">
        <is>
          <t>3G</t>
        </is>
      </c>
      <c r="F461" s="83" t="inlineStr">
        <is>
          <t>3B</t>
        </is>
      </c>
      <c r="G461" s="83" t="inlineStr">
        <is>
          <t>3D</t>
        </is>
      </c>
      <c r="H461" s="83" t="inlineStr">
        <is>
          <t>3A</t>
        </is>
      </c>
      <c r="I461" s="83" t="inlineStr">
        <is>
          <t>3F</t>
        </is>
      </c>
      <c r="J461" s="83" t="inlineStr">
        <is>
          <t>3I</t>
        </is>
      </c>
      <c r="K461" s="89" t="inlineStr">
        <is>
          <t>3J</t>
        </is>
      </c>
    </row>
    <row r="462">
      <c r="B462" s="88" t="n">
        <v>457</v>
      </c>
      <c r="C462" s="83" t="inlineStr">
        <is>
          <t>ABCDFGHL</t>
        </is>
      </c>
      <c r="D462" s="83" t="inlineStr">
        <is>
          <t>3C</t>
        </is>
      </c>
      <c r="E462" s="83" t="inlineStr">
        <is>
          <t>3G</t>
        </is>
      </c>
      <c r="F462" s="83" t="inlineStr">
        <is>
          <t>3B</t>
        </is>
      </c>
      <c r="G462" s="83" t="inlineStr">
        <is>
          <t>3D</t>
        </is>
      </c>
      <c r="H462" s="83" t="inlineStr">
        <is>
          <t>3A</t>
        </is>
      </c>
      <c r="I462" s="83" t="inlineStr">
        <is>
          <t>3F</t>
        </is>
      </c>
      <c r="J462" s="83" t="inlineStr">
        <is>
          <t>3L</t>
        </is>
      </c>
      <c r="K462" s="89" t="inlineStr">
        <is>
          <t>3H</t>
        </is>
      </c>
    </row>
    <row r="463">
      <c r="B463" s="88" t="n">
        <v>458</v>
      </c>
      <c r="C463" s="83" t="inlineStr">
        <is>
          <t>ABCDFGHK</t>
        </is>
      </c>
      <c r="D463" s="83" t="inlineStr">
        <is>
          <t>3H</t>
        </is>
      </c>
      <c r="E463" s="83" t="inlineStr">
        <is>
          <t>3G</t>
        </is>
      </c>
      <c r="F463" s="83" t="inlineStr">
        <is>
          <t>3B</t>
        </is>
      </c>
      <c r="G463" s="83" t="inlineStr">
        <is>
          <t>3C</t>
        </is>
      </c>
      <c r="H463" s="83" t="inlineStr">
        <is>
          <t>3A</t>
        </is>
      </c>
      <c r="I463" s="83" t="inlineStr">
        <is>
          <t>3F</t>
        </is>
      </c>
      <c r="J463" s="83" t="inlineStr">
        <is>
          <t>3D</t>
        </is>
      </c>
      <c r="K463" s="89" t="inlineStr">
        <is>
          <t>3K</t>
        </is>
      </c>
    </row>
    <row r="464">
      <c r="B464" s="88" t="n">
        <v>459</v>
      </c>
      <c r="C464" s="83" t="inlineStr">
        <is>
          <t>ABCDFGHJ</t>
        </is>
      </c>
      <c r="D464" s="83" t="inlineStr">
        <is>
          <t>3H</t>
        </is>
      </c>
      <c r="E464" s="83" t="inlineStr">
        <is>
          <t>3G</t>
        </is>
      </c>
      <c r="F464" s="83" t="inlineStr">
        <is>
          <t>3B</t>
        </is>
      </c>
      <c r="G464" s="83" t="inlineStr">
        <is>
          <t>3C</t>
        </is>
      </c>
      <c r="H464" s="83" t="inlineStr">
        <is>
          <t>3A</t>
        </is>
      </c>
      <c r="I464" s="83" t="inlineStr">
        <is>
          <t>3F</t>
        </is>
      </c>
      <c r="J464" s="83" t="inlineStr">
        <is>
          <t>3D</t>
        </is>
      </c>
      <c r="K464" s="89" t="inlineStr">
        <is>
          <t>3J</t>
        </is>
      </c>
    </row>
    <row r="465">
      <c r="B465" s="88" t="n">
        <v>460</v>
      </c>
      <c r="C465" s="83" t="inlineStr">
        <is>
          <t>ABCDFGHI</t>
        </is>
      </c>
      <c r="D465" s="83" t="inlineStr">
        <is>
          <t>3H</t>
        </is>
      </c>
      <c r="E465" s="83" t="inlineStr">
        <is>
          <t>3G</t>
        </is>
      </c>
      <c r="F465" s="83" t="inlineStr">
        <is>
          <t>3B</t>
        </is>
      </c>
      <c r="G465" s="83" t="inlineStr">
        <is>
          <t>3C</t>
        </is>
      </c>
      <c r="H465" s="83" t="inlineStr">
        <is>
          <t>3A</t>
        </is>
      </c>
      <c r="I465" s="83" t="inlineStr">
        <is>
          <t>3F</t>
        </is>
      </c>
      <c r="J465" s="83" t="inlineStr">
        <is>
          <t>3D</t>
        </is>
      </c>
      <c r="K465" s="89" t="inlineStr">
        <is>
          <t>3I</t>
        </is>
      </c>
    </row>
    <row r="466">
      <c r="B466" s="88" t="n">
        <v>461</v>
      </c>
      <c r="C466" s="83" t="inlineStr">
        <is>
          <t>ABCDEJKL</t>
        </is>
      </c>
      <c r="D466" s="83" t="inlineStr">
        <is>
          <t>3E</t>
        </is>
      </c>
      <c r="E466" s="83" t="inlineStr">
        <is>
          <t>3J</t>
        </is>
      </c>
      <c r="F466" s="83" t="inlineStr">
        <is>
          <t>3B</t>
        </is>
      </c>
      <c r="G466" s="83" t="inlineStr">
        <is>
          <t>3C</t>
        </is>
      </c>
      <c r="H466" s="83" t="inlineStr">
        <is>
          <t>3A</t>
        </is>
      </c>
      <c r="I466" s="83" t="inlineStr">
        <is>
          <t>3D</t>
        </is>
      </c>
      <c r="J466" s="83" t="inlineStr">
        <is>
          <t>3L</t>
        </is>
      </c>
      <c r="K466" s="89" t="inlineStr">
        <is>
          <t>3K</t>
        </is>
      </c>
    </row>
    <row r="467">
      <c r="B467" s="88" t="n">
        <v>462</v>
      </c>
      <c r="C467" s="83" t="inlineStr">
        <is>
          <t>ABCDEIKL</t>
        </is>
      </c>
      <c r="D467" s="83" t="inlineStr">
        <is>
          <t>3E</t>
        </is>
      </c>
      <c r="E467" s="83" t="inlineStr">
        <is>
          <t>3I</t>
        </is>
      </c>
      <c r="F467" s="83" t="inlineStr">
        <is>
          <t>3B</t>
        </is>
      </c>
      <c r="G467" s="83" t="inlineStr">
        <is>
          <t>3C</t>
        </is>
      </c>
      <c r="H467" s="83" t="inlineStr">
        <is>
          <t>3A</t>
        </is>
      </c>
      <c r="I467" s="83" t="inlineStr">
        <is>
          <t>3D</t>
        </is>
      </c>
      <c r="J467" s="83" t="inlineStr">
        <is>
          <t>3L</t>
        </is>
      </c>
      <c r="K467" s="89" t="inlineStr">
        <is>
          <t>3K</t>
        </is>
      </c>
    </row>
    <row r="468">
      <c r="B468" s="88" t="n">
        <v>463</v>
      </c>
      <c r="C468" s="83" t="inlineStr">
        <is>
          <t>ABCDEIJL</t>
        </is>
      </c>
      <c r="D468" s="83" t="inlineStr">
        <is>
          <t>3E</t>
        </is>
      </c>
      <c r="E468" s="83" t="inlineStr">
        <is>
          <t>3J</t>
        </is>
      </c>
      <c r="F468" s="83" t="inlineStr">
        <is>
          <t>3B</t>
        </is>
      </c>
      <c r="G468" s="83" t="inlineStr">
        <is>
          <t>3C</t>
        </is>
      </c>
      <c r="H468" s="83" t="inlineStr">
        <is>
          <t>3A</t>
        </is>
      </c>
      <c r="I468" s="83" t="inlineStr">
        <is>
          <t>3D</t>
        </is>
      </c>
      <c r="J468" s="83" t="inlineStr">
        <is>
          <t>3L</t>
        </is>
      </c>
      <c r="K468" s="89" t="inlineStr">
        <is>
          <t>3I</t>
        </is>
      </c>
    </row>
    <row r="469">
      <c r="B469" s="88" t="n">
        <v>464</v>
      </c>
      <c r="C469" s="83" t="inlineStr">
        <is>
          <t>ABCDEIJK</t>
        </is>
      </c>
      <c r="D469" s="83" t="inlineStr">
        <is>
          <t>3E</t>
        </is>
      </c>
      <c r="E469" s="83" t="inlineStr">
        <is>
          <t>3J</t>
        </is>
      </c>
      <c r="F469" s="83" t="inlineStr">
        <is>
          <t>3B</t>
        </is>
      </c>
      <c r="G469" s="83" t="inlineStr">
        <is>
          <t>3C</t>
        </is>
      </c>
      <c r="H469" s="83" t="inlineStr">
        <is>
          <t>3A</t>
        </is>
      </c>
      <c r="I469" s="83" t="inlineStr">
        <is>
          <t>3D</t>
        </is>
      </c>
      <c r="J469" s="83" t="inlineStr">
        <is>
          <t>3I</t>
        </is>
      </c>
      <c r="K469" s="89" t="inlineStr">
        <is>
          <t>3K</t>
        </is>
      </c>
    </row>
    <row r="470">
      <c r="B470" s="88" t="n">
        <v>465</v>
      </c>
      <c r="C470" s="83" t="inlineStr">
        <is>
          <t>ABCDEHKL</t>
        </is>
      </c>
      <c r="D470" s="83" t="inlineStr">
        <is>
          <t>3H</t>
        </is>
      </c>
      <c r="E470" s="83" t="inlineStr">
        <is>
          <t>3E</t>
        </is>
      </c>
      <c r="F470" s="83" t="inlineStr">
        <is>
          <t>3B</t>
        </is>
      </c>
      <c r="G470" s="83" t="inlineStr">
        <is>
          <t>3C</t>
        </is>
      </c>
      <c r="H470" s="83" t="inlineStr">
        <is>
          <t>3A</t>
        </is>
      </c>
      <c r="I470" s="83" t="inlineStr">
        <is>
          <t>3D</t>
        </is>
      </c>
      <c r="J470" s="83" t="inlineStr">
        <is>
          <t>3L</t>
        </is>
      </c>
      <c r="K470" s="89" t="inlineStr">
        <is>
          <t>3K</t>
        </is>
      </c>
    </row>
    <row r="471">
      <c r="B471" s="88" t="n">
        <v>466</v>
      </c>
      <c r="C471" s="83" t="inlineStr">
        <is>
          <t>ABCDEHJL</t>
        </is>
      </c>
      <c r="D471" s="83" t="inlineStr">
        <is>
          <t>3H</t>
        </is>
      </c>
      <c r="E471" s="83" t="inlineStr">
        <is>
          <t>3J</t>
        </is>
      </c>
      <c r="F471" s="83" t="inlineStr">
        <is>
          <t>3B</t>
        </is>
      </c>
      <c r="G471" s="83" t="inlineStr">
        <is>
          <t>3C</t>
        </is>
      </c>
      <c r="H471" s="83" t="inlineStr">
        <is>
          <t>3A</t>
        </is>
      </c>
      <c r="I471" s="83" t="inlineStr">
        <is>
          <t>3D</t>
        </is>
      </c>
      <c r="J471" s="83" t="inlineStr">
        <is>
          <t>3L</t>
        </is>
      </c>
      <c r="K471" s="89" t="inlineStr">
        <is>
          <t>3E</t>
        </is>
      </c>
    </row>
    <row r="472">
      <c r="B472" s="88" t="n">
        <v>467</v>
      </c>
      <c r="C472" s="83" t="inlineStr">
        <is>
          <t>ABCDEHJK</t>
        </is>
      </c>
      <c r="D472" s="83" t="inlineStr">
        <is>
          <t>3H</t>
        </is>
      </c>
      <c r="E472" s="83" t="inlineStr">
        <is>
          <t>3J</t>
        </is>
      </c>
      <c r="F472" s="83" t="inlineStr">
        <is>
          <t>3B</t>
        </is>
      </c>
      <c r="G472" s="83" t="inlineStr">
        <is>
          <t>3C</t>
        </is>
      </c>
      <c r="H472" s="83" t="inlineStr">
        <is>
          <t>3A</t>
        </is>
      </c>
      <c r="I472" s="83" t="inlineStr">
        <is>
          <t>3D</t>
        </is>
      </c>
      <c r="J472" s="83" t="inlineStr">
        <is>
          <t>3E</t>
        </is>
      </c>
      <c r="K472" s="89" t="inlineStr">
        <is>
          <t>3K</t>
        </is>
      </c>
    </row>
    <row r="473">
      <c r="B473" s="88" t="n">
        <v>468</v>
      </c>
      <c r="C473" s="83" t="inlineStr">
        <is>
          <t>ABCDEHIL</t>
        </is>
      </c>
      <c r="D473" s="83" t="inlineStr">
        <is>
          <t>3H</t>
        </is>
      </c>
      <c r="E473" s="83" t="inlineStr">
        <is>
          <t>3E</t>
        </is>
      </c>
      <c r="F473" s="83" t="inlineStr">
        <is>
          <t>3B</t>
        </is>
      </c>
      <c r="G473" s="83" t="inlineStr">
        <is>
          <t>3C</t>
        </is>
      </c>
      <c r="H473" s="83" t="inlineStr">
        <is>
          <t>3A</t>
        </is>
      </c>
      <c r="I473" s="83" t="inlineStr">
        <is>
          <t>3D</t>
        </is>
      </c>
      <c r="J473" s="83" t="inlineStr">
        <is>
          <t>3L</t>
        </is>
      </c>
      <c r="K473" s="89" t="inlineStr">
        <is>
          <t>3I</t>
        </is>
      </c>
    </row>
    <row r="474">
      <c r="B474" s="88" t="n">
        <v>469</v>
      </c>
      <c r="C474" s="83" t="inlineStr">
        <is>
          <t>ABCDEHIK</t>
        </is>
      </c>
      <c r="D474" s="83" t="inlineStr">
        <is>
          <t>3H</t>
        </is>
      </c>
      <c r="E474" s="83" t="inlineStr">
        <is>
          <t>3E</t>
        </is>
      </c>
      <c r="F474" s="83" t="inlineStr">
        <is>
          <t>3B</t>
        </is>
      </c>
      <c r="G474" s="83" t="inlineStr">
        <is>
          <t>3C</t>
        </is>
      </c>
      <c r="H474" s="83" t="inlineStr">
        <is>
          <t>3A</t>
        </is>
      </c>
      <c r="I474" s="83" t="inlineStr">
        <is>
          <t>3D</t>
        </is>
      </c>
      <c r="J474" s="83" t="inlineStr">
        <is>
          <t>3I</t>
        </is>
      </c>
      <c r="K474" s="89" t="inlineStr">
        <is>
          <t>3K</t>
        </is>
      </c>
    </row>
    <row r="475">
      <c r="B475" s="88" t="n">
        <v>470</v>
      </c>
      <c r="C475" s="83" t="inlineStr">
        <is>
          <t>ABCDEHIJ</t>
        </is>
      </c>
      <c r="D475" s="83" t="inlineStr">
        <is>
          <t>3H</t>
        </is>
      </c>
      <c r="E475" s="83" t="inlineStr">
        <is>
          <t>3J</t>
        </is>
      </c>
      <c r="F475" s="83" t="inlineStr">
        <is>
          <t>3B</t>
        </is>
      </c>
      <c r="G475" s="83" t="inlineStr">
        <is>
          <t>3C</t>
        </is>
      </c>
      <c r="H475" s="83" t="inlineStr">
        <is>
          <t>3A</t>
        </is>
      </c>
      <c r="I475" s="83" t="inlineStr">
        <is>
          <t>3D</t>
        </is>
      </c>
      <c r="J475" s="83" t="inlineStr">
        <is>
          <t>3E</t>
        </is>
      </c>
      <c r="K475" s="89" t="inlineStr">
        <is>
          <t>3I</t>
        </is>
      </c>
    </row>
    <row r="476">
      <c r="B476" s="88" t="n">
        <v>471</v>
      </c>
      <c r="C476" s="83" t="inlineStr">
        <is>
          <t>ABCDEGKL</t>
        </is>
      </c>
      <c r="D476" s="83" t="inlineStr">
        <is>
          <t>3E</t>
        </is>
      </c>
      <c r="E476" s="83" t="inlineStr">
        <is>
          <t>3G</t>
        </is>
      </c>
      <c r="F476" s="83" t="inlineStr">
        <is>
          <t>3B</t>
        </is>
      </c>
      <c r="G476" s="83" t="inlineStr">
        <is>
          <t>3C</t>
        </is>
      </c>
      <c r="H476" s="83" t="inlineStr">
        <is>
          <t>3A</t>
        </is>
      </c>
      <c r="I476" s="83" t="inlineStr">
        <is>
          <t>3D</t>
        </is>
      </c>
      <c r="J476" s="83" t="inlineStr">
        <is>
          <t>3L</t>
        </is>
      </c>
      <c r="K476" s="89" t="inlineStr">
        <is>
          <t>3K</t>
        </is>
      </c>
    </row>
    <row r="477">
      <c r="B477" s="88" t="n">
        <v>472</v>
      </c>
      <c r="C477" s="83" t="inlineStr">
        <is>
          <t>ABCDEGJL</t>
        </is>
      </c>
      <c r="D477" s="83" t="inlineStr">
        <is>
          <t>3E</t>
        </is>
      </c>
      <c r="E477" s="83" t="inlineStr">
        <is>
          <t>3G</t>
        </is>
      </c>
      <c r="F477" s="83" t="inlineStr">
        <is>
          <t>3B</t>
        </is>
      </c>
      <c r="G477" s="83" t="inlineStr">
        <is>
          <t>3C</t>
        </is>
      </c>
      <c r="H477" s="83" t="inlineStr">
        <is>
          <t>3A</t>
        </is>
      </c>
      <c r="I477" s="83" t="inlineStr">
        <is>
          <t>3D</t>
        </is>
      </c>
      <c r="J477" s="83" t="inlineStr">
        <is>
          <t>3L</t>
        </is>
      </c>
      <c r="K477" s="89" t="inlineStr">
        <is>
          <t>3J</t>
        </is>
      </c>
    </row>
    <row r="478">
      <c r="B478" s="88" t="n">
        <v>473</v>
      </c>
      <c r="C478" s="83" t="inlineStr">
        <is>
          <t>ABCDEGJK</t>
        </is>
      </c>
      <c r="D478" s="83" t="inlineStr">
        <is>
          <t>3E</t>
        </is>
      </c>
      <c r="E478" s="83" t="inlineStr">
        <is>
          <t>3G</t>
        </is>
      </c>
      <c r="F478" s="83" t="inlineStr">
        <is>
          <t>3B</t>
        </is>
      </c>
      <c r="G478" s="83" t="inlineStr">
        <is>
          <t>3C</t>
        </is>
      </c>
      <c r="H478" s="83" t="inlineStr">
        <is>
          <t>3A</t>
        </is>
      </c>
      <c r="I478" s="83" t="inlineStr">
        <is>
          <t>3D</t>
        </is>
      </c>
      <c r="J478" s="83" t="inlineStr">
        <is>
          <t>3J</t>
        </is>
      </c>
      <c r="K478" s="89" t="inlineStr">
        <is>
          <t>3K</t>
        </is>
      </c>
    </row>
    <row r="479">
      <c r="B479" s="88" t="n">
        <v>474</v>
      </c>
      <c r="C479" s="83" t="inlineStr">
        <is>
          <t>ABCDEGIL</t>
        </is>
      </c>
      <c r="D479" s="83" t="inlineStr">
        <is>
          <t>3E</t>
        </is>
      </c>
      <c r="E479" s="83" t="inlineStr">
        <is>
          <t>3G</t>
        </is>
      </c>
      <c r="F479" s="83" t="inlineStr">
        <is>
          <t>3B</t>
        </is>
      </c>
      <c r="G479" s="83" t="inlineStr">
        <is>
          <t>3C</t>
        </is>
      </c>
      <c r="H479" s="83" t="inlineStr">
        <is>
          <t>3A</t>
        </is>
      </c>
      <c r="I479" s="83" t="inlineStr">
        <is>
          <t>3D</t>
        </is>
      </c>
      <c r="J479" s="83" t="inlineStr">
        <is>
          <t>3L</t>
        </is>
      </c>
      <c r="K479" s="89" t="inlineStr">
        <is>
          <t>3I</t>
        </is>
      </c>
    </row>
    <row r="480">
      <c r="B480" s="88" t="n">
        <v>475</v>
      </c>
      <c r="C480" s="83" t="inlineStr">
        <is>
          <t>ABCDEGIK</t>
        </is>
      </c>
      <c r="D480" s="83" t="inlineStr">
        <is>
          <t>3E</t>
        </is>
      </c>
      <c r="E480" s="83" t="inlineStr">
        <is>
          <t>3G</t>
        </is>
      </c>
      <c r="F480" s="83" t="inlineStr">
        <is>
          <t>3B</t>
        </is>
      </c>
      <c r="G480" s="83" t="inlineStr">
        <is>
          <t>3C</t>
        </is>
      </c>
      <c r="H480" s="83" t="inlineStr">
        <is>
          <t>3A</t>
        </is>
      </c>
      <c r="I480" s="83" t="inlineStr">
        <is>
          <t>3D</t>
        </is>
      </c>
      <c r="J480" s="83" t="inlineStr">
        <is>
          <t>3I</t>
        </is>
      </c>
      <c r="K480" s="89" t="inlineStr">
        <is>
          <t>3K</t>
        </is>
      </c>
    </row>
    <row r="481">
      <c r="B481" s="88" t="n">
        <v>476</v>
      </c>
      <c r="C481" s="83" t="inlineStr">
        <is>
          <t>ABCDEGIJ</t>
        </is>
      </c>
      <c r="D481" s="83" t="inlineStr">
        <is>
          <t>3E</t>
        </is>
      </c>
      <c r="E481" s="83" t="inlineStr">
        <is>
          <t>3G</t>
        </is>
      </c>
      <c r="F481" s="83" t="inlineStr">
        <is>
          <t>3B</t>
        </is>
      </c>
      <c r="G481" s="83" t="inlineStr">
        <is>
          <t>3C</t>
        </is>
      </c>
      <c r="H481" s="83" t="inlineStr">
        <is>
          <t>3A</t>
        </is>
      </c>
      <c r="I481" s="83" t="inlineStr">
        <is>
          <t>3D</t>
        </is>
      </c>
      <c r="J481" s="83" t="inlineStr">
        <is>
          <t>3I</t>
        </is>
      </c>
      <c r="K481" s="89" t="inlineStr">
        <is>
          <t>3J</t>
        </is>
      </c>
    </row>
    <row r="482">
      <c r="B482" s="88" t="n">
        <v>477</v>
      </c>
      <c r="C482" s="83" t="inlineStr">
        <is>
          <t>ABCDEGHL</t>
        </is>
      </c>
      <c r="D482" s="83" t="inlineStr">
        <is>
          <t>3H</t>
        </is>
      </c>
      <c r="E482" s="83" t="inlineStr">
        <is>
          <t>3G</t>
        </is>
      </c>
      <c r="F482" s="83" t="inlineStr">
        <is>
          <t>3B</t>
        </is>
      </c>
      <c r="G482" s="83" t="inlineStr">
        <is>
          <t>3C</t>
        </is>
      </c>
      <c r="H482" s="83" t="inlineStr">
        <is>
          <t>3A</t>
        </is>
      </c>
      <c r="I482" s="83" t="inlineStr">
        <is>
          <t>3D</t>
        </is>
      </c>
      <c r="J482" s="83" t="inlineStr">
        <is>
          <t>3L</t>
        </is>
      </c>
      <c r="K482" s="89" t="inlineStr">
        <is>
          <t>3E</t>
        </is>
      </c>
    </row>
    <row r="483">
      <c r="B483" s="88" t="n">
        <v>478</v>
      </c>
      <c r="C483" s="83" t="inlineStr">
        <is>
          <t>ABCDEGHK</t>
        </is>
      </c>
      <c r="D483" s="83" t="inlineStr">
        <is>
          <t>3H</t>
        </is>
      </c>
      <c r="E483" s="83" t="inlineStr">
        <is>
          <t>3G</t>
        </is>
      </c>
      <c r="F483" s="83" t="inlineStr">
        <is>
          <t>3B</t>
        </is>
      </c>
      <c r="G483" s="83" t="inlineStr">
        <is>
          <t>3C</t>
        </is>
      </c>
      <c r="H483" s="83" t="inlineStr">
        <is>
          <t>3A</t>
        </is>
      </c>
      <c r="I483" s="83" t="inlineStr">
        <is>
          <t>3D</t>
        </is>
      </c>
      <c r="J483" s="83" t="inlineStr">
        <is>
          <t>3E</t>
        </is>
      </c>
      <c r="K483" s="89" t="inlineStr">
        <is>
          <t>3K</t>
        </is>
      </c>
    </row>
    <row r="484">
      <c r="B484" s="88" t="n">
        <v>479</v>
      </c>
      <c r="C484" s="83" t="inlineStr">
        <is>
          <t>ABCDEGHJ</t>
        </is>
      </c>
      <c r="D484" s="83" t="inlineStr">
        <is>
          <t>3H</t>
        </is>
      </c>
      <c r="E484" s="83" t="inlineStr">
        <is>
          <t>3G</t>
        </is>
      </c>
      <c r="F484" s="83" t="inlineStr">
        <is>
          <t>3B</t>
        </is>
      </c>
      <c r="G484" s="83" t="inlineStr">
        <is>
          <t>3C</t>
        </is>
      </c>
      <c r="H484" s="83" t="inlineStr">
        <is>
          <t>3A</t>
        </is>
      </c>
      <c r="I484" s="83" t="inlineStr">
        <is>
          <t>3D</t>
        </is>
      </c>
      <c r="J484" s="83" t="inlineStr">
        <is>
          <t>3E</t>
        </is>
      </c>
      <c r="K484" s="89" t="inlineStr">
        <is>
          <t>3J</t>
        </is>
      </c>
    </row>
    <row r="485">
      <c r="B485" s="88" t="n">
        <v>480</v>
      </c>
      <c r="C485" s="83" t="inlineStr">
        <is>
          <t>ABCDEGHI</t>
        </is>
      </c>
      <c r="D485" s="83" t="inlineStr">
        <is>
          <t>3H</t>
        </is>
      </c>
      <c r="E485" s="83" t="inlineStr">
        <is>
          <t>3G</t>
        </is>
      </c>
      <c r="F485" s="83" t="inlineStr">
        <is>
          <t>3B</t>
        </is>
      </c>
      <c r="G485" s="83" t="inlineStr">
        <is>
          <t>3C</t>
        </is>
      </c>
      <c r="H485" s="83" t="inlineStr">
        <is>
          <t>3A</t>
        </is>
      </c>
      <c r="I485" s="83" t="inlineStr">
        <is>
          <t>3D</t>
        </is>
      </c>
      <c r="J485" s="83" t="inlineStr">
        <is>
          <t>3E</t>
        </is>
      </c>
      <c r="K485" s="89" t="inlineStr">
        <is>
          <t>3I</t>
        </is>
      </c>
    </row>
    <row r="486">
      <c r="B486" s="88" t="n">
        <v>481</v>
      </c>
      <c r="C486" s="83" t="inlineStr">
        <is>
          <t>ABCDEFKL</t>
        </is>
      </c>
      <c r="D486" s="83" t="inlineStr">
        <is>
          <t>3C</t>
        </is>
      </c>
      <c r="E486" s="83" t="inlineStr">
        <is>
          <t>3E</t>
        </is>
      </c>
      <c r="F486" s="83" t="inlineStr">
        <is>
          <t>3B</t>
        </is>
      </c>
      <c r="G486" s="83" t="inlineStr">
        <is>
          <t>3D</t>
        </is>
      </c>
      <c r="H486" s="83" t="inlineStr">
        <is>
          <t>3A</t>
        </is>
      </c>
      <c r="I486" s="83" t="inlineStr">
        <is>
          <t>3F</t>
        </is>
      </c>
      <c r="J486" s="83" t="inlineStr">
        <is>
          <t>3L</t>
        </is>
      </c>
      <c r="K486" s="89" t="inlineStr">
        <is>
          <t>3K</t>
        </is>
      </c>
    </row>
    <row r="487">
      <c r="B487" s="88" t="n">
        <v>482</v>
      </c>
      <c r="C487" s="83" t="inlineStr">
        <is>
          <t>ABCDEFJL</t>
        </is>
      </c>
      <c r="D487" s="83" t="inlineStr">
        <is>
          <t>3C</t>
        </is>
      </c>
      <c r="E487" s="83" t="inlineStr">
        <is>
          <t>3J</t>
        </is>
      </c>
      <c r="F487" s="83" t="inlineStr">
        <is>
          <t>3B</t>
        </is>
      </c>
      <c r="G487" s="83" t="inlineStr">
        <is>
          <t>3D</t>
        </is>
      </c>
      <c r="H487" s="83" t="inlineStr">
        <is>
          <t>3A</t>
        </is>
      </c>
      <c r="I487" s="83" t="inlineStr">
        <is>
          <t>3F</t>
        </is>
      </c>
      <c r="J487" s="83" t="inlineStr">
        <is>
          <t>3L</t>
        </is>
      </c>
      <c r="K487" s="89" t="inlineStr">
        <is>
          <t>3E</t>
        </is>
      </c>
    </row>
    <row r="488">
      <c r="B488" s="88" t="n">
        <v>483</v>
      </c>
      <c r="C488" s="83" t="inlineStr">
        <is>
          <t>ABCDEFJK</t>
        </is>
      </c>
      <c r="D488" s="83" t="inlineStr">
        <is>
          <t>3C</t>
        </is>
      </c>
      <c r="E488" s="83" t="inlineStr">
        <is>
          <t>3J</t>
        </is>
      </c>
      <c r="F488" s="83" t="inlineStr">
        <is>
          <t>3B</t>
        </is>
      </c>
      <c r="G488" s="83" t="inlineStr">
        <is>
          <t>3D</t>
        </is>
      </c>
      <c r="H488" s="83" t="inlineStr">
        <is>
          <t>3A</t>
        </is>
      </c>
      <c r="I488" s="83" t="inlineStr">
        <is>
          <t>3F</t>
        </is>
      </c>
      <c r="J488" s="83" t="inlineStr">
        <is>
          <t>3E</t>
        </is>
      </c>
      <c r="K488" s="89" t="inlineStr">
        <is>
          <t>3K</t>
        </is>
      </c>
    </row>
    <row r="489">
      <c r="B489" s="88" t="n">
        <v>484</v>
      </c>
      <c r="C489" s="83" t="inlineStr">
        <is>
          <t>ABCDEFIL</t>
        </is>
      </c>
      <c r="D489" s="83" t="inlineStr">
        <is>
          <t>3C</t>
        </is>
      </c>
      <c r="E489" s="83" t="inlineStr">
        <is>
          <t>3E</t>
        </is>
      </c>
      <c r="F489" s="83" t="inlineStr">
        <is>
          <t>3B</t>
        </is>
      </c>
      <c r="G489" s="83" t="inlineStr">
        <is>
          <t>3D</t>
        </is>
      </c>
      <c r="H489" s="83" t="inlineStr">
        <is>
          <t>3A</t>
        </is>
      </c>
      <c r="I489" s="83" t="inlineStr">
        <is>
          <t>3F</t>
        </is>
      </c>
      <c r="J489" s="83" t="inlineStr">
        <is>
          <t>3L</t>
        </is>
      </c>
      <c r="K489" s="89" t="inlineStr">
        <is>
          <t>3I</t>
        </is>
      </c>
    </row>
    <row r="490">
      <c r="B490" s="88" t="n">
        <v>485</v>
      </c>
      <c r="C490" s="83" t="inlineStr">
        <is>
          <t>ABCDEFIK</t>
        </is>
      </c>
      <c r="D490" s="83" t="inlineStr">
        <is>
          <t>3C</t>
        </is>
      </c>
      <c r="E490" s="83" t="inlineStr">
        <is>
          <t>3E</t>
        </is>
      </c>
      <c r="F490" s="83" t="inlineStr">
        <is>
          <t>3B</t>
        </is>
      </c>
      <c r="G490" s="83" t="inlineStr">
        <is>
          <t>3D</t>
        </is>
      </c>
      <c r="H490" s="83" t="inlineStr">
        <is>
          <t>3A</t>
        </is>
      </c>
      <c r="I490" s="83" t="inlineStr">
        <is>
          <t>3F</t>
        </is>
      </c>
      <c r="J490" s="83" t="inlineStr">
        <is>
          <t>3I</t>
        </is>
      </c>
      <c r="K490" s="89" t="inlineStr">
        <is>
          <t>3K</t>
        </is>
      </c>
    </row>
    <row r="491">
      <c r="B491" s="88" t="n">
        <v>486</v>
      </c>
      <c r="C491" s="83" t="inlineStr">
        <is>
          <t>ABCDEFIJ</t>
        </is>
      </c>
      <c r="D491" s="83" t="inlineStr">
        <is>
          <t>3C</t>
        </is>
      </c>
      <c r="E491" s="83" t="inlineStr">
        <is>
          <t>3J</t>
        </is>
      </c>
      <c r="F491" s="83" t="inlineStr">
        <is>
          <t>3B</t>
        </is>
      </c>
      <c r="G491" s="83" t="inlineStr">
        <is>
          <t>3D</t>
        </is>
      </c>
      <c r="H491" s="83" t="inlineStr">
        <is>
          <t>3A</t>
        </is>
      </c>
      <c r="I491" s="83" t="inlineStr">
        <is>
          <t>3F</t>
        </is>
      </c>
      <c r="J491" s="83" t="inlineStr">
        <is>
          <t>3E</t>
        </is>
      </c>
      <c r="K491" s="89" t="inlineStr">
        <is>
          <t>3I</t>
        </is>
      </c>
    </row>
    <row r="492">
      <c r="B492" s="88" t="n">
        <v>487</v>
      </c>
      <c r="C492" s="83" t="inlineStr">
        <is>
          <t>ABCDEFHL</t>
        </is>
      </c>
      <c r="D492" s="83" t="inlineStr">
        <is>
          <t>3H</t>
        </is>
      </c>
      <c r="E492" s="83" t="inlineStr">
        <is>
          <t>3F</t>
        </is>
      </c>
      <c r="F492" s="83" t="inlineStr">
        <is>
          <t>3B</t>
        </is>
      </c>
      <c r="G492" s="83" t="inlineStr">
        <is>
          <t>3C</t>
        </is>
      </c>
      <c r="H492" s="83" t="inlineStr">
        <is>
          <t>3A</t>
        </is>
      </c>
      <c r="I492" s="83" t="inlineStr">
        <is>
          <t>3D</t>
        </is>
      </c>
      <c r="J492" s="83" t="inlineStr">
        <is>
          <t>3L</t>
        </is>
      </c>
      <c r="K492" s="89" t="inlineStr">
        <is>
          <t>3E</t>
        </is>
      </c>
    </row>
    <row r="493">
      <c r="B493" s="88" t="n">
        <v>488</v>
      </c>
      <c r="C493" s="83" t="inlineStr">
        <is>
          <t>ABCDEFHK</t>
        </is>
      </c>
      <c r="D493" s="83" t="inlineStr">
        <is>
          <t>3H</t>
        </is>
      </c>
      <c r="E493" s="83" t="inlineStr">
        <is>
          <t>3E</t>
        </is>
      </c>
      <c r="F493" s="83" t="inlineStr">
        <is>
          <t>3B</t>
        </is>
      </c>
      <c r="G493" s="83" t="inlineStr">
        <is>
          <t>3C</t>
        </is>
      </c>
      <c r="H493" s="83" t="inlineStr">
        <is>
          <t>3A</t>
        </is>
      </c>
      <c r="I493" s="83" t="inlineStr">
        <is>
          <t>3F</t>
        </is>
      </c>
      <c r="J493" s="83" t="inlineStr">
        <is>
          <t>3D</t>
        </is>
      </c>
      <c r="K493" s="89" t="inlineStr">
        <is>
          <t>3K</t>
        </is>
      </c>
    </row>
    <row r="494">
      <c r="B494" s="88" t="n">
        <v>489</v>
      </c>
      <c r="C494" s="83" t="inlineStr">
        <is>
          <t>ABCDEFHJ</t>
        </is>
      </c>
      <c r="D494" s="83" t="inlineStr">
        <is>
          <t>3H</t>
        </is>
      </c>
      <c r="E494" s="83" t="inlineStr">
        <is>
          <t>3J</t>
        </is>
      </c>
      <c r="F494" s="83" t="inlineStr">
        <is>
          <t>3B</t>
        </is>
      </c>
      <c r="G494" s="83" t="inlineStr">
        <is>
          <t>3C</t>
        </is>
      </c>
      <c r="H494" s="83" t="inlineStr">
        <is>
          <t>3A</t>
        </is>
      </c>
      <c r="I494" s="83" t="inlineStr">
        <is>
          <t>3F</t>
        </is>
      </c>
      <c r="J494" s="83" t="inlineStr">
        <is>
          <t>3D</t>
        </is>
      </c>
      <c r="K494" s="89" t="inlineStr">
        <is>
          <t>3E</t>
        </is>
      </c>
    </row>
    <row r="495">
      <c r="B495" s="88" t="n">
        <v>490</v>
      </c>
      <c r="C495" s="83" t="inlineStr">
        <is>
          <t>ABCDEFHI</t>
        </is>
      </c>
      <c r="D495" s="83" t="inlineStr">
        <is>
          <t>3H</t>
        </is>
      </c>
      <c r="E495" s="83" t="inlineStr">
        <is>
          <t>3E</t>
        </is>
      </c>
      <c r="F495" s="83" t="inlineStr">
        <is>
          <t>3B</t>
        </is>
      </c>
      <c r="G495" s="83" t="inlineStr">
        <is>
          <t>3C</t>
        </is>
      </c>
      <c r="H495" s="83" t="inlineStr">
        <is>
          <t>3A</t>
        </is>
      </c>
      <c r="I495" s="83" t="inlineStr">
        <is>
          <t>3F</t>
        </is>
      </c>
      <c r="J495" s="83" t="inlineStr">
        <is>
          <t>3D</t>
        </is>
      </c>
      <c r="K495" s="89" t="inlineStr">
        <is>
          <t>3I</t>
        </is>
      </c>
    </row>
    <row r="496">
      <c r="B496" s="88" t="n">
        <v>491</v>
      </c>
      <c r="C496" s="83" t="inlineStr">
        <is>
          <t>ABCDEFGL</t>
        </is>
      </c>
      <c r="D496" s="83" t="inlineStr">
        <is>
          <t>3C</t>
        </is>
      </c>
      <c r="E496" s="83" t="inlineStr">
        <is>
          <t>3G</t>
        </is>
      </c>
      <c r="F496" s="83" t="inlineStr">
        <is>
          <t>3B</t>
        </is>
      </c>
      <c r="G496" s="83" t="inlineStr">
        <is>
          <t>3D</t>
        </is>
      </c>
      <c r="H496" s="83" t="inlineStr">
        <is>
          <t>3A</t>
        </is>
      </c>
      <c r="I496" s="83" t="inlineStr">
        <is>
          <t>3F</t>
        </is>
      </c>
      <c r="J496" s="83" t="inlineStr">
        <is>
          <t>3L</t>
        </is>
      </c>
      <c r="K496" s="89" t="inlineStr">
        <is>
          <t>3E</t>
        </is>
      </c>
    </row>
    <row r="497">
      <c r="B497" s="88" t="n">
        <v>492</v>
      </c>
      <c r="C497" s="83" t="inlineStr">
        <is>
          <t>ABCDEFGK</t>
        </is>
      </c>
      <c r="D497" s="83" t="inlineStr">
        <is>
          <t>3C</t>
        </is>
      </c>
      <c r="E497" s="83" t="inlineStr">
        <is>
          <t>3G</t>
        </is>
      </c>
      <c r="F497" s="83" t="inlineStr">
        <is>
          <t>3B</t>
        </is>
      </c>
      <c r="G497" s="83" t="inlineStr">
        <is>
          <t>3D</t>
        </is>
      </c>
      <c r="H497" s="83" t="inlineStr">
        <is>
          <t>3A</t>
        </is>
      </c>
      <c r="I497" s="83" t="inlineStr">
        <is>
          <t>3F</t>
        </is>
      </c>
      <c r="J497" s="83" t="inlineStr">
        <is>
          <t>3E</t>
        </is>
      </c>
      <c r="K497" s="89" t="inlineStr">
        <is>
          <t>3K</t>
        </is>
      </c>
    </row>
    <row r="498">
      <c r="B498" s="88" t="n">
        <v>493</v>
      </c>
      <c r="C498" s="83" t="inlineStr">
        <is>
          <t>ABCDEFGJ</t>
        </is>
      </c>
      <c r="D498" s="83" t="inlineStr">
        <is>
          <t>3C</t>
        </is>
      </c>
      <c r="E498" s="83" t="inlineStr">
        <is>
          <t>3G</t>
        </is>
      </c>
      <c r="F498" s="83" t="inlineStr">
        <is>
          <t>3B</t>
        </is>
      </c>
      <c r="G498" s="83" t="inlineStr">
        <is>
          <t>3D</t>
        </is>
      </c>
      <c r="H498" s="83" t="inlineStr">
        <is>
          <t>3A</t>
        </is>
      </c>
      <c r="I498" s="83" t="inlineStr">
        <is>
          <t>3F</t>
        </is>
      </c>
      <c r="J498" s="83" t="inlineStr">
        <is>
          <t>3E</t>
        </is>
      </c>
      <c r="K498" s="89" t="inlineStr">
        <is>
          <t>3J</t>
        </is>
      </c>
    </row>
    <row r="499">
      <c r="B499" s="88" t="n">
        <v>494</v>
      </c>
      <c r="C499" s="83" t="inlineStr">
        <is>
          <t>ABCDEFGI</t>
        </is>
      </c>
      <c r="D499" s="83" t="inlineStr">
        <is>
          <t>3C</t>
        </is>
      </c>
      <c r="E499" s="83" t="inlineStr">
        <is>
          <t>3G</t>
        </is>
      </c>
      <c r="F499" s="83" t="inlineStr">
        <is>
          <t>3B</t>
        </is>
      </c>
      <c r="G499" s="83" t="inlineStr">
        <is>
          <t>3D</t>
        </is>
      </c>
      <c r="H499" s="83" t="inlineStr">
        <is>
          <t>3A</t>
        </is>
      </c>
      <c r="I499" s="83" t="inlineStr">
        <is>
          <t>3F</t>
        </is>
      </c>
      <c r="J499" s="83" t="inlineStr">
        <is>
          <t>3E</t>
        </is>
      </c>
      <c r="K499" s="89" t="inlineStr">
        <is>
          <t>3I</t>
        </is>
      </c>
    </row>
    <row r="500">
      <c r="B500" s="90" t="n">
        <v>495</v>
      </c>
      <c r="C500" s="91" t="inlineStr">
        <is>
          <t>ABCDEFGH</t>
        </is>
      </c>
      <c r="D500" s="91" t="inlineStr">
        <is>
          <t>3H</t>
        </is>
      </c>
      <c r="E500" s="91" t="inlineStr">
        <is>
          <t>3G</t>
        </is>
      </c>
      <c r="F500" s="91" t="inlineStr">
        <is>
          <t>3B</t>
        </is>
      </c>
      <c r="G500" s="91" t="inlineStr">
        <is>
          <t>3C</t>
        </is>
      </c>
      <c r="H500" s="91" t="inlineStr">
        <is>
          <t>3A</t>
        </is>
      </c>
      <c r="I500" s="91" t="inlineStr">
        <is>
          <t>3F</t>
        </is>
      </c>
      <c r="J500" s="91" t="inlineStr">
        <is>
          <t>3D</t>
        </is>
      </c>
      <c r="K500" s="92" t="inlineStr">
        <is>
          <t>3E</t>
        </is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QVZA9U78x70/ucRI9CHkdw==" formatRows="1" sort="1" spinCount="100000" hashValue="FHkYqE1KRwpfItahAI+PyAqIEBFe00md94UJlKhZTc+gRAXJFkEcgG7Y1df/LdUR9P3ECUX8c0kHSRxbShUUkw=="/>
  <conditionalFormatting sqref="B6:K500">
    <cfRule type="expression" priority="1" dxfId="0">
      <formula>IF($B$3=$B6,1,0)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Denys Kozyr</dc:creator>
  <dc:title xmlns:dc="http://purl.org/dc/elements/1.1/">2026 FIFA World Cup Schedule</dc:title>
  <dcterms:created xmlns:dcterms="http://purl.org/dc/terms/" xmlns:xsi="http://www.w3.org/2001/XMLSchema-instance" xsi:type="dcterms:W3CDTF">2017-12-27T19:32:51Z</dcterms:created>
  <dcterms:modified xmlns:dcterms="http://purl.org/dc/terms/" xmlns:xsi="http://www.w3.org/2001/XMLSchema-instance" xsi:type="dcterms:W3CDTF">2026-06-07T19:16:49Z</dcterms:modified>
  <cp:lastModifiedBy>Daniel Naurin</cp:lastModifiedBy>
  <cp:category>Sports</cp:category>
  <cp:keywords>fifa;world cup;schedule;spreadsheet</cp:keywords>
</cp:coreProperties>
</file>
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ga\Downloads\"/>
    </mc:Choice>
  </mc:AlternateContent>
  <xr:revisionPtr revIDLastSave="0" documentId="8_{79264600-929C-4512-AB9B-05929C1985E1}" xr6:coauthVersionLast="47" xr6:coauthVersionMax="47" xr10:uidLastSave="{00000000-0000-0000-0000-000000000000}"/>
  <bookViews>
    <workbookView xWindow="-120" yWindow="-120" windowWidth="29040" windowHeight="1752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T51" i="3" s="1"/>
  <c r="S30" i="3"/>
  <c r="T30" i="3" s="1"/>
  <c r="S78" i="3"/>
  <c r="S26" i="3"/>
  <c r="T26" i="3" s="1"/>
  <c r="S75" i="3"/>
  <c r="S25" i="3"/>
  <c r="T25" i="3" s="1"/>
  <c r="S49" i="3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S21" i="3"/>
  <c r="T21" i="3" s="1"/>
  <c r="S45" i="3"/>
  <c r="T45" i="3" s="1"/>
  <c r="S18" i="3"/>
  <c r="T18" i="3" s="1"/>
  <c r="S63" i="3"/>
  <c r="S17" i="3"/>
  <c r="T17" i="3" s="1"/>
  <c r="S41" i="3"/>
  <c r="S15" i="3"/>
  <c r="T15" i="3" s="1"/>
  <c r="S61" i="3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S54" i="3"/>
  <c r="S77" i="3"/>
  <c r="T78" i="3"/>
  <c r="S50" i="3"/>
  <c r="S76" i="3"/>
  <c r="T75" i="3"/>
  <c r="T49" i="3"/>
  <c r="S47" i="3"/>
  <c r="S67" i="3"/>
  <c r="S72" i="3"/>
  <c r="T46" i="3"/>
  <c r="S70" i="3"/>
  <c r="S42" i="3"/>
  <c r="S64" i="3"/>
  <c r="T63" i="3"/>
  <c r="T41" i="3"/>
  <c r="S40" i="3"/>
  <c r="S62" i="3"/>
  <c r="T61" i="3"/>
  <c r="S38" i="3"/>
  <c r="S65" i="3"/>
  <c r="S55" i="3"/>
  <c r="T56" i="3"/>
  <c r="S57" i="3"/>
  <c r="T60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O69" i="3" l="1"/>
  <c r="N39" i="3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S86" i="3" l="1"/>
  <c r="T86" i="3" s="1" a="1"/>
  <c r="T86" i="3" s="1"/>
  <c r="BS28" i="3"/>
  <c r="S88" i="3"/>
  <c r="T88" i="3" s="1" a="1"/>
  <c r="T88" i="3" s="1"/>
  <c r="BS20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CN48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K68" i="3" s="1"/>
  <c r="S111" i="3"/>
  <c r="T111" i="3" s="1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CN49" i="3" s="1"/>
  <c r="BS68" i="3"/>
  <c r="S91" i="3" l="1"/>
  <c r="T91" i="3" s="1" a="1"/>
  <c r="T91" i="3" s="1"/>
  <c r="BS37" i="3"/>
  <c r="BZ49" i="3"/>
  <c r="CG55" i="3" s="1"/>
  <c r="CN3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<sst xmlns="http://schemas.openxmlformats.org/spreadsheetml/2006/main" count="9786" uniqueCount="3698">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</sst>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link" xfId="1" builtinId="8"/>
    <cellStyle name="Normal" xfId="0" builtinId="0"/>
    <cellStyle name="Note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I15" zoomScaleNormal="100" workbookViewId="0">
      <selection activeCell="BS25" sqref="BS25"/>
    </sheetView>
  </sheetViews>
  <sheetFormatPr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3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1</v>
      </c>
      <c r="V8" s="123">
        <f t="shared" si="3"/>
        <v>1</v>
      </c>
      <c r="W8" s="123">
        <f t="shared" si="4"/>
        <v>1</v>
      </c>
      <c r="X8" s="123">
        <f t="shared" ref="X8:X71" si="9">IF(S8="",0,IF(VLOOKUP(E8,$AE$8:$AO$77,11,FALSE)=VLOOKUP(H8,$AE$8:$AO$77,11,FALSE),1,0))</f>
        <v>1</v>
      </c>
      <c r="Y8" s="123">
        <f t="shared" ref="Y8:Y71" si="10">X8*F8</f>
        <v>1</v>
      </c>
      <c r="Z8" s="123">
        <f t="shared" ref="Z8:Z71" si="11">X8*G8</f>
        <v>1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8</v>
      </c>
      <c r="AJ8" s="123">
        <f>SUMIF($E$7:$E$78,$AE8,$G$7:$G$78) + SUMIF($H$7:$H$78,$AE8,$F$7:$F$78)</f>
        <v>3</v>
      </c>
      <c r="AL8" s="123">
        <f>AI8-AJ8</f>
        <v>5</v>
      </c>
      <c r="AM8" s="123">
        <f>AL8-AL12</f>
        <v>11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90000010.056396082</v>
      </c>
      <c r="AQ8" s="126">
        <f>VLOOKUP(AE8,db_fifarank,2,FALSE)</f>
        <v>1681.03</v>
      </c>
      <c r="AR8" s="125">
        <f>AP8/AP12</f>
        <v>0.9999999888888903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8 - 3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0</v>
      </c>
      <c r="AJ9" s="123">
        <f>SUMIF($E$7:$E$78,$AE9,$G$7:$G$78) + SUMIF($H$7:$H$78,$AE9,$F$7:$F$78)</f>
        <v>6</v>
      </c>
      <c r="AL9" s="123">
        <f>AI9-AJ9</f>
        <v>-6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7.1486499999999997E-4</v>
      </c>
      <c r="AQ9" s="126">
        <f>VLOOKUP(AE9,db_fifarank,2,FALSE)</f>
        <v>1429.73</v>
      </c>
      <c r="AR9" s="125">
        <f>AP9/AP12</f>
        <v>7.9429434686630106E-12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2</v>
      </c>
      <c r="G10" s="20">
        <v>1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4 - 3</v>
      </c>
      <c r="P10" s="34">
        <f>L10*3+M10</f>
        <v>4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4</v>
      </c>
      <c r="AL10" s="123">
        <f>AI10-AJ10</f>
        <v>0</v>
      </c>
      <c r="AM10" s="123">
        <f>AL10-AL12</f>
        <v>6</v>
      </c>
      <c r="AN10" s="123">
        <f>AF10*3+AG10</f>
        <v>4</v>
      </c>
      <c r="AO10" s="123">
        <f>AN10/AN12*10+BA10</f>
        <v>4.9805825242718447</v>
      </c>
      <c r="AP10" s="123">
        <f>AO10*10000000+BI10*100+AM10/AM12*10+AI10/AI12*1++IF(AQ10=0,ROW(),AQ10)/2000000</f>
        <v>49805928.746209644</v>
      </c>
      <c r="AQ10" s="126">
        <f>VLOOKUP(AE10,db_fifarank,2,FALSE)</f>
        <v>1588.66</v>
      </c>
      <c r="AR10" s="125">
        <f>AP10/AP12</f>
        <v>0.55339914030677284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0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1</v>
      </c>
      <c r="N11" s="23">
        <f>VLOOKUP(3,AD8:AN11,5,FALSE)</f>
        <v>1</v>
      </c>
      <c r="O11" s="23" t="str">
        <f>VLOOKUP(3,AD8:AN11,6,FALSE) &amp; " - " &amp; VLOOKUP(3,AD8:AN11,7,FALSE)</f>
        <v>4 - 4</v>
      </c>
      <c r="P11" s="34">
        <f>L11*3+M11</f>
        <v>4</v>
      </c>
      <c r="R11" s="123">
        <f>DATE(2026,6,13)+TIME(14,0,0)+gmt_delta</f>
        <v>46187.041666666672</v>
      </c>
      <c r="S11" s="127" t="str">
        <f t="shared" si="1"/>
        <v>Haiti_draw</v>
      </c>
      <c r="T11" s="127" t="str">
        <f t="shared" si="2"/>
        <v>Scotland_draw</v>
      </c>
      <c r="U11" s="123">
        <f t="shared" si="8"/>
        <v>1</v>
      </c>
      <c r="V11" s="123">
        <f t="shared" si="3"/>
        <v>0</v>
      </c>
      <c r="W11" s="123">
        <f t="shared" si="4"/>
        <v>0</v>
      </c>
      <c r="X11" s="123">
        <f t="shared" si="9"/>
        <v>1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0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1</v>
      </c>
      <c r="AH11" s="123">
        <f>COUNTIF($S$7:$T$78,"=" &amp; AE11 &amp; "_lose")</f>
        <v>1</v>
      </c>
      <c r="AI11" s="123">
        <f>SUMIF($E$7:$E$78,$AE11,$F$7:$F$78) + SUMIF($H$7:$H$78,$AE11,$G$7:$G$78)</f>
        <v>4</v>
      </c>
      <c r="AJ11" s="123">
        <f>SUMIF($E$7:$E$78,$AE11,$G$7:$G$78) + SUMIF($H$7:$H$78,$AE11,$F$7:$F$78)</f>
        <v>3</v>
      </c>
      <c r="AL11" s="123">
        <f>AI11-AJ11</f>
        <v>1</v>
      </c>
      <c r="AM11" s="123">
        <f>AL11-AL12</f>
        <v>7</v>
      </c>
      <c r="AN11" s="123">
        <f>AF11*3+AG11</f>
        <v>4</v>
      </c>
      <c r="AO11" s="123">
        <f>AN11/AN12*10+BA11</f>
        <v>4.9805825242718447</v>
      </c>
      <c r="AP11" s="123">
        <f>AO11*10000000+BI11*100+AM11/AM12*10+AI11/AI12*1++IF(AQ11=0,ROW(),AQ11)/2000000</f>
        <v>49805929.579499342</v>
      </c>
      <c r="AQ11" s="126">
        <f>VLOOKUP(AE11,db_fifarank,2,FALSE)</f>
        <v>1501.38</v>
      </c>
      <c r="AR11" s="125">
        <f>AP11/AP12</f>
        <v>0.55339914956554614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1</v>
      </c>
      <c r="AV11" s="126" cm="1">
        <f t="array" ref="AV11">SUMPRODUCT(($E$7:$E$78=AE11)*($U$7:$U$78)*($F$7:$F$78))+SUMPRODUCT(($H$7:$H$78=AE11)*($U$7:$U$78)*($G$7:$G$78))</f>
        <v>1</v>
      </c>
      <c r="AW11" s="126" cm="1">
        <f t="array" ref="AW11">SUMPRODUCT(($E$7:$E$78=AE11)*($U$7:$U$78)*($G$7:$G$78))+SUMPRODUCT(($H$7:$H$78=AE11)*($U$7:$U$78)*($F$7:$F$78))</f>
        <v>1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50.5</v>
      </c>
      <c r="BA11" s="126">
        <f>AZ11/AZ12</f>
        <v>0.98058252427184467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1</v>
      </c>
      <c r="BD11" s="126" cm="1">
        <f t="array" ref="BD11">SUMPRODUCT(($E$7:$E$78=AE11)*($X$7:$X$78)*($F$7:$F$78))+SUMPRODUCT(($H$7:$H$78=AE11)*($X$7:$X$78)*($G$7:$G$78))</f>
        <v>1</v>
      </c>
      <c r="BE11" s="126" cm="1">
        <f t="array" ref="BE11">SUMPRODUCT(($E$7:$E$78=AE11)*($X$7:$X$78)*($G$7:$G$78))+SUMPRODUCT(($H$7:$H$78=AE11)*($X$7:$X$78)*($F$7:$F$78))</f>
        <v>1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50.5</v>
      </c>
      <c r="BI11" s="126">
        <f>BH11/BH12</f>
        <v>0.98058252427184467</v>
      </c>
      <c r="BK11" s="14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0 - 6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2</v>
      </c>
      <c r="AH12" s="123">
        <f t="shared" si="12"/>
        <v>4</v>
      </c>
      <c r="AI12" s="123">
        <f>MAX(AI8:AI11)+1</f>
        <v>9</v>
      </c>
      <c r="AL12" s="123">
        <f>MIN(AL8:AL11)</f>
        <v>-6</v>
      </c>
      <c r="AM12" s="123">
        <f>MAX(AM8:AM11)+1</f>
        <v>12</v>
      </c>
      <c r="AN12" s="123">
        <f>MAX(AN8:AN11)+1</f>
        <v>10</v>
      </c>
      <c r="AO12" s="123">
        <f>MAX(AO8:AO11)+1</f>
        <v>10</v>
      </c>
      <c r="AP12" s="123">
        <f>MAX(AP8:AP11)+1</f>
        <v>90000011.056396082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>
        <v>1</v>
      </c>
      <c r="BV12" s="25"/>
      <c r="BW12" s="112">
        <f>IF(OR(BT12="",BT13="",AND(BU12="",BU13&lt;&gt;""),AND(BU13="",BU12&lt;&gt;""),AND(BV12="",BV13&lt;&gt;""),AND(BV13="",BV12&lt;&gt;"")),"",BT12*1000+BU12*10+BV12)</f>
        <v>1010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1</v>
      </c>
      <c r="BU13" s="64">
        <v>2</v>
      </c>
      <c r="BV13" s="27"/>
      <c r="BW13" s="113">
        <f>IF(BW12="","",BT13*1000+BU13*10+BV13)</f>
        <v>1020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0</v>
      </c>
      <c r="AH14" s="123">
        <f>COUNTIF($S$7:$T$78,"=" &amp; AE14 &amp; "_lose")</f>
        <v>1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6</v>
      </c>
      <c r="AN14" s="123">
        <f>AF14*3+AG14</f>
        <v>6</v>
      </c>
      <c r="AO14" s="123">
        <f>AN14/AN18*10+BA14</f>
        <v>6</v>
      </c>
      <c r="AP14" s="123">
        <f>AO14*10000000+BI14*100+AM14/AM18*10+AI14/AI18*1++IF(AQ14=0,ROW(),AQ14)/2000000</f>
        <v>60000004.991162859</v>
      </c>
      <c r="AQ14" s="126">
        <f>VLOOKUP(AE14,db_fifarank,2,FALSE)</f>
        <v>1556.48</v>
      </c>
      <c r="AR14" s="125">
        <f>AP14/AP18</f>
        <v>0.66666663985296892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7 - 0</v>
      </c>
      <c r="P15" s="32">
        <f>L15*3+M15</f>
        <v>9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0</v>
      </c>
      <c r="AH15" s="123">
        <f>COUNTIF($S$7:$T$78,"=" &amp; AE15 &amp; "_lose")</f>
        <v>2</v>
      </c>
      <c r="AI15" s="123">
        <f>SUMIF($E$7:$E$78,$AE15,$F$7:$F$78) + SUMIF($H$7:$H$78,$AE15,$G$7:$G$78)</f>
        <v>2</v>
      </c>
      <c r="AJ15" s="123">
        <f>SUMIF($E$7:$E$78,$AE15,$G$7:$G$78) + SUMIF($H$7:$H$78,$AE15,$F$7:$F$78)</f>
        <v>5</v>
      </c>
      <c r="AL15" s="123">
        <f>AI15-AJ15</f>
        <v>-3</v>
      </c>
      <c r="AM15" s="123">
        <f>AL15-AL18</f>
        <v>2</v>
      </c>
      <c r="AN15" s="123">
        <f>AF15*3+AG15</f>
        <v>3</v>
      </c>
      <c r="AO15" s="123">
        <f>AN15/AN18*10+BA15</f>
        <v>3</v>
      </c>
      <c r="AP15" s="123">
        <f>AO15*10000000+BI15*100+AM15/AM18*10+AI15/AI18*1++IF(AQ15=0,ROW(),AQ15)/2000000</f>
        <v>30000001.789154459</v>
      </c>
      <c r="AQ15" s="126">
        <f>VLOOKUP(AE15,db_fifarank,2,FALSE)</f>
        <v>1385.84</v>
      </c>
      <c r="AR15" s="125">
        <f>AP15/AP18</f>
        <v>0.33333331207729683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Iran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2</v>
      </c>
      <c r="M16" s="23">
        <f>VLOOKUP(2,AD14:AN17,4,FALSE)</f>
        <v>0</v>
      </c>
      <c r="N16" s="23">
        <f>VLOOKUP(2,AD14:AN17,5,FALSE)</f>
        <v>1</v>
      </c>
      <c r="O16" s="23" t="str">
        <f>VLOOKUP(2,AD14:AN17,6,FALSE) &amp; " - " &amp; VLOOKUP(2,AD14:AN17,7,FALSE)</f>
        <v>3 - 2</v>
      </c>
      <c r="P16" s="34">
        <f>L16*3+M16</f>
        <v>6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6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0.12572748</v>
      </c>
      <c r="AQ16" s="126">
        <f>VLOOKUP(AE16,db_fifarank,2,FALSE)</f>
        <v>1454.96</v>
      </c>
      <c r="AR16" s="125">
        <f>AP16/AP18</f>
        <v>1.3969718276044575E-9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3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3000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0</v>
      </c>
      <c r="N17" s="23">
        <f>VLOOKUP(3,AD14:AN17,5,FALSE)</f>
        <v>2</v>
      </c>
      <c r="O17" s="23" t="str">
        <f>VLOOKUP(3,AD14:AN17,6,FALSE) &amp; " - " &amp; VLOOKUP(3,AD14:AN17,7,FALSE)</f>
        <v>2 - 5</v>
      </c>
      <c r="P17" s="34">
        <f>L17*3+M17</f>
        <v>3</v>
      </c>
      <c r="R17" s="123">
        <f>DATE(2026,6,14)+TIME(9,0,0)+gmt_delta</f>
        <v>46187.833333333336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1</v>
      </c>
      <c r="W17" s="123">
        <f t="shared" si="4"/>
        <v>1</v>
      </c>
      <c r="X17" s="123">
        <f t="shared" si="9"/>
        <v>1</v>
      </c>
      <c r="Y17" s="123">
        <f t="shared" si="10"/>
        <v>1</v>
      </c>
      <c r="Z17" s="123">
        <f t="shared" si="11"/>
        <v>1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7</v>
      </c>
      <c r="AJ17" s="123">
        <f>SUMIF($E$7:$E$78,$AE17,$G$7:$G$78) + SUMIF($H$7:$H$78,$AE17,$F$7:$F$78)</f>
        <v>0</v>
      </c>
      <c r="AL17" s="123">
        <f>AI17-AJ17</f>
        <v>7</v>
      </c>
      <c r="AM17" s="123">
        <f>AL17-AL18</f>
        <v>12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90000010.106593937</v>
      </c>
      <c r="AQ17" s="126">
        <f>VLOOKUP(AE17,db_fifarank,2,FALSE)</f>
        <v>1649.4</v>
      </c>
      <c r="AR17" s="125">
        <f>AP17/AP18</f>
        <v>0.9999999888888903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/>
      <c r="CC17" s="27"/>
      <c r="CD17" s="113">
        <f>IF(CD16="","",CA17*1000+CB17*10+CC17)</f>
        <v>1000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1 - 6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1</v>
      </c>
      <c r="AH18" s="123">
        <f t="shared" si="13"/>
        <v>4</v>
      </c>
      <c r="AI18" s="123">
        <f>MAX(AI14:AI17)+1</f>
        <v>8</v>
      </c>
      <c r="AL18" s="123">
        <f>MIN(AL14:AL17)</f>
        <v>-5</v>
      </c>
      <c r="AM18" s="123">
        <f>MAX(AM14:AM17)+1</f>
        <v>13</v>
      </c>
      <c r="AN18" s="123">
        <f>MAX(AN14:AN17)+1</f>
        <v>10</v>
      </c>
      <c r="AO18" s="123">
        <f>MAX(AO14:AO17)+1</f>
        <v>10</v>
      </c>
      <c r="AP18" s="123">
        <f>MAX(AP14:AP17)+1</f>
        <v>90000011.106593937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Czech Republic</v>
      </c>
      <c r="BM18" s="61">
        <v>1</v>
      </c>
      <c r="BN18" s="63">
        <v>1</v>
      </c>
      <c r="BO18" s="25">
        <v>6</v>
      </c>
      <c r="BP18" s="112">
        <f>IF(OR(BM18="",BM19="",AND(BN18="",BN19&lt;&gt;""),AND(BN19="",BN18&lt;&gt;""),AND(BO18="",BO19&lt;&gt;""),AND(BO19="",BO18&lt;&gt;"")),"",BM18*1000+BN18*10+BO18)</f>
        <v>1016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1</v>
      </c>
      <c r="BO19" s="27">
        <v>4</v>
      </c>
      <c r="BP19" s="113">
        <f>IF(BP18="","",BM19*1000+BN19*10+BO19)</f>
        <v>1014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8</v>
      </c>
      <c r="AJ20" s="123">
        <f>SUMIF($E$7:$E$78,$AE20,$G$7:$G$78) + SUMIF($H$7:$H$78,$AE20,$F$7:$F$78)</f>
        <v>2</v>
      </c>
      <c r="AL20" s="123">
        <f>AI20-AJ20</f>
        <v>6</v>
      </c>
      <c r="AM20" s="123">
        <f>AL20-AL24</f>
        <v>11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90000010.056436151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Czech Republic</v>
      </c>
      <c r="BT20" s="61">
        <v>1</v>
      </c>
      <c r="BU20" s="63">
        <v>2</v>
      </c>
      <c r="BV20" s="25">
        <v>5</v>
      </c>
      <c r="BW20" s="116">
        <f>IF(OR(BT20="",BT21="",AND(BU20="",BU21&lt;&gt;""),AND(BU21="",BU20&lt;&gt;""),AND(BV20="",BV21&lt;&gt;""),AND(BV21="",BV20&lt;&gt;"")),"",BT20*1000+BU20*10+BV20)</f>
        <v>1025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2</v>
      </c>
      <c r="G21" s="20">
        <v>1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8 - 2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0</v>
      </c>
      <c r="AH21" s="123">
        <f>COUNTIF($S$7:$T$78,"=" &amp; AE21 &amp; "_lose")</f>
        <v>1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3</v>
      </c>
      <c r="AL21" s="123">
        <f>AI21-AJ21</f>
        <v>2</v>
      </c>
      <c r="AM21" s="123">
        <f>AL21-AL24</f>
        <v>7</v>
      </c>
      <c r="AN21" s="123">
        <f>AF21*3+AG21</f>
        <v>6</v>
      </c>
      <c r="AO21" s="123">
        <f>AN21/AN24*10+BA21</f>
        <v>6</v>
      </c>
      <c r="AP21" s="123">
        <f>AO21*10000000+BI21*100+AM21/AM24*10+AI21/AI24*1++IF(AQ21=0,ROW(),AQ21)/2000000</f>
        <v>60000006.38976682</v>
      </c>
      <c r="AQ21" s="126">
        <f>VLOOKUP(AE21,db_fifarank,2,FALSE)</f>
        <v>1755.87</v>
      </c>
      <c r="AR21" s="125">
        <f>AP21/AP24</f>
        <v>0.66666665576455009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>
        <v>2</v>
      </c>
      <c r="BV21" s="27">
        <v>6</v>
      </c>
      <c r="BW21" s="112">
        <f>IF(BW20="","",BT21*1000+BU21*10+BV21)</f>
        <v>1026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2</v>
      </c>
      <c r="G22" s="20">
        <v>2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5 - 3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Belgium_draw</v>
      </c>
      <c r="T22" s="127" t="str">
        <f t="shared" si="2"/>
        <v>Egypt_draw</v>
      </c>
      <c r="U22" s="123">
        <f t="shared" si="8"/>
        <v>1</v>
      </c>
      <c r="V22" s="123">
        <f t="shared" si="3"/>
        <v>2</v>
      </c>
      <c r="W22" s="123">
        <f t="shared" si="4"/>
        <v>2</v>
      </c>
      <c r="X22" s="123">
        <f t="shared" si="9"/>
        <v>1</v>
      </c>
      <c r="Y22" s="123">
        <f t="shared" si="10"/>
        <v>2</v>
      </c>
      <c r="Z22" s="123">
        <f t="shared" si="11"/>
        <v>2</v>
      </c>
      <c r="AA22" s="123">
        <f t="shared" si="5"/>
        <v>0</v>
      </c>
      <c r="AB22" s="123">
        <f t="shared" si="6"/>
        <v>0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1</v>
      </c>
      <c r="AJ22" s="123">
        <f>SUMIF($E$7:$E$78,$AE22,$G$7:$G$78) + SUMIF($H$7:$H$78,$AE22,$F$7:$F$78)</f>
        <v>6</v>
      </c>
      <c r="AL22" s="123">
        <f>AI22-AJ22</f>
        <v>-5</v>
      </c>
      <c r="AM22" s="123">
        <f>AL22-AL24</f>
        <v>0</v>
      </c>
      <c r="AN22" s="123">
        <f>AF22*3+AG22</f>
        <v>1</v>
      </c>
      <c r="AO22" s="123">
        <f>AN22/AN24*10+BA22</f>
        <v>1.9803921568627452</v>
      </c>
      <c r="AP22" s="123">
        <f>AO22*10000000+BI22*100+AM22/AM24*10+AI22/AI24*1++IF(AQ22=0,ROW(),AQ22)/2000000</f>
        <v>19804019.719600104</v>
      </c>
      <c r="AQ22" s="126">
        <f>VLOOKUP(AE22,db_fifarank,2,FALSE)</f>
        <v>1291.71</v>
      </c>
      <c r="AR22" s="125">
        <f>AP22/AP24</f>
        <v>0.22004463651878478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1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50</v>
      </c>
      <c r="BA22" s="126">
        <f>AZ22/AZ24</f>
        <v>0.98039215686274506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1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50</v>
      </c>
      <c r="BI22" s="126">
        <f>BH22/BH24</f>
        <v>0.98039215686274506</v>
      </c>
      <c r="BK22" s="141">
        <v>75</v>
      </c>
      <c r="BL22" s="24" t="str">
        <f>AS38</f>
        <v>Netherlands</v>
      </c>
      <c r="BM22" s="61">
        <v>2</v>
      </c>
      <c r="BN22" s="63">
        <v>2</v>
      </c>
      <c r="BO22" s="25">
        <v>6</v>
      </c>
      <c r="BP22" s="116">
        <f>IF(OR(BM22="",BM23="",AND(BN22="",BN23&lt;&gt;""),AND(BN23="",BN22&lt;&gt;""),AND(BO22="",BO23&lt;&gt;""),AND(BO23="",BO22&lt;&gt;"")),"",BM22*1000+BN22*10+BO22)</f>
        <v>2026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0</v>
      </c>
      <c r="M23" s="23">
        <f>VLOOKUP(3,AD20:AN23,4,FALSE)</f>
        <v>1</v>
      </c>
      <c r="N23" s="23">
        <f>VLOOKUP(3,AD20:AN23,5,FALSE)</f>
        <v>2</v>
      </c>
      <c r="O23" s="23" t="str">
        <f>VLOOKUP(3,AD20:AN23,6,FALSE) &amp; " - " &amp; VLOOKUP(3,AD20:AN23,7,FALSE)</f>
        <v>1 - 4</v>
      </c>
      <c r="P23" s="34">
        <f>L23*3+M23</f>
        <v>1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0</v>
      </c>
      <c r="AG23" s="123">
        <f>COUNTIF($S$7:$T$78,"=" &amp; AE23 &amp; "_draw")</f>
        <v>1</v>
      </c>
      <c r="AH23" s="123">
        <f>COUNTIF($S$7:$T$78,"=" &amp; AE23 &amp; "_lose")</f>
        <v>2</v>
      </c>
      <c r="AI23" s="123">
        <f>SUMIF($E$7:$E$78,$AE23,$F$7:$F$78) + SUMIF($H$7:$H$78,$AE23,$G$7:$G$78)</f>
        <v>1</v>
      </c>
      <c r="AJ23" s="123">
        <f>SUMIF($E$7:$E$78,$AE23,$G$7:$G$78) + SUMIF($H$7:$H$78,$AE23,$F$7:$F$78)</f>
        <v>4</v>
      </c>
      <c r="AL23" s="123">
        <f>AI23-AJ23</f>
        <v>-3</v>
      </c>
      <c r="AM23" s="123">
        <f>AL23-AL24</f>
        <v>2</v>
      </c>
      <c r="AN23" s="123">
        <f>AF23*3+AG23</f>
        <v>1</v>
      </c>
      <c r="AO23" s="123">
        <f>AN23/AN24*10+BA23</f>
        <v>1.9803921568627452</v>
      </c>
      <c r="AP23" s="123">
        <f>AO23*10000000+BI23*100+AM23/AM24*10+AI23/AI24*1++IF(AQ23=0,ROW(),AQ23)/2000000</f>
        <v>19804021.386370093</v>
      </c>
      <c r="AQ23" s="126">
        <f>VLOOKUP(AE23,db_fifarank,2,FALSE)</f>
        <v>1498.35</v>
      </c>
      <c r="AR23" s="125">
        <f>AP23/AP24</f>
        <v>0.22004465503844906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1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50</v>
      </c>
      <c r="BA23" s="126">
        <f>AZ23/AZ24</f>
        <v>0.98039215686274506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1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50</v>
      </c>
      <c r="BI23" s="126">
        <f>BH23/BH24</f>
        <v>0.98039215686274506</v>
      </c>
      <c r="BK23" s="142"/>
      <c r="BL23" s="26" t="str">
        <f>AS21</f>
        <v>Morocco</v>
      </c>
      <c r="BM23" s="62">
        <v>2</v>
      </c>
      <c r="BN23" s="64">
        <v>2</v>
      </c>
      <c r="BO23" s="27">
        <v>4</v>
      </c>
      <c r="BP23" s="112">
        <f>IF(BP22="","",BM23*1000+BN23*10+BO23)</f>
        <v>2024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1 - 6</v>
      </c>
      <c r="P24" s="37">
        <f>L24*3+M24</f>
        <v>1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3</v>
      </c>
      <c r="AI24" s="123">
        <f>MAX(AI20:AI23)+1</f>
        <v>9</v>
      </c>
      <c r="AL24" s="123">
        <f>MIN(AL20:AL23)</f>
        <v>-5</v>
      </c>
      <c r="AM24" s="123">
        <f>MAX(AM20:AM23)+1</f>
        <v>12</v>
      </c>
      <c r="AN24" s="123">
        <f>MAX(AN20:AN23)+1</f>
        <v>10</v>
      </c>
      <c r="AO24" s="123">
        <f>MAX(AO20:AO23)+1</f>
        <v>10</v>
      </c>
      <c r="AP24" s="123">
        <f>MAX(AP20:AP23)+1</f>
        <v>90000011.056436151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51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51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6</v>
      </c>
      <c r="AJ26" s="123">
        <f>SUMIF($E$7:$E$78,$AE26,$G$7:$G$78) + SUMIF($H$7:$H$78,$AE26,$F$7:$F$78)</f>
        <v>4</v>
      </c>
      <c r="AL26" s="123">
        <f>AI26-AJ26</f>
        <v>2</v>
      </c>
      <c r="AM26" s="123">
        <f>AL26-AL30</f>
        <v>6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87500009.429407984</v>
      </c>
      <c r="AQ26" s="126">
        <f>VLOOKUP(AE26,db_fifarank,2,FALSE)</f>
        <v>1673.13</v>
      </c>
      <c r="AR26" s="125">
        <f>AP26/AP30</f>
        <v>0.99999998857142991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>
        <v>2</v>
      </c>
      <c r="BO26" s="25"/>
      <c r="BP26" s="112">
        <f>IF(OR(BM26="",BM27="",AND(BN26="",BN27&lt;&gt;""),AND(BN27="",BN26&lt;&gt;""),AND(BO26="",BO27&lt;&gt;""),AND(BO27="",BO26&lt;&gt;"")),"",BM26*1000+BN26*10+BO26)</f>
        <v>1020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2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4</v>
      </c>
      <c r="AL27" s="123">
        <f>AI27-AJ27</f>
        <v>0</v>
      </c>
      <c r="AM27" s="123">
        <f>AL27-AL30</f>
        <v>4</v>
      </c>
      <c r="AN27" s="123">
        <f>AF27*3+AG27</f>
        <v>4</v>
      </c>
      <c r="AO27" s="123">
        <f>AN27/AN30*10+BA27</f>
        <v>5</v>
      </c>
      <c r="AP27" s="123">
        <f>AO27*10000000+BI27*100+AM27/AM30*10+AI27/AI30*1++IF(AQ27=0,ROW(),AQ27)/2000000</f>
        <v>50000006.28646604</v>
      </c>
      <c r="AQ27" s="126">
        <f>VLOOKUP(AE27,db_fifarank,2,FALSE)</f>
        <v>1503.5</v>
      </c>
      <c r="AR27" s="125">
        <f>AP27/AP30</f>
        <v>0.57142857516347767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1</v>
      </c>
      <c r="BN27" s="64">
        <v>1</v>
      </c>
      <c r="BO27" s="27"/>
      <c r="BP27" s="113">
        <f>IF(BP26="","",BM27*1000+BN27*10+BO27)</f>
        <v>1010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6 - 4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0</v>
      </c>
      <c r="AH28" s="123">
        <f>COUNTIF($S$7:$T$78,"=" &amp; AE28 &amp; "_lose")</f>
        <v>3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5</v>
      </c>
      <c r="AL28" s="123">
        <f>AI28-AJ28</f>
        <v>-4</v>
      </c>
      <c r="AM28" s="123">
        <f>AL28-AL30</f>
        <v>0</v>
      </c>
      <c r="AN28" s="123">
        <f>AF28*3+AG28</f>
        <v>0</v>
      </c>
      <c r="AO28" s="123">
        <f>AN28/AN30*10+BA28</f>
        <v>0</v>
      </c>
      <c r="AP28" s="123">
        <f>AO28*10000000+BI28*100+AM28/AM30*10+AI28/AI30*1++IF(AQ28=0,ROW(),AQ28)/2000000</f>
        <v>0.14364747785714285</v>
      </c>
      <c r="AQ28" s="126">
        <f>VLOOKUP(AE28,db_fifarank,2,FALSE)</f>
        <v>1580.67</v>
      </c>
      <c r="AR28" s="125">
        <f>AP28/AP30</f>
        <v>1.6416852655467135E-9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Colombia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4 - 4</v>
      </c>
      <c r="P29" s="34">
        <f>L29*3+M29</f>
        <v>4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6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62500009.429370955</v>
      </c>
      <c r="AQ29" s="126">
        <f>VLOOKUP(AE29,db_fifarank,2,FALSE)</f>
        <v>1599.04</v>
      </c>
      <c r="AR29" s="125">
        <f>AP29/AP30</f>
        <v>0.71428573691192676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0</v>
      </c>
      <c r="N30" s="36">
        <f>VLOOKUP(4,AD26:AN29,5,FALSE)</f>
        <v>3</v>
      </c>
      <c r="O30" s="36" t="str">
        <f>VLOOKUP(4,AD26:AN29,6,FALSE) &amp; " - " &amp; VLOOKUP(4,AD26:AN29,7,FALSE)</f>
        <v>1 - 5</v>
      </c>
      <c r="P30" s="37">
        <f>L30*3+M30</f>
        <v>0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4</v>
      </c>
      <c r="AI30" s="123">
        <f>MAX(AI26:AI29)+1</f>
        <v>7</v>
      </c>
      <c r="AL30" s="123">
        <f>MIN(AL26:AL29)</f>
        <v>-4</v>
      </c>
      <c r="AM30" s="123">
        <f>MAX(AM26:AM29)+1</f>
        <v>7</v>
      </c>
      <c r="AN30" s="123">
        <f>MAX(AN26:AN29)+1</f>
        <v>8</v>
      </c>
      <c r="AO30" s="123">
        <f>MAX(AO26:AO29)+1</f>
        <v>9.75</v>
      </c>
      <c r="AP30" s="123">
        <f>MAX(AP26:AP29)+1</f>
        <v>87500010.429407984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3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3000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3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9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90000009.889754087</v>
      </c>
      <c r="AQ32" s="126">
        <f>VLOOKUP(AE32,db_fifarank,2,FALSE)</f>
        <v>1730.37</v>
      </c>
      <c r="AR32" s="125">
        <f>AP32/AP36</f>
        <v>0.99999998888889019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3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3000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3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2</v>
      </c>
      <c r="AH33" s="123">
        <f>COUNTIF($S$7:$T$78,"=" &amp; AE33 &amp; "_lose")</f>
        <v>1</v>
      </c>
      <c r="AI33" s="123">
        <f>SUMIF($E$7:$E$78,$AE33,$F$7:$F$78) + SUMIF($H$7:$H$78,$AE33,$G$7:$G$78)</f>
        <v>2</v>
      </c>
      <c r="AJ33" s="123">
        <f>SUMIF($E$7:$E$78,$AE33,$G$7:$G$78) + SUMIF($H$7:$H$78,$AE33,$F$7:$F$78)</f>
        <v>5</v>
      </c>
      <c r="AL33" s="123">
        <f>AI33-AJ33</f>
        <v>-3</v>
      </c>
      <c r="AM33" s="123">
        <f>AL33-AL36</f>
        <v>0</v>
      </c>
      <c r="AN33" s="123">
        <f>AF33*3+AG33</f>
        <v>2</v>
      </c>
      <c r="AO33" s="123">
        <f>AN33/AN36*10+BA33</f>
        <v>2</v>
      </c>
      <c r="AP33" s="123">
        <f>AO33*10000000+BI33*100+AM33/AM36*10+AI33/AI36*1++IF(AQ33=0,ROW(),AQ33)/2000000</f>
        <v>20000000.222869549</v>
      </c>
      <c r="AQ33" s="126">
        <f>VLOOKUP(AE33,db_fifarank,2,FALSE)</f>
        <v>1294.6500000000001</v>
      </c>
      <c r="AR33" s="125">
        <f>AP33/AP36</f>
        <v>0.2222221978102718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3</v>
      </c>
      <c r="G34" s="20">
        <v>2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4 - 4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4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6</v>
      </c>
      <c r="AL34" s="123">
        <f>AI34-AJ34</f>
        <v>-3</v>
      </c>
      <c r="AM34" s="123">
        <f>AL34-AL36</f>
        <v>0</v>
      </c>
      <c r="AN34" s="123">
        <f>AF34*3+AG34</f>
        <v>1</v>
      </c>
      <c r="AO34" s="123">
        <f>AN34/AN36*10+BA34</f>
        <v>1</v>
      </c>
      <c r="AP34" s="123">
        <f>AO34*10000000+BI34*100+AM34/AM36*10+AI34/AI36*1++IF(AQ34=0,ROW(),AQ34)/2000000</f>
        <v>10000000.334099824</v>
      </c>
      <c r="AQ34" s="126">
        <f>VLOOKUP(AE34,db_fifarank,2,FALSE)</f>
        <v>1532.98</v>
      </c>
      <c r="AR34" s="125">
        <f>AP34/AP36</f>
        <v>0.11111110137919171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4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4</v>
      </c>
      <c r="G35" s="20">
        <v>1</v>
      </c>
      <c r="H35" s="80" t="str">
        <f>AE22</f>
        <v>Haiti</v>
      </c>
      <c r="J35" s="33" t="str">
        <f>VLOOKUP(3,AD32:AN35,2,FALSE)</f>
        <v>Curaçao</v>
      </c>
      <c r="K35" s="23">
        <f>L35+M35+N35</f>
        <v>3</v>
      </c>
      <c r="L35" s="23">
        <f>VLOOKUP(3,AD32:AN35,3,FALSE)</f>
        <v>0</v>
      </c>
      <c r="M35" s="23">
        <f>VLOOKUP(3,AD32:AN35,4,FALSE)</f>
        <v>2</v>
      </c>
      <c r="N35" s="23">
        <f>VLOOKUP(3,AD32:AN35,5,FALSE)</f>
        <v>1</v>
      </c>
      <c r="O35" s="23" t="str">
        <f>VLOOKUP(3,AD32:AN35,6,FALSE) &amp; " - " &amp; VLOOKUP(3,AD32:AN35,7,FALSE)</f>
        <v>2 - 5</v>
      </c>
      <c r="P35" s="34">
        <f>L35*3+M35</f>
        <v>2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4</v>
      </c>
      <c r="AJ35" s="123">
        <f>SUMIF($E$7:$E$78,$AE35,$G$7:$G$78) + SUMIF($H$7:$H$78,$AE35,$F$7:$F$78)</f>
        <v>4</v>
      </c>
      <c r="AL35" s="123">
        <f>AI35-AJ35</f>
        <v>0</v>
      </c>
      <c r="AM35" s="123">
        <f>AL35-AL36</f>
        <v>3</v>
      </c>
      <c r="AN35" s="123">
        <f>AF35*3+AG35</f>
        <v>4</v>
      </c>
      <c r="AO35" s="123">
        <f>AN35/AN36*10+BA35</f>
        <v>4</v>
      </c>
      <c r="AP35" s="123">
        <f>AO35*10000000+BI35*100+AM35/AM36*10+AI35/AI36*1++IF(AQ35=0,ROW(),AQ35)/2000000</f>
        <v>40000003.445241839</v>
      </c>
      <c r="AQ35" s="126">
        <f>VLOOKUP(AE35,db_fifarank,2,FALSE)</f>
        <v>1594.78</v>
      </c>
      <c r="AR35" s="125">
        <f>AP35/AP36</f>
        <v>0.44444442894834779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Ivory Coast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3 - 6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3</v>
      </c>
      <c r="AH36" s="123">
        <f t="shared" si="16"/>
        <v>3</v>
      </c>
      <c r="AI36" s="123">
        <f>MAX(AI32:AI35)+1</f>
        <v>9</v>
      </c>
      <c r="AL36" s="123">
        <f>MIN(AL32:AL35)</f>
        <v>-3</v>
      </c>
      <c r="AM36" s="123">
        <f>MAX(AM32:AM35)+1</f>
        <v>10</v>
      </c>
      <c r="AN36" s="123">
        <f>MAX(AN32:AN35)+1</f>
        <v>10</v>
      </c>
      <c r="AO36" s="123">
        <f>MAX(AO32:AO35)+1</f>
        <v>10</v>
      </c>
      <c r="AP36" s="123">
        <f>MAX(AP32:AP35)+1</f>
        <v>90000010.889754087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>
        <v>6</v>
      </c>
      <c r="BW36" s="116">
        <f>IF(OR(BT36="",BT37="",AND(BU36="",BU37&lt;&gt;""),AND(BU37="",BU36&lt;&gt;""),AND(BV36="",BV37&lt;&gt;""),AND(BV37="",BV36&lt;&gt;"")),"",BT36*1000+BU36*10+BV36)</f>
        <v>1016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Korea Republic</v>
      </c>
      <c r="BT37" s="62">
        <v>1</v>
      </c>
      <c r="BU37" s="64">
        <v>1</v>
      </c>
      <c r="BV37" s="27">
        <v>4</v>
      </c>
      <c r="BW37" s="112">
        <f>IF(BW36="","",BT37*1000+BU37*10+BV37)</f>
        <v>1014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3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3000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5</v>
      </c>
      <c r="AJ38" s="123">
        <f>SUMIF($E$7:$E$78,$AE38,$G$7:$G$78) + SUMIF($H$7:$H$78,$AE38,$F$7:$F$78)</f>
        <v>2</v>
      </c>
      <c r="AL38" s="123">
        <f>AI38-AJ38</f>
        <v>3</v>
      </c>
      <c r="AM38" s="123">
        <f>AL38-AL42</f>
        <v>8</v>
      </c>
      <c r="AN38" s="123">
        <f>AF38*3+AG38</f>
        <v>7</v>
      </c>
      <c r="AO38" s="123">
        <f>AN38/AN42*10+BA38</f>
        <v>9.7305825242718456</v>
      </c>
      <c r="AP38" s="123">
        <f>AO38*10000000+BI38*100+AM38/AM42*10+AI38/AI42*1++IF(AQ38=0,ROW(),AQ38)/2000000</f>
        <v>97305933.024072036</v>
      </c>
      <c r="AQ38" s="126">
        <f>VLOOKUP(AE38,db_fifarank,2,FALSE)</f>
        <v>1757.87</v>
      </c>
      <c r="AR38" s="125">
        <f>AP38/AP42</f>
        <v>0.99999998972313442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1</v>
      </c>
      <c r="AW38" s="126" cm="1">
        <f t="array" ref="AW38">SUMPRODUCT(($E$7:$E$78=AE38)*($U$7:$U$78)*($G$7:$G$78))+SUMPRODUCT(($H$7:$H$78=AE38)*($U$7:$U$78)*($F$7:$F$78))</f>
        <v>1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50.5</v>
      </c>
      <c r="BA38" s="126">
        <f>AZ38/AZ42</f>
        <v>0.98058252427184467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1</v>
      </c>
      <c r="BE38" s="126" cm="1">
        <f t="array" ref="BE38">SUMPRODUCT(($E$7:$E$78=AE38)*($X$7:$X$78)*($G$7:$G$78))+SUMPRODUCT(($H$7:$H$78=AE38)*($X$7:$X$78)*($F$7:$F$78))</f>
        <v>1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50.5</v>
      </c>
      <c r="BI38" s="126">
        <f>BH38/BH42</f>
        <v>0.98058252427184467</v>
      </c>
      <c r="BK38" s="141">
        <v>82</v>
      </c>
      <c r="BL38" s="24" t="str">
        <f>AS44</f>
        <v>Belgium</v>
      </c>
      <c r="BM38" s="61">
        <v>1</v>
      </c>
      <c r="BN38" s="63">
        <v>1</v>
      </c>
      <c r="BO38" s="25">
        <v>5</v>
      </c>
      <c r="BP38" s="116">
        <f>IF(OR(BM38="",BM39="",AND(BN38="",BN39&lt;&gt;""),AND(BN39="",BN38&lt;&gt;""),AND(BO38="",BO39&lt;&gt;""),AND(BO39="",BO38&lt;&gt;"")),"",BM38*1000+BN38*10+BO38)</f>
        <v>1015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/>
      <c r="CQ38" s="27"/>
      <c r="CR38" s="111">
        <f>IF(CR37="","",CO38*1000+CP38*10+CQ38)</f>
        <v>1000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3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5 - 2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1</v>
      </c>
      <c r="AL39" s="123">
        <f>AI39-AJ39</f>
        <v>3</v>
      </c>
      <c r="AM39" s="123">
        <f>AL39-AL42</f>
        <v>8</v>
      </c>
      <c r="AN39" s="123">
        <f>AF39*3+AG39</f>
        <v>7</v>
      </c>
      <c r="AO39" s="123">
        <f>AN39/AN42*10+BA39</f>
        <v>9.7305825242718456</v>
      </c>
      <c r="AP39" s="123">
        <f>AO39*10000000+BI39*100+AM39/AM42*10+AI39/AI42*1++IF(AQ39=0,ROW(),AQ39)/2000000</f>
        <v>97305932.857356668</v>
      </c>
      <c r="AQ39" s="126">
        <f>VLOOKUP(AE39,db_fifarank,2,FALSE)</f>
        <v>1660.43</v>
      </c>
      <c r="AR39" s="125">
        <f>AP39/AP42</f>
        <v>0.99999998800982304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1</v>
      </c>
      <c r="AW39" s="126" cm="1">
        <f t="array" ref="AW39">SUMPRODUCT(($E$7:$E$78=AE39)*($U$7:$U$78)*($G$7:$G$78))+SUMPRODUCT(($H$7:$H$78=AE39)*($U$7:$U$78)*($F$7:$F$78))</f>
        <v>1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50.5</v>
      </c>
      <c r="BA39" s="126">
        <f>AZ39/AZ42</f>
        <v>0.98058252427184467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1</v>
      </c>
      <c r="BE39" s="126" cm="1">
        <f t="array" ref="BE39">SUMPRODUCT(($E$7:$E$78=AE39)*($X$7:$X$78)*($G$7:$G$78))+SUMPRODUCT(($H$7:$H$78=AE39)*($X$7:$X$78)*($F$7:$F$78))</f>
        <v>1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50.5</v>
      </c>
      <c r="BI39" s="126">
        <f>BH39/BH42</f>
        <v>0.98058252427184467</v>
      </c>
      <c r="BK39" s="142"/>
      <c r="BL39" s="26" t="str">
        <f>IF(group_round_completed,VLOOKUP('3rd places'!H3,AK80:AS91,9,FALSE),"3rd Group A/E/H/I/J")</f>
        <v>Korea Republic</v>
      </c>
      <c r="BM39" s="62">
        <v>1</v>
      </c>
      <c r="BN39" s="64">
        <v>1</v>
      </c>
      <c r="BO39" s="27">
        <v>6</v>
      </c>
      <c r="BP39" s="112">
        <f>IF(BP38="","",BM39*1000+BN39*10+BO39)</f>
        <v>1016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1</v>
      </c>
      <c r="G40" s="20">
        <v>1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4 - 1</v>
      </c>
      <c r="P40" s="34">
        <f>L40*3+M40</f>
        <v>7</v>
      </c>
      <c r="R40" s="123">
        <f>DATE(2026,6,20)+TIME(13,0,0)+gmt_delta</f>
        <v>46194</v>
      </c>
      <c r="S40" s="127" t="str">
        <f t="shared" si="1"/>
        <v>Ecuador_draw</v>
      </c>
      <c r="T40" s="127" t="str">
        <f t="shared" si="2"/>
        <v>Curaçao_draw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0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2</v>
      </c>
      <c r="AJ40" s="123">
        <f>SUMIF($E$7:$E$78,$AE40,$G$7:$G$78) + SUMIF($H$7:$H$78,$AE40,$F$7:$F$78)</f>
        <v>3</v>
      </c>
      <c r="AL40" s="123">
        <f>AI40-AJ40</f>
        <v>-1</v>
      </c>
      <c r="AM40" s="123">
        <f>AL40-AL42</f>
        <v>4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37500004.778535165</v>
      </c>
      <c r="AQ40" s="126">
        <f>VLOOKUP(AE40,db_fifarank,2,FALSE)</f>
        <v>1514.77</v>
      </c>
      <c r="AR40" s="125">
        <f>AP40/AP42</f>
        <v>0.38538250677762592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2 - 3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5</v>
      </c>
      <c r="AL41" s="123">
        <f>AI41-AJ41</f>
        <v>-5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7.6205527179519981E-12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0 - 5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6</v>
      </c>
      <c r="AL42" s="123">
        <f>MIN(AL38:AL41)</f>
        <v>-5</v>
      </c>
      <c r="AM42" s="123">
        <f>MAX(AM38:AM41)+1</f>
        <v>9</v>
      </c>
      <c r="AN42" s="123">
        <f>MAX(AN38:AN41)+1</f>
        <v>8</v>
      </c>
      <c r="AO42" s="123">
        <f>MAX(AO38:AO41)+1</f>
        <v>10.730582524271846</v>
      </c>
      <c r="AP42" s="123">
        <f>MAX(AP38:AP41)+1</f>
        <v>97305934.024072036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2</v>
      </c>
      <c r="AW42" s="126">
        <f>MAX(AW38:AW41)-MIN(AW38:AW41)+1</f>
        <v>2</v>
      </c>
      <c r="AY42" s="126">
        <f>MAX(AY38:AY41)-MIN(AY38:AY41)+1</f>
        <v>1</v>
      </c>
      <c r="AZ42" s="126">
        <f>MAX(AZ38:AZ41)+1</f>
        <v>51.5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2</v>
      </c>
      <c r="BE42" s="126">
        <f>MAX(BE38:BE41)-MIN(BE38:BE41)+1</f>
        <v>2</v>
      </c>
      <c r="BG42" s="126">
        <f>MAX(BG38:BG41)-MIN(BG38:BG41)+1</f>
        <v>1</v>
      </c>
      <c r="BH42" s="126">
        <f>MAX(BH38:BH41)+1</f>
        <v>51.5</v>
      </c>
      <c r="BK42" s="141">
        <v>76</v>
      </c>
      <c r="BL42" s="24" t="str">
        <f>AS20</f>
        <v>Brazil</v>
      </c>
      <c r="BM42" s="61">
        <v>2</v>
      </c>
      <c r="BN42" s="63">
        <v>3</v>
      </c>
      <c r="BO42" s="25"/>
      <c r="BP42" s="112">
        <f>IF(OR(BM42="",BM43="",AND(BN42="",BN43&lt;&gt;""),AND(BN43="",BN42&lt;&gt;""),AND(BO42="",BO43&lt;&gt;""),AND(BO43="",BO42&lt;&gt;"")),"",BM42*1000+BN42*10+BO42)</f>
        <v>2030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Japan</v>
      </c>
      <c r="BM43" s="62">
        <v>2</v>
      </c>
      <c r="BN43" s="64">
        <v>2</v>
      </c>
      <c r="BO43" s="27"/>
      <c r="BP43" s="113">
        <f>IF(BP42="","",BM43*1000+BN43*10+BO43)</f>
        <v>2020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4</v>
      </c>
      <c r="G44" s="20">
        <v>1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3</v>
      </c>
      <c r="AL44" s="123">
        <f>AI44-AJ44</f>
        <v>3</v>
      </c>
      <c r="AM44" s="123">
        <f>AL44-AL48</f>
        <v>8</v>
      </c>
      <c r="AN44" s="123">
        <f>AF44*3+AG44</f>
        <v>7</v>
      </c>
      <c r="AO44" s="123">
        <f>AN44/AN48*10+BA44</f>
        <v>9.7306451612903224</v>
      </c>
      <c r="AP44" s="123">
        <f>AO44*10000000+BI44*100+AM44/AM48*10+AI44/AI48*1++IF(AQ44=0,ROW(),AQ44)/2000000</f>
        <v>97306559.424318448</v>
      </c>
      <c r="AQ44" s="126">
        <f>VLOOKUP(AE44,db_fifarank,2,FALSE)</f>
        <v>1734.71</v>
      </c>
      <c r="AR44" s="125">
        <f>AP44/AP48</f>
        <v>0.99999998972320059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1</v>
      </c>
      <c r="AV44" s="126" cm="1">
        <f t="array" ref="AV44">SUMPRODUCT(($E$7:$E$78=AE44)*($U$7:$U$78)*($F$7:$F$78))+SUMPRODUCT(($H$7:$H$78=AE44)*($U$7:$U$78)*($G$7:$G$78))</f>
        <v>2</v>
      </c>
      <c r="AW44" s="126" cm="1">
        <f t="array" ref="AW44">SUMPRODUCT(($E$7:$E$78=AE44)*($U$7:$U$78)*($G$7:$G$78))+SUMPRODUCT(($H$7:$H$78=AE44)*($U$7:$U$78)*($F$7:$F$78))</f>
        <v>2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50.666666666666664</v>
      </c>
      <c r="BA44" s="126">
        <f>AZ44/AZ48</f>
        <v>0.98064516129032253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1</v>
      </c>
      <c r="BD44" s="126" cm="1">
        <f t="array" ref="BD44">SUMPRODUCT(($E$7:$E$78=AE44)*($X$7:$X$78)*($F$7:$F$78))+SUMPRODUCT(($H$7:$H$78=AE44)*($X$7:$X$78)*($G$7:$G$78))</f>
        <v>2</v>
      </c>
      <c r="BE44" s="126" cm="1">
        <f t="array" ref="BE44">SUMPRODUCT(($E$7:$E$78=AE44)*($X$7:$X$78)*($G$7:$G$78))+SUMPRODUCT(($H$7:$H$78=AE44)*($X$7:$X$78)*($F$7:$F$78))</f>
        <v>2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50.666666666666664</v>
      </c>
      <c r="BI44" s="126">
        <f>BH44/BH48</f>
        <v>0.98064516129032253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1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6 - 3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1</v>
      </c>
      <c r="AH45" s="123">
        <f>COUNTIF($S$7:$T$78,"=" &amp; AE45 &amp; "_lose")</f>
        <v>0</v>
      </c>
      <c r="AI45" s="123">
        <f>SUMIF($E$7:$E$78,$AE45,$F$7:$F$78) + SUMIF($H$7:$H$78,$AE45,$G$7:$G$78)</f>
        <v>6</v>
      </c>
      <c r="AJ45" s="123">
        <f>SUMIF($E$7:$E$78,$AE45,$G$7:$G$78) + SUMIF($H$7:$H$78,$AE45,$F$7:$F$78)</f>
        <v>3</v>
      </c>
      <c r="AL45" s="123">
        <f>AI45-AJ45</f>
        <v>3</v>
      </c>
      <c r="AM45" s="123">
        <f>AL45-AL48</f>
        <v>8</v>
      </c>
      <c r="AN45" s="123">
        <f>AF45*3+AG45</f>
        <v>7</v>
      </c>
      <c r="AO45" s="123">
        <f>AN45/AN48*10+BA45</f>
        <v>9.7306451612903224</v>
      </c>
      <c r="AP45" s="123">
        <f>AO45*10000000+BI45*100+AM45/AM48*10+AI45/AI48*1++IF(AQ45=0,ROW(),AQ45)/2000000</f>
        <v>97306559.424232721</v>
      </c>
      <c r="AQ45" s="126">
        <f>VLOOKUP(AE45,db_fifarank,2,FALSE)</f>
        <v>1563.24</v>
      </c>
      <c r="AR45" s="125">
        <f>AP45/AP48</f>
        <v>0.99999998972231963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2</v>
      </c>
      <c r="AW45" s="126" cm="1">
        <f t="array" ref="AW45">SUMPRODUCT(($E$7:$E$78=AE45)*($U$7:$U$78)*($G$7:$G$78))+SUMPRODUCT(($H$7:$H$78=AE45)*($U$7:$U$78)*($F$7:$F$78))</f>
        <v>2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50.666666666666664</v>
      </c>
      <c r="BA45" s="126">
        <f>AZ45/AZ48</f>
        <v>0.98064516129032253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2</v>
      </c>
      <c r="BE45" s="126" cm="1">
        <f t="array" ref="BE45">SUMPRODUCT(($E$7:$E$78=AE45)*($X$7:$X$78)*($G$7:$G$78))+SUMPRODUCT(($H$7:$H$78=AE45)*($X$7:$X$78)*($F$7:$F$78))</f>
        <v>2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50.666666666666664</v>
      </c>
      <c r="BI45" s="126">
        <f>BH45/BH48</f>
        <v>0.98064516129032253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1</v>
      </c>
      <c r="N46" s="23">
        <f>VLOOKUP(2,AD44:AN47,5,FALSE)</f>
        <v>0</v>
      </c>
      <c r="O46" s="23" t="str">
        <f>VLOOKUP(2,AD44:AN47,6,FALSE) &amp; " - " &amp; VLOOKUP(2,AD44:AN47,7,FALSE)</f>
        <v>6 - 3</v>
      </c>
      <c r="P46" s="34">
        <f>L46*3+M46</f>
        <v>7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3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0</v>
      </c>
      <c r="AH46" s="123">
        <f>COUNTIF($S$7:$T$78,"=" &amp; AE46 &amp; "_lose")</f>
        <v>2</v>
      </c>
      <c r="AI46" s="123">
        <f>SUMIF($E$7:$E$78,$AE46,$F$7:$F$78) + SUMIF($H$7:$H$78,$AE46,$G$7:$G$78)</f>
        <v>4</v>
      </c>
      <c r="AJ46" s="123">
        <f>SUMIF($E$7:$E$78,$AE46,$G$7:$G$78) + SUMIF($H$7:$H$78,$AE46,$F$7:$F$78)</f>
        <v>5</v>
      </c>
      <c r="AL46" s="123">
        <f>AI46-AJ46</f>
        <v>-1</v>
      </c>
      <c r="AM46" s="123">
        <f>AL46-AL48</f>
        <v>4</v>
      </c>
      <c r="AN46" s="123">
        <f>AF46*3+AG46</f>
        <v>3</v>
      </c>
      <c r="AO46" s="123">
        <f>AN46/AN48*10+BA46</f>
        <v>3.75</v>
      </c>
      <c r="AP46" s="123">
        <f>AO46*10000000+BI46*100+AM46/AM48*10+AI46/AI48*1++IF(AQ46=0,ROW(),AQ46)/2000000</f>
        <v>37500005.016680673</v>
      </c>
      <c r="AQ46" s="126">
        <f>VLOOKUP(AE46,db_fifarank,2,FALSE)</f>
        <v>1615.3</v>
      </c>
      <c r="AR46" s="125">
        <f>AP46/AP48</f>
        <v>0.38538002836763335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2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2000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Iran</v>
      </c>
      <c r="K47" s="23">
        <f>L47+M47+N47</f>
        <v>3</v>
      </c>
      <c r="L47" s="23">
        <f>VLOOKUP(3,AD44:AN47,3,FALSE)</f>
        <v>1</v>
      </c>
      <c r="M47" s="23">
        <f>VLOOKUP(3,AD44:AN47,4,FALSE)</f>
        <v>0</v>
      </c>
      <c r="N47" s="23">
        <f>VLOOKUP(3,AD44:AN47,5,FALSE)</f>
        <v>2</v>
      </c>
      <c r="O47" s="23" t="str">
        <f>VLOOKUP(3,AD44:AN47,6,FALSE) &amp; " - " &amp; VLOOKUP(3,AD44:AN47,7,FALSE)</f>
        <v>4 - 5</v>
      </c>
      <c r="P47" s="34">
        <f>L47*3+M47</f>
        <v>3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0</v>
      </c>
      <c r="AH47" s="123">
        <f>COUNTIF($S$7:$T$78,"=" &amp; AE47 &amp; "_lose")</f>
        <v>3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6</v>
      </c>
      <c r="AL47" s="123">
        <f>AI47-AJ47</f>
        <v>-5</v>
      </c>
      <c r="AM47" s="123">
        <f>AL47-AL48</f>
        <v>0</v>
      </c>
      <c r="AN47" s="123">
        <f>AF47*3+AG47</f>
        <v>0</v>
      </c>
      <c r="AO47" s="123">
        <f>AN47/AN48*10+BA47</f>
        <v>0</v>
      </c>
      <c r="AP47" s="123">
        <f>AO47*10000000+BI47*100+AM47/AM48*10+AI47/AI48*1++IF(AQ47=0,ROW(),AQ47)/2000000</f>
        <v>0.14349792785714285</v>
      </c>
      <c r="AQ47" s="126">
        <f>VLOOKUP(AE47,db_fifarank,2,FALSE)</f>
        <v>1281.57</v>
      </c>
      <c r="AR47" s="125">
        <f>AP47/AP48</f>
        <v>1.4746994162716335E-9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0</v>
      </c>
      <c r="N48" s="36">
        <f>VLOOKUP(4,AD44:AN47,5,FALSE)</f>
        <v>3</v>
      </c>
      <c r="O48" s="36" t="str">
        <f>VLOOKUP(4,AD44:AN47,6,FALSE) &amp; " - " &amp; VLOOKUP(4,AD44:AN47,7,FALSE)</f>
        <v>1 - 6</v>
      </c>
      <c r="P48" s="37">
        <f>L48*3+M48</f>
        <v>0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2</v>
      </c>
      <c r="AH48" s="123">
        <f t="shared" si="24"/>
        <v>4</v>
      </c>
      <c r="AI48" s="123">
        <f>MAX(AI44:AI47)+1</f>
        <v>7</v>
      </c>
      <c r="AL48" s="123">
        <f>MIN(AL44:AL47)</f>
        <v>-5</v>
      </c>
      <c r="AM48" s="123">
        <f>MAX(AM44:AM47)+1</f>
        <v>9</v>
      </c>
      <c r="AN48" s="123">
        <f>MAX(AN44:AN47)+1</f>
        <v>8</v>
      </c>
      <c r="AO48" s="123">
        <f>MAX(AO44:AO47)+1</f>
        <v>10.730645161290322</v>
      </c>
      <c r="AP48" s="123">
        <f>MAX(AP44:AP47)+1</f>
        <v>97306560.424318448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3</v>
      </c>
      <c r="AW48" s="126">
        <f>MAX(AW44:AW47)-MIN(AW44:AW47)+1</f>
        <v>3</v>
      </c>
      <c r="AY48" s="126">
        <f>MAX(AY44:AY47)-MIN(AY44:AY47)+1</f>
        <v>1</v>
      </c>
      <c r="AZ48" s="126">
        <f>MAX(AZ44:AZ47)+1</f>
        <v>51.666666666666664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3</v>
      </c>
      <c r="BE48" s="126">
        <f>MAX(BE44:BE47)-MIN(BE44:BE47)+1</f>
        <v>3</v>
      </c>
      <c r="BG48" s="126">
        <f>MAX(BG44:BG47)-MIN(BG44:BG47)+1</f>
        <v>1</v>
      </c>
      <c r="BH48" s="126">
        <f>MAX(BH44:BH47)+1</f>
        <v>51.666666666666664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3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3000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3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2</v>
      </c>
      <c r="CB49" s="64"/>
      <c r="CC49" s="27"/>
      <c r="CD49" s="113">
        <f>IF(CD48="","",CA49*1000+CB49*10+CC49)</f>
        <v>2000</v>
      </c>
      <c r="CK49" s="114"/>
      <c r="CL49" s="115"/>
      <c r="CM49" s="142"/>
      <c r="CN49" s="26" t="str">
        <f>IF(CK55&gt;CK56,CG56,IF(CK55&lt;CK56,CG55,""))</f>
        <v>Argentina</v>
      </c>
      <c r="CO49" s="62">
        <v>2</v>
      </c>
      <c r="CP49" s="64"/>
      <c r="CQ49" s="27"/>
      <c r="CR49" s="111">
        <f>IF(CR48="","",CO49*1000+CP49*10+CQ49)</f>
        <v>2000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12</v>
      </c>
      <c r="AJ50" s="123">
        <f>SUMIF($E$7:$E$78,$AE50,$G$7:$G$78) + SUMIF($H$7:$H$78,$AE50,$F$7:$F$78)</f>
        <v>2</v>
      </c>
      <c r="AL50" s="123">
        <f>AI50-AJ50</f>
        <v>10</v>
      </c>
      <c r="AM50" s="123">
        <f>AL50-AL54</f>
        <v>17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90000010.368459582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3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3000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12 - 2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1</v>
      </c>
      <c r="AH51" s="123">
        <f>COUNTIF($S$7:$T$78,"=" &amp; AE51 &amp; "_lose")</f>
        <v>2</v>
      </c>
      <c r="AI51" s="123">
        <f>SUMIF($E$7:$E$78,$AE51,$F$7:$F$78) + SUMIF($H$7:$H$78,$AE51,$G$7:$G$78)</f>
        <v>0</v>
      </c>
      <c r="AJ51" s="123">
        <f>SUMIF($E$7:$E$78,$AE51,$G$7:$G$78) + SUMIF($H$7:$H$78,$AE51,$F$7:$F$78)</f>
        <v>7</v>
      </c>
      <c r="AL51" s="123">
        <f>AI51-AJ51</f>
        <v>-7</v>
      </c>
      <c r="AM51" s="123">
        <f>AL51-AL54</f>
        <v>0</v>
      </c>
      <c r="AN51" s="123">
        <f>AF51*3+AG51</f>
        <v>1</v>
      </c>
      <c r="AO51" s="123">
        <f>AN51/AN54*10+BA51</f>
        <v>1.9803921568627452</v>
      </c>
      <c r="AP51" s="123">
        <f>AO51*10000000+BI51*100+AM51/AM54*10+AI51/AI54*1++IF(AQ51=0,ROW(),AQ51)/2000000</f>
        <v>19804019.608526204</v>
      </c>
      <c r="AQ51" s="126">
        <f>VLOOKUP(AE51,db_fifarank,2,FALSE)</f>
        <v>1366.13</v>
      </c>
      <c r="AR51" s="125">
        <f>AP51/AP54</f>
        <v>0.22004463452175188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</v>
      </c>
      <c r="BA51" s="126">
        <f>AZ51/AZ54</f>
        <v>0.98039215686274506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</v>
      </c>
      <c r="BI51" s="126">
        <f>BH51/BH54</f>
        <v>0.98039215686274506</v>
      </c>
      <c r="BK51" s="142"/>
      <c r="BL51" s="26" t="str">
        <f>IF(group_round_completed,VLOOKUP('3rd places'!D3,AK80:AS91,9,FALSE),"3rd Group C/E/F/H/I")</f>
        <v>Sweden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3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1</v>
      </c>
      <c r="AH52" s="123">
        <f>COUNTIF($S$7:$T$78,"=" &amp; AE52 &amp; "_lose")</f>
        <v>2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5</v>
      </c>
      <c r="AL52" s="123">
        <f>AI52-AJ52</f>
        <v>-4</v>
      </c>
      <c r="AM52" s="123">
        <f>AL52-AL54</f>
        <v>3</v>
      </c>
      <c r="AN52" s="123">
        <f>AF52*3+AG52</f>
        <v>1</v>
      </c>
      <c r="AO52" s="123">
        <f>AN52/AN54*10+BA52</f>
        <v>1.9803921568627452</v>
      </c>
      <c r="AP52" s="123">
        <f>AO52*10000000+BI52*100+AM52/AM54*10+AI52/AI54*1++IF(AQ52=0,ROW(),AQ52)/2000000</f>
        <v>19804021.352143597</v>
      </c>
      <c r="AQ52" s="126">
        <f>VLOOKUP(AE52,db_fifarank,2,FALSE)</f>
        <v>1421.43</v>
      </c>
      <c r="AR52" s="125">
        <f>AP52/AP54</f>
        <v>0.22004465389527603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1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50</v>
      </c>
      <c r="BA52" s="126">
        <f>AZ52/AZ54</f>
        <v>0.98039215686274506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1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50</v>
      </c>
      <c r="BI52" s="126">
        <f>BH52/BH54</f>
        <v>0.98039215686274506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2</v>
      </c>
      <c r="BU52" s="63">
        <v>2</v>
      </c>
      <c r="BV52" s="25"/>
      <c r="BW52" s="116">
        <f>IF(OR(BT52="",BT53="",AND(BU52="",BU53&lt;&gt;""),AND(BU53="",BU52&lt;&gt;""),AND(BV52="",BV53&lt;&gt;""),AND(BV53="",BV52&lt;&gt;"")),"",BT52*1000+BU52*10+BV52)</f>
        <v>2020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Saudi Arabia</v>
      </c>
      <c r="K53" s="23">
        <f>L53+M53+N53</f>
        <v>3</v>
      </c>
      <c r="L53" s="23">
        <f>VLOOKUP(3,AD50:AN53,3,FALSE)</f>
        <v>0</v>
      </c>
      <c r="M53" s="23">
        <f>VLOOKUP(3,AD50:AN53,4,FALSE)</f>
        <v>1</v>
      </c>
      <c r="N53" s="23">
        <f>VLOOKUP(3,AD50:AN53,5,FALSE)</f>
        <v>2</v>
      </c>
      <c r="O53" s="23" t="str">
        <f>VLOOKUP(3,AD50:AN53,6,FALSE) &amp; " - " &amp; VLOOKUP(3,AD50:AN53,7,FALSE)</f>
        <v>1 - 5</v>
      </c>
      <c r="P53" s="34">
        <f>L53*3+M53</f>
        <v>1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8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60000004.752973288</v>
      </c>
      <c r="AQ53" s="126">
        <f>VLOOKUP(AE53,db_fifarank,2,FALSE)</f>
        <v>1673.07</v>
      </c>
      <c r="AR53" s="125">
        <f>AP53/AP54</f>
        <v>0.66666663526667325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>
        <v>3</v>
      </c>
      <c r="BV53" s="27"/>
      <c r="BW53" s="112">
        <f>IF(BW52="","",BT53*1000+BU53*10+BV53)</f>
        <v>2030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3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1</v>
      </c>
      <c r="N54" s="36">
        <f>VLOOKUP(4,AD50:AN53,5,FALSE)</f>
        <v>2</v>
      </c>
      <c r="O54" s="36" t="str">
        <f>VLOOKUP(4,AD50:AN53,6,FALSE) &amp; " - " &amp; VLOOKUP(4,AD50:AN53,7,FALSE)</f>
        <v>0 - 7</v>
      </c>
      <c r="P54" s="37">
        <f>L54*3+M54</f>
        <v>1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3</v>
      </c>
      <c r="AI54" s="123">
        <f>MAX(AI50:AI53)+1</f>
        <v>13</v>
      </c>
      <c r="AL54" s="123">
        <f>MIN(AL50:AL53)</f>
        <v>-7</v>
      </c>
      <c r="AM54" s="123">
        <f>MAX(AM50:AM53)+1</f>
        <v>18</v>
      </c>
      <c r="AN54" s="123">
        <f>MAX(AN50:AN53)+1</f>
        <v>10</v>
      </c>
      <c r="AO54" s="123">
        <f>MAX(AO50:AO53)+1</f>
        <v>10</v>
      </c>
      <c r="AP54" s="123">
        <f>MAX(AP50:AP53)+1</f>
        <v>90000011.368459582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51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51</v>
      </c>
      <c r="BK54" s="141">
        <v>80</v>
      </c>
      <c r="BL54" s="24" t="str">
        <f>AS74</f>
        <v>England</v>
      </c>
      <c r="BM54" s="61">
        <v>2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2000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0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3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3000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2</v>
      </c>
      <c r="AL56" s="123">
        <f>AI56-AJ56</f>
        <v>5</v>
      </c>
      <c r="AM56" s="123">
        <f>AL56-AL60</f>
        <v>12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90000010.106707886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/>
      <c r="CJ56" s="27"/>
      <c r="CK56" s="112">
        <f>IF(CK55="","",CH56*1000+CI56*10+CJ56)</f>
        <v>2000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2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7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30000005.885459878</v>
      </c>
      <c r="AQ57" s="126">
        <f>VLOOKUP(AE57,db_fifarank,2,FALSE)</f>
        <v>1688.99</v>
      </c>
      <c r="AR57" s="125">
        <f>AP57/AP60</f>
        <v>0.33333335759137384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2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5 - 3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7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8.0396656745086876E-12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3</v>
      </c>
      <c r="AL59" s="123">
        <f>AI59-AJ59</f>
        <v>2</v>
      </c>
      <c r="AM59" s="123">
        <f>AL59-AL60</f>
        <v>9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60000007.548852392</v>
      </c>
      <c r="AQ59" s="126">
        <f>VLOOKUP(AE59,db_fifarank,2,FALSE)</f>
        <v>1550.94</v>
      </c>
      <c r="AR59" s="125">
        <f>AP59/AP60</f>
        <v>0.66666666827089394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0 - 7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-7</v>
      </c>
      <c r="AM60" s="123">
        <f>MAX(AM56:AM59)+1</f>
        <v>13</v>
      </c>
      <c r="AN60" s="123">
        <f>MAX(AN56:AN59)+1</f>
        <v>10</v>
      </c>
      <c r="AO60" s="123">
        <f>MAX(AO56:AO59)+1</f>
        <v>10</v>
      </c>
      <c r="AP60" s="123">
        <f>MAX(AP56:AP59)+1</f>
        <v>90000011.106707886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3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3000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2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8</v>
      </c>
      <c r="AJ62" s="123">
        <f>SUMIF($E$7:$E$78,$AE62,$G$7:$G$78) + SUMIF($H$7:$H$78,$AE62,$F$7:$F$78)</f>
        <v>0</v>
      </c>
      <c r="AL62" s="123">
        <f>AI62-AJ62</f>
        <v>8</v>
      </c>
      <c r="AM62" s="123">
        <f>AL62-AL66</f>
        <v>13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90000010.175540596</v>
      </c>
      <c r="AQ62" s="126">
        <f>VLOOKUP(AE62,db_fifarank,2,FALSE)</f>
        <v>1874.82</v>
      </c>
      <c r="AR62" s="125">
        <f>AP62/AP66</f>
        <v>0.9999999888888903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>
        <v>1</v>
      </c>
      <c r="BO62" s="25">
        <v>6</v>
      </c>
      <c r="BP62" s="116">
        <f>IF(OR(BM62="",BM63="",AND(BN62="",BN63&lt;&gt;""),AND(BN63="",BN62&lt;&gt;""),AND(BO62="",BO63&lt;&gt;""),AND(BO63="",BO62&lt;&gt;"")),"",BM62*1000+BN62*10+BO62)</f>
        <v>1016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1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8 - 0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5</v>
      </c>
      <c r="AL63" s="123">
        <f>AI63-AJ63</f>
        <v>-1</v>
      </c>
      <c r="AM63" s="123">
        <f>AL63-AL66</f>
        <v>4</v>
      </c>
      <c r="AN63" s="123">
        <f>AF63*3+AG63</f>
        <v>4</v>
      </c>
      <c r="AO63" s="123">
        <f>AN63/AN66*10+BA63</f>
        <v>4.9806451612903224</v>
      </c>
      <c r="AP63" s="123">
        <f>AO63*10000000+BI63*100+AM63/AM66*10+AI63/AI66*1++IF(AQ63=0,ROW(),AQ63)/2000000</f>
        <v>49806552.979788788</v>
      </c>
      <c r="AQ63" s="126">
        <f>VLOOKUP(AE63,db_fifarank,2,FALSE)</f>
        <v>1564.26</v>
      </c>
      <c r="AR63" s="125">
        <f>AP63/AP66</f>
        <v>0.55340607550196363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2</v>
      </c>
      <c r="AW63" s="126" cm="1">
        <f t="array" ref="AW63">SUMPRODUCT(($E$7:$E$78=AE63)*($U$7:$U$78)*($G$7:$G$78))+SUMPRODUCT(($H$7:$H$78=AE63)*($U$7:$U$78)*($F$7:$F$78))</f>
        <v>2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50.666666666666664</v>
      </c>
      <c r="BA63" s="126">
        <f>AZ63/AZ66</f>
        <v>0.98064516129032253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2</v>
      </c>
      <c r="BE63" s="126" cm="1">
        <f t="array" ref="BE63">SUMPRODUCT(($E$7:$E$78=AE63)*($X$7:$X$78)*($G$7:$G$78))+SUMPRODUCT(($H$7:$H$78=AE63)*($X$7:$X$78)*($F$7:$F$78))</f>
        <v>2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50.666666666666664</v>
      </c>
      <c r="BI63" s="126">
        <f>BH63/BH66</f>
        <v>0.98064516129032253</v>
      </c>
      <c r="BK63" s="142"/>
      <c r="BL63" s="26" t="str">
        <f>AS45</f>
        <v>Egypt</v>
      </c>
      <c r="BM63" s="62">
        <v>1</v>
      </c>
      <c r="BN63" s="64">
        <v>1</v>
      </c>
      <c r="BO63" s="27">
        <v>5</v>
      </c>
      <c r="BP63" s="112">
        <f>IF(BP62="","",BM63*1000+BN63*10+BO63)</f>
        <v>1015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4 - 5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5</v>
      </c>
      <c r="AL64" s="123">
        <f>AI64-AJ64</f>
        <v>-2</v>
      </c>
      <c r="AM64" s="123">
        <f>AL64-AL66</f>
        <v>3</v>
      </c>
      <c r="AN64" s="123">
        <f>AF64*3+AG64</f>
        <v>4</v>
      </c>
      <c r="AO64" s="123">
        <f>AN64/AN66*10+BA64</f>
        <v>4.9806451612903224</v>
      </c>
      <c r="AP64" s="123">
        <f>AO64*10000000+BI64*100+AM64/AM66*10+AI64/AI66*1++IF(AQ64=0,ROW(),AQ64)/2000000</f>
        <v>49806552.154406555</v>
      </c>
      <c r="AQ64" s="126">
        <f>VLOOKUP(AE64,db_fifarank,2,FALSE)</f>
        <v>1593.45</v>
      </c>
      <c r="AR64" s="125">
        <f>AP64/AP66</f>
        <v>0.55340606633105105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2</v>
      </c>
      <c r="AW64" s="126" cm="1">
        <f t="array" ref="AW64">SUMPRODUCT(($E$7:$E$78=AE64)*($U$7:$U$78)*($G$7:$G$78))+SUMPRODUCT(($H$7:$H$78=AE64)*($U$7:$U$78)*($F$7:$F$78))</f>
        <v>2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50.666666666666664</v>
      </c>
      <c r="BA64" s="126">
        <f>AZ64/AZ66</f>
        <v>0.98064516129032253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2</v>
      </c>
      <c r="BE64" s="126" cm="1">
        <f t="array" ref="BE64">SUMPRODUCT(($E$7:$E$78=AE64)*($X$7:$X$78)*($G$7:$G$78))+SUMPRODUCT(($H$7:$H$78=AE64)*($X$7:$X$78)*($F$7:$F$78))</f>
        <v>2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50.666666666666664</v>
      </c>
      <c r="BI64" s="126">
        <f>BH64/BH66</f>
        <v>0.98064516129032253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2000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3 - 5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7.7302768178886405E-12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9</v>
      </c>
      <c r="AL66" s="123">
        <f>MIN(AL62:AL65)</f>
        <v>-5</v>
      </c>
      <c r="AM66" s="123">
        <f>MAX(AM62:AM65)+1</f>
        <v>14</v>
      </c>
      <c r="AN66" s="123">
        <f>MAX(AN62:AN65)+1</f>
        <v>10</v>
      </c>
      <c r="AO66" s="123">
        <f>MAX(AO62:AO65)+1</f>
        <v>10</v>
      </c>
      <c r="AP66" s="123">
        <f>MAX(AP62:AP65)+1</f>
        <v>90000011.175540596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3</v>
      </c>
      <c r="AW66" s="126">
        <f>MAX(AW62:AW65)-MIN(AW62:AW65)+1</f>
        <v>3</v>
      </c>
      <c r="AY66" s="126">
        <f>MAX(AY62:AY65)-MIN(AY62:AY65)+1</f>
        <v>1</v>
      </c>
      <c r="AZ66" s="126">
        <f>MAX(AZ62:AZ65)+1</f>
        <v>51.666666666666664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3</v>
      </c>
      <c r="BE66" s="126">
        <f>MAX(BE62:BE65)-MIN(BE62:BE65)+1</f>
        <v>3</v>
      </c>
      <c r="BG66" s="126">
        <f>MAX(BG62:BG65)-MIN(BG62:BG65)+1</f>
        <v>1</v>
      </c>
      <c r="BH66" s="126">
        <f>MAX(BH62:BH65)+1</f>
        <v>51.666666666666664</v>
      </c>
      <c r="BK66" s="141">
        <v>85</v>
      </c>
      <c r="BL66" s="24" t="str">
        <f>AS14</f>
        <v>Switzerland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Austria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14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90000010.223104134</v>
      </c>
      <c r="AQ68" s="126">
        <f>VLOOKUP(AE68,db_fifarank,2,FALSE)</f>
        <v>1763.83</v>
      </c>
      <c r="AR68" s="125">
        <f>AP68/AP72</f>
        <v>0.9999999888888903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>
        <v>2</v>
      </c>
      <c r="BV68" s="25">
        <v>6</v>
      </c>
      <c r="BW68" s="116">
        <f>IF(OR(BT68="",BT69="",AND(BU68="",BU69&lt;&gt;""),AND(BU69="",BU68&lt;&gt;""),AND(BV68="",BV69&lt;&gt;""),AND(BV69="",BV68&lt;&gt;"")),"",BT68*1000+BU68*10+BV68)</f>
        <v>2026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France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8</v>
      </c>
      <c r="AL69" s="123">
        <f>AI69-AJ69</f>
        <v>-7</v>
      </c>
      <c r="AM69" s="123">
        <f>AL69-AL72</f>
        <v>0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19805923.412821162</v>
      </c>
      <c r="AQ69" s="126">
        <f>VLOOKUP(AE69,db_fifarank,2,FALSE)</f>
        <v>1478.35</v>
      </c>
      <c r="AR69" s="125">
        <f>AP69/AP72</f>
        <v>0.22006578825555451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>
        <v>2</v>
      </c>
      <c r="BV69" s="27">
        <v>7</v>
      </c>
      <c r="BW69" s="112">
        <f>IF(BW68="","",BT69*1000+BU69*10+BV69)</f>
        <v>2027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0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6 - 2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3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19805925.412814658</v>
      </c>
      <c r="AQ70" s="126">
        <f>VLOOKUP(AE70,db_fifarank,2,FALSE)</f>
        <v>1465.34</v>
      </c>
      <c r="AR70" s="125">
        <f>AP70/AP72</f>
        <v>0.22006581047770168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0</v>
      </c>
      <c r="G71" s="20">
        <v>0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1 - 5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Verde_draw</v>
      </c>
      <c r="T71" s="127" t="str">
        <f t="shared" si="20"/>
        <v>Saudi Arabia_draw</v>
      </c>
      <c r="U71" s="123">
        <f t="shared" si="8"/>
        <v>1</v>
      </c>
      <c r="V71" s="123">
        <f t="shared" si="21"/>
        <v>0</v>
      </c>
      <c r="W71" s="123">
        <f t="shared" si="22"/>
        <v>0</v>
      </c>
      <c r="X71" s="123">
        <f t="shared" si="9"/>
        <v>1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0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6</v>
      </c>
      <c r="AJ71" s="123">
        <f>SUMIF($E$7:$E$78,$AE71,$G$7:$G$78) + SUMIF($H$7:$H$78,$AE71,$F$7:$F$78)</f>
        <v>2</v>
      </c>
      <c r="AL71" s="123">
        <f>AI71-AJ71</f>
        <v>4</v>
      </c>
      <c r="AM71" s="123">
        <f>AL71-AL72</f>
        <v>11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60000008.000846542</v>
      </c>
      <c r="AQ71" s="126">
        <f>VLOOKUP(AE71,db_fifarank,2,FALSE)</f>
        <v>1693.09</v>
      </c>
      <c r="AR71" s="125">
        <f>AP71/AP72</f>
        <v>0.6666666724308562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1 - 8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9</v>
      </c>
      <c r="AL72" s="123">
        <f>MIN(AL68:AL71)</f>
        <v>-7</v>
      </c>
      <c r="AM72" s="123">
        <f>MAX(AM68:AM71)+1</f>
        <v>15</v>
      </c>
      <c r="AN72" s="123">
        <f>MAX(AN68:AN71)+1</f>
        <v>10</v>
      </c>
      <c r="AO72" s="123">
        <f>MAX(AO68:AO71)+1</f>
        <v>10</v>
      </c>
      <c r="AP72" s="123">
        <f>MAX(AP68:AP71)+1</f>
        <v>90000011.223104134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6</v>
      </c>
      <c r="AJ74" s="123">
        <f>SUMIF($E$7:$E$78,$AE74,$G$7:$G$78) + SUMIF($H$7:$H$78,$AE74,$F$7:$F$78)</f>
        <v>1</v>
      </c>
      <c r="AL74" s="123">
        <f>AI74-AJ74</f>
        <v>5</v>
      </c>
      <c r="AM74" s="123">
        <f>AL74-AL78</f>
        <v>11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90000010.024722502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2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6 - 1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2</v>
      </c>
      <c r="W75" s="123">
        <f t="shared" si="22"/>
        <v>2</v>
      </c>
      <c r="X75" s="123">
        <f t="shared" si="32"/>
        <v>1</v>
      </c>
      <c r="Y75" s="123">
        <f t="shared" si="33"/>
        <v>2</v>
      </c>
      <c r="Z75" s="123">
        <f t="shared" si="34"/>
        <v>2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8</v>
      </c>
      <c r="AN75" s="123">
        <f>AF75*3+AG75</f>
        <v>6</v>
      </c>
      <c r="AO75" s="123">
        <f>AN75/AN78*10+BA75</f>
        <v>6</v>
      </c>
      <c r="AP75" s="123">
        <f>AO75*10000000+BI75*100+AM75/AM78*10+AI75/AI78*1++IF(AQ75=0,ROW(),AQ75)/2000000</f>
        <v>60000007.381810918</v>
      </c>
      <c r="AQ75" s="126">
        <f>VLOOKUP(AE75,db_fifarank,2,FALSE)</f>
        <v>1717.07</v>
      </c>
      <c r="AR75" s="125">
        <f>AP75/AP78</f>
        <v>0.66666666702217681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0</v>
      </c>
      <c r="AH76" s="123">
        <f>COUNTIF($S$7:$T$78,"=" &amp; AE76 &amp; "_lose")</f>
        <v>2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4</v>
      </c>
      <c r="AL76" s="123">
        <f>AI76-AJ76</f>
        <v>-1</v>
      </c>
      <c r="AM76" s="123">
        <f>AL76-AL78</f>
        <v>5</v>
      </c>
      <c r="AN76" s="123">
        <f>AF76*3+AG76</f>
        <v>3</v>
      </c>
      <c r="AO76" s="123">
        <f>AN76/AN78*10+BA76</f>
        <v>3</v>
      </c>
      <c r="AP76" s="123">
        <f>AO76*10000000+BI76*100+AM76/AM78*10+AI76/AI78*1++IF(AQ76=0,ROW(),AQ76)/2000000</f>
        <v>30000004.595911253</v>
      </c>
      <c r="AQ76" s="126">
        <f>VLOOKUP(AE76,db_fifarank,2,FALSE)</f>
        <v>1346.31</v>
      </c>
      <c r="AR76" s="125">
        <f>AP76/AP78</f>
        <v>0.33333334356670713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2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3 - 4</v>
      </c>
      <c r="P77" s="34">
        <f>L77*3+M77</f>
        <v>3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6</v>
      </c>
      <c r="AL77" s="123">
        <f>AI77-AJ77</f>
        <v>-6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8.5591100626465195E-12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0 - 6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1</v>
      </c>
      <c r="AH78" s="123">
        <f t="shared" si="36"/>
        <v>4</v>
      </c>
      <c r="AI78" s="123">
        <f>MAX(AI74:AI77)+1</f>
        <v>7</v>
      </c>
      <c r="AL78" s="123">
        <f>MIN(AL74:AL77)</f>
        <v>-6</v>
      </c>
      <c r="AM78" s="123">
        <f>MAX(AM74:AM77)+1</f>
        <v>12</v>
      </c>
      <c r="AN78" s="123">
        <f>MAX(AN74:AN77)+1</f>
        <v>10</v>
      </c>
      <c r="AO78" s="123">
        <f>MAX(AO74:AO77)+1</f>
        <v>10</v>
      </c>
      <c r="AP78" s="123">
        <f>MAX(AP74:AP77)+1</f>
        <v>90000011.024722502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1</v>
      </c>
      <c r="AH80" s="123">
        <f>VLOOKUP($AE80,$AE$8:$AQ$78,4,FALSE)</f>
        <v>1</v>
      </c>
      <c r="AI80" s="123">
        <f>VLOOKUP($AE80,$AE$8:$AQ$78,5,FALSE)</f>
        <v>4</v>
      </c>
      <c r="AJ80" s="123">
        <f>VLOOKUP($AE80,$AE$8:$AQ$78,6,FALSE)</f>
        <v>4</v>
      </c>
      <c r="AK80" s="123" t="s">
        <v>3180</v>
      </c>
      <c r="AL80" s="123">
        <f>VLOOKUP($AE80,$AE$8:$AQ$78,8,FALSE)</f>
        <v>0</v>
      </c>
      <c r="AM80" s="123">
        <f>AL80-$AL$92</f>
        <v>4</v>
      </c>
      <c r="AN80" s="123">
        <f>VLOOKUP($AE80,$AE$8:$AQ$78,10,FALSE)</f>
        <v>4</v>
      </c>
      <c r="AP80" s="123">
        <f>AN80/AN92*10000+AM80/AM92*1000+AI80/AI92*100+IF(AQ80=0,ROW(),AQ80)/2000000</f>
        <v>8880.0007943300006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Ⓐ Korea Republic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4 - 4</v>
      </c>
      <c r="P81" s="98">
        <f>L81*3+M81</f>
        <v>4</v>
      </c>
      <c r="AD81" s="123">
        <f t="shared" ref="AD81:AD91" si="38">COUNTIF($AP$80:$AP$91,CONCATENATE("&gt;=",AP81))</f>
        <v>8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0</v>
      </c>
      <c r="AH81" s="123">
        <f t="shared" ref="AH81:AH90" si="40">VLOOKUP($AE81,$AE$8:$AQ$78,4,FALSE)</f>
        <v>2</v>
      </c>
      <c r="AI81" s="123">
        <f t="shared" ref="AI81:AI90" si="41">VLOOKUP($AE81,$AE$8:$AQ$78,5,FALSE)</f>
        <v>2</v>
      </c>
      <c r="AJ81" s="123">
        <f t="shared" ref="AJ81:AJ90" si="42">VLOOKUP($AE81,$AE$8:$AQ$78,6,FALSE)</f>
        <v>5</v>
      </c>
      <c r="AK81" s="123" t="s">
        <v>3181</v>
      </c>
      <c r="AL81" s="123">
        <f t="shared" ref="AL81:AL90" si="43">VLOOKUP($AE81,$AE$8:$AQ$78,8,FALSE)</f>
        <v>-3</v>
      </c>
      <c r="AM81" s="123">
        <f t="shared" ref="AM81:AM91" si="44">AL81-$AL$92</f>
        <v>1</v>
      </c>
      <c r="AN81" s="123">
        <f t="shared" ref="AN81:AN90" si="45">VLOOKUP($AE81,$AE$8:$AQ$78,10,FALSE)</f>
        <v>3</v>
      </c>
      <c r="AP81" s="123">
        <f>AN81/AN92*10000+AM81/AM92*1000+AI81/AI92*100+IF(AQ81=0,ROW(),AQ81)/2000000</f>
        <v>6240.0006929199999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4 - 4</v>
      </c>
      <c r="P82" s="101">
        <f t="shared" ref="P82:P92" si="48">L82*3+M82</f>
        <v>4</v>
      </c>
      <c r="AD82" s="123">
        <f t="shared" si="38"/>
        <v>10</v>
      </c>
      <c r="AE82" s="124" t="str">
        <f>J23</f>
        <v>Scotland</v>
      </c>
      <c r="AF82" s="123">
        <f t="shared" si="39"/>
        <v>0</v>
      </c>
      <c r="AG82" s="123">
        <f t="shared" ref="AG82:AG91" si="49">VLOOKUP($AE82,$AE$8:$AQ$78,3,FALSE)</f>
        <v>1</v>
      </c>
      <c r="AH82" s="123">
        <f t="shared" si="40"/>
        <v>2</v>
      </c>
      <c r="AI82" s="123">
        <f t="shared" si="41"/>
        <v>1</v>
      </c>
      <c r="AJ82" s="123">
        <f t="shared" si="42"/>
        <v>4</v>
      </c>
      <c r="AK82" s="123" t="s">
        <v>3182</v>
      </c>
      <c r="AL82" s="123">
        <f t="shared" si="43"/>
        <v>-3</v>
      </c>
      <c r="AM82" s="123">
        <f t="shared" si="44"/>
        <v>1</v>
      </c>
      <c r="AN82" s="123">
        <f t="shared" si="45"/>
        <v>1</v>
      </c>
      <c r="AP82" s="123">
        <f>AN82/AN92*10000+AM82/AM92*1000+AI82/AI92*100+IF(AQ82=0,ROW(),AQ82)/2000000</f>
        <v>2220.0007491749998</v>
      </c>
      <c r="AQ82" s="126">
        <f t="shared" si="37"/>
        <v>1498.35</v>
      </c>
      <c r="AR82" s="125" t="str">
        <f t="shared" ref="AR82:AR91" si="50">AR81&amp;IF(AD82&lt;=8,RIGHT(AK82,1),"")</f>
        <v>AB</v>
      </c>
      <c r="AS82" s="129" t="str">
        <f t="shared" si="46"/>
        <v/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Ⓙ Austria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3 - 5</v>
      </c>
      <c r="P83" s="101">
        <f t="shared" si="48"/>
        <v>4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4</v>
      </c>
      <c r="AJ83" s="123">
        <f t="shared" si="42"/>
        <v>4</v>
      </c>
      <c r="AK83" s="123" t="s">
        <v>3184</v>
      </c>
      <c r="AL83" s="123">
        <f t="shared" si="43"/>
        <v>0</v>
      </c>
      <c r="AM83" s="123">
        <f t="shared" si="44"/>
        <v>4</v>
      </c>
      <c r="AN83" s="123">
        <f t="shared" si="45"/>
        <v>4</v>
      </c>
      <c r="AP83" s="123">
        <f>AN83/AN92*10000+AM83/AM92*1000+AI83/AI92*100+IF(AQ83=0,ROW(),AQ83)/2000000</f>
        <v>8880.0007517499998</v>
      </c>
      <c r="AQ83" s="126">
        <f t="shared" si="37"/>
        <v>1503.5</v>
      </c>
      <c r="AR83" s="125" t="str">
        <f t="shared" si="50"/>
        <v>ABD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Ⓘ Senegal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4 - 4</v>
      </c>
      <c r="P84" s="101">
        <f t="shared" si="48"/>
        <v>3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Curaçao</v>
      </c>
      <c r="AF84" s="123">
        <f t="shared" si="39"/>
        <v>0</v>
      </c>
      <c r="AG84" s="123">
        <f t="shared" si="49"/>
        <v>2</v>
      </c>
      <c r="AH84" s="123">
        <f t="shared" si="40"/>
        <v>1</v>
      </c>
      <c r="AI84" s="123">
        <f t="shared" si="41"/>
        <v>2</v>
      </c>
      <c r="AJ84" s="123">
        <f t="shared" si="42"/>
        <v>5</v>
      </c>
      <c r="AK84" s="123" t="s">
        <v>3185</v>
      </c>
      <c r="AL84" s="123">
        <f t="shared" si="43"/>
        <v>-3</v>
      </c>
      <c r="AM84" s="123">
        <f t="shared" si="44"/>
        <v>1</v>
      </c>
      <c r="AN84" s="123">
        <f t="shared" si="45"/>
        <v>2</v>
      </c>
      <c r="AP84" s="123">
        <f>AN84/AN92*10000+AM84/AM92*1000+AI84/AI92*100+IF(AQ84=0,ROW(),AQ84)/2000000</f>
        <v>4240.0006473249996</v>
      </c>
      <c r="AQ84" s="126">
        <f t="shared" si="37"/>
        <v>1294.6500000000001</v>
      </c>
      <c r="AR84" s="125" t="str">
        <f t="shared" si="50"/>
        <v>ABD</v>
      </c>
      <c r="AS84" s="129" t="str">
        <f t="shared" si="46"/>
        <v/>
      </c>
      <c r="AT84" s="130" t="str">
        <f>"Ⓔ "&amp;AE84</f>
        <v>Ⓔ Curaçao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Ⓖ Iran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4 - 5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7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3</v>
      </c>
      <c r="AK85" s="123" t="s">
        <v>3186</v>
      </c>
      <c r="AL85" s="123">
        <f t="shared" si="43"/>
        <v>-1</v>
      </c>
      <c r="AM85" s="123">
        <f t="shared" si="44"/>
        <v>3</v>
      </c>
      <c r="AN85" s="123">
        <f t="shared" si="45"/>
        <v>3</v>
      </c>
      <c r="AP85" s="123">
        <f>AN85/AN92*10000+AM85/AM92*1000+AI85/AI92*100+IF(AQ85=0,ROW(),AQ85)/2000000</f>
        <v>6640.0007573849998</v>
      </c>
      <c r="AQ85" s="126">
        <f t="shared" si="37"/>
        <v>1514.77</v>
      </c>
      <c r="AR85" s="125" t="str">
        <f t="shared" si="50"/>
        <v>ABDF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Ⓛ Ghana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5</v>
      </c>
      <c r="AE86" s="124" t="str">
        <f>J47</f>
        <v>Iran</v>
      </c>
      <c r="AF86" s="123">
        <f t="shared" si="39"/>
        <v>1</v>
      </c>
      <c r="AG86" s="123">
        <f t="shared" si="49"/>
        <v>0</v>
      </c>
      <c r="AH86" s="123">
        <f t="shared" si="40"/>
        <v>2</v>
      </c>
      <c r="AI86" s="123">
        <f t="shared" si="41"/>
        <v>4</v>
      </c>
      <c r="AJ86" s="123">
        <f t="shared" si="42"/>
        <v>5</v>
      </c>
      <c r="AK86" s="123" t="s">
        <v>3187</v>
      </c>
      <c r="AL86" s="123">
        <f t="shared" si="43"/>
        <v>-1</v>
      </c>
      <c r="AM86" s="123">
        <f t="shared" si="44"/>
        <v>3</v>
      </c>
      <c r="AN86" s="123">
        <f t="shared" si="45"/>
        <v>3</v>
      </c>
      <c r="AP86" s="123">
        <f>AN86/AN92*10000+AM86/AM92*1000+AI86/AI92*100+IF(AQ86=0,ROW(),AQ86)/2000000</f>
        <v>6680.0008076499998</v>
      </c>
      <c r="AQ86" s="126">
        <f t="shared" si="37"/>
        <v>1615.3</v>
      </c>
      <c r="AR86" s="125" t="str">
        <f t="shared" si="50"/>
        <v>ABDFG</v>
      </c>
      <c r="AS86" s="129" t="str">
        <f t="shared" si="46"/>
        <v>Iran</v>
      </c>
      <c r="AT86" s="130" t="str">
        <f>"Ⓖ "&amp;AE86</f>
        <v>Ⓖ Iran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Ⓕ Sweden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2 - 3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12</v>
      </c>
      <c r="AE87" s="124" t="str">
        <f>J53</f>
        <v>Saudi Arabia</v>
      </c>
      <c r="AF87" s="123">
        <f t="shared" si="39"/>
        <v>0</v>
      </c>
      <c r="AG87" s="123">
        <f t="shared" si="49"/>
        <v>1</v>
      </c>
      <c r="AH87" s="123">
        <f t="shared" si="40"/>
        <v>2</v>
      </c>
      <c r="AI87" s="123">
        <f t="shared" si="41"/>
        <v>1</v>
      </c>
      <c r="AJ87" s="123">
        <f t="shared" si="42"/>
        <v>5</v>
      </c>
      <c r="AK87" s="123" t="s">
        <v>3188</v>
      </c>
      <c r="AL87" s="123">
        <f t="shared" si="43"/>
        <v>-4</v>
      </c>
      <c r="AM87" s="123">
        <f t="shared" si="44"/>
        <v>0</v>
      </c>
      <c r="AN87" s="123">
        <f t="shared" si="45"/>
        <v>1</v>
      </c>
      <c r="AP87" s="123">
        <f>AN87/AN92*10000+AM87/AM92*1000+AI87/AI92*100+IF(AQ87=0,ROW(),AQ87)/2000000</f>
        <v>2020.000710715</v>
      </c>
      <c r="AQ87" s="126">
        <f t="shared" si="37"/>
        <v>1421.43</v>
      </c>
      <c r="AR87" s="125" t="str">
        <f t="shared" si="50"/>
        <v>ABDFG</v>
      </c>
      <c r="AS87" s="129" t="str">
        <f t="shared" si="46"/>
        <v/>
      </c>
      <c r="AT87" s="130" t="str">
        <f>"Ⓗ "&amp;AE87</f>
        <v>Ⓗ Saudi Arabia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Ⓑ Bosnia and Herzegovina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2 - 5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Czech Republic</v>
      </c>
      <c r="T88" s="127" t="str" cm="1">
        <f t="array" ref="T88">IF(OR(S88="",S88="draw"),INDEX(T,90,lang),S88)</f>
        <v>Czech Republic</v>
      </c>
      <c r="AD88" s="123">
        <f t="shared" si="38"/>
        <v>4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4</v>
      </c>
      <c r="AN88" s="123">
        <f t="shared" si="45"/>
        <v>3</v>
      </c>
      <c r="AP88" s="123">
        <f>AN88/AN92*10000+AM88/AM92*1000+AI88/AI92*100+IF(AQ88=0,ROW(),AQ88)/2000000</f>
        <v>6880.0008444949999</v>
      </c>
      <c r="AQ88" s="126">
        <f t="shared" si="37"/>
        <v>1688.99</v>
      </c>
      <c r="AR88" s="125" t="str">
        <f t="shared" si="50"/>
        <v>ABDFGI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Curaçao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2 - 5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3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3</v>
      </c>
      <c r="AJ89" s="123">
        <f t="shared" si="42"/>
        <v>5</v>
      </c>
      <c r="AK89" s="123" t="s">
        <v>3190</v>
      </c>
      <c r="AL89" s="123">
        <f t="shared" si="43"/>
        <v>-2</v>
      </c>
      <c r="AM89" s="123">
        <f t="shared" si="44"/>
        <v>2</v>
      </c>
      <c r="AN89" s="123">
        <f t="shared" si="45"/>
        <v>4</v>
      </c>
      <c r="AP89" s="123">
        <f>AN89/AN92*10000+AM89/AM92*1000+AI89/AI92*100+IF(AQ89=0,ROW(),AQ89)/2000000</f>
        <v>8460.0007967250003</v>
      </c>
      <c r="AQ89" s="126">
        <f t="shared" si="37"/>
        <v>1593.45</v>
      </c>
      <c r="AR89" s="125" t="str">
        <f t="shared" si="50"/>
        <v>ABDFGIJ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Ⓒ Scotland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1</v>
      </c>
      <c r="N90" s="103">
        <f>VLOOKUP(10,$AD$80:$AN$91,5,FALSE)</f>
        <v>2</v>
      </c>
      <c r="O90" s="103" t="str">
        <f>VLOOKUP(10,$AD$80:$AN$91,6,FALSE) &amp; " - " &amp; VLOOKUP(10,$AD$80:$AN$91,7,FALSE)</f>
        <v>1 - 4</v>
      </c>
      <c r="P90" s="104">
        <f t="shared" si="48"/>
        <v>1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11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1</v>
      </c>
      <c r="AJ90" s="123">
        <f t="shared" si="42"/>
        <v>5</v>
      </c>
      <c r="AK90" s="123" t="s">
        <v>3191</v>
      </c>
      <c r="AL90" s="123">
        <f t="shared" si="43"/>
        <v>-4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2020.0007326699999</v>
      </c>
      <c r="AQ90" s="126">
        <f t="shared" si="37"/>
        <v>1465.34</v>
      </c>
      <c r="AR90" s="125" t="str">
        <f t="shared" si="50"/>
        <v>ABDFGIJ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Ⓚ Uzbekistan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1 - 5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Korea Republic</v>
      </c>
      <c r="T91" s="127" t="str" cm="1">
        <f t="array" ref="T91">IF(OR(S91="",S91="draw"),INDEX(T,93,lang),S91)</f>
        <v>Korea Republic</v>
      </c>
      <c r="AD91" s="123">
        <f t="shared" si="38"/>
        <v>6</v>
      </c>
      <c r="AE91" s="124" t="str">
        <f>J77</f>
        <v>Ghana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3</v>
      </c>
      <c r="AJ91" s="123">
        <f>VLOOKUP($AE91,$AE$8:$AQ$78,6,FALSE)</f>
        <v>4</v>
      </c>
      <c r="AK91" s="123" t="s">
        <v>3192</v>
      </c>
      <c r="AL91" s="123">
        <f>VLOOKUP($AE91,$AE$8:$AQ$78,8,FALSE)</f>
        <v>-1</v>
      </c>
      <c r="AM91" s="123">
        <f t="shared" si="44"/>
        <v>3</v>
      </c>
      <c r="AN91" s="123">
        <f>VLOOKUP($AE91,$AE$8:$AQ$78,10,FALSE)</f>
        <v>3</v>
      </c>
      <c r="AP91" s="123">
        <f>AN91/AN92*10000+AM91/AM92*1000+AI91/AI92*100+IF(AQ91=0,ROW(),AQ91)/2000000</f>
        <v>6660.0006731550002</v>
      </c>
      <c r="AQ91" s="126">
        <f t="shared" si="37"/>
        <v>1346.31</v>
      </c>
      <c r="AR91" s="125" t="str">
        <f t="shared" si="50"/>
        <v>ABDFGIJL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Ⓗ Saudi Arabia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1 - 5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-4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6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327</v>
      </c>
      <c r="C3" s="121" t="str">
        <f>'2026 World Cup'!AR91</f>
        <v>ABDFGIJL</v>
      </c>
      <c r="D3" s="121" t="str">
        <f>VLOOKUP($C3,$C$6:$K$500,2,FALSE)</f>
        <v>3F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3D</v>
      </c>
      <c r="H3" s="121" t="str">
        <f>VLOOKUP($C3,$C$6:$K$500,6,FALSE)</f>
        <v>3A</v>
      </c>
      <c r="I3" s="121" t="str">
        <f>VLOOKUP($C3,$C$6:$K$500,7,FALSE)</f>
        <v>3G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Scott Gates</cp:lastModifiedBy>
  <cp:revision/>
  <cp:lastPrinted>2026-06-10T12:46:30Z</cp:lastPrinted>
  <dcterms:created xsi:type="dcterms:W3CDTF">2017-12-27T19:32:51Z</dcterms:created>
  <dcterms:modified xsi:type="dcterms:W3CDTF">2026-06-10T13:06:28Z</dcterms:modified>
  <cp:category>Sports</cp:category>
  <cp:contentStatus/>
</cp:coreProperties>
</file>
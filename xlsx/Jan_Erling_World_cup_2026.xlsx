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kla\UiO Dropbox\Jan Erling Klausen\"/>
    </mc:Choice>
  </mc:AlternateContent>
  <xr:revisionPtr revIDLastSave="0" documentId="8_{8F11FDDB-7305-42BA-B243-787C343A9608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T41" i="3" s="1"/>
  <c r="S15" i="3"/>
  <c r="T15" i="3" s="1"/>
  <c r="S61" i="3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S47" i="3"/>
  <c r="S67" i="3"/>
  <c r="S72" i="3"/>
  <c r="T44" i="3"/>
  <c r="T46" i="3"/>
  <c r="S70" i="3"/>
  <c r="T45" i="3"/>
  <c r="S42" i="3"/>
  <c r="S64" i="3"/>
  <c r="T63" i="3"/>
  <c r="S40" i="3"/>
  <c r="S62" i="3"/>
  <c r="T61" i="3"/>
  <c r="T16" i="3"/>
  <c r="S38" i="3"/>
  <c r="S65" i="3"/>
  <c r="S55" i="3"/>
  <c r="T56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69" i="3" l="1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S96" i="3" s="1"/>
  <c r="T96" i="3" s="1" a="1"/>
  <c r="T96" i="3" s="1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BS69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BS68" i="3" s="1"/>
  <c r="BZ65" i="3" s="1"/>
  <c r="CG56" i="3" s="1"/>
  <c r="CN38" i="3" s="1"/>
  <c r="CK68" i="3" s="1"/>
  <c r="D3" i="4"/>
  <c r="BL51" i="3" s="1"/>
  <c r="BS52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<sst xmlns="http://schemas.openxmlformats.org/spreadsheetml/2006/main" count="9786" uniqueCount="3698">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</sst>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5" zoomScaleNormal="100" workbookViewId="0">
      <selection activeCell="F43" sqref="F43"/>
    </sheetView>
  </sheetViews>
  <sheetFormatPr baseColWidth="10"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2</v>
      </c>
      <c r="AN9" s="123">
        <f>AF9*3+AG9</f>
        <v>1</v>
      </c>
      <c r="AO9" s="123">
        <f>AN9/AN12*10+BA9</f>
        <v>1.9805825242718447</v>
      </c>
      <c r="AP9" s="123">
        <f>AO9*10000000+BI9*100+AM9/AM12*10+AI9/AI12*1++IF(AQ9=0,ROW(),AQ9)/2000000</f>
        <v>19805925.80962225</v>
      </c>
      <c r="AQ9" s="126">
        <f>VLOOKUP(AE9,db_fifarank,2,FALSE)</f>
        <v>1429.73</v>
      </c>
      <c r="AR9" s="125">
        <f>AP9/AP12</f>
        <v>0.22006581605114484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6 - 4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4</v>
      </c>
      <c r="AL10" s="123">
        <f>AI10-AJ10</f>
        <v>2</v>
      </c>
      <c r="AM10" s="123">
        <f>AL10-AL12</f>
        <v>6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60000007.524603851</v>
      </c>
      <c r="AQ10" s="126">
        <f>VLOOKUP(AE10,db_fifarank,2,FALSE)</f>
        <v>1588.66</v>
      </c>
      <c r="AR10" s="125">
        <f>AP10/AP12</f>
        <v>0.66666667066691443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2 - 4</v>
      </c>
      <c r="P11" s="34">
        <f>L11*3+M11</f>
        <v>1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5</v>
      </c>
      <c r="AL11" s="123">
        <f>AI11-AJ11</f>
        <v>-4</v>
      </c>
      <c r="AM11" s="123">
        <f>AL11-AL12</f>
        <v>0</v>
      </c>
      <c r="AN11" s="123">
        <f>AF11*3+AG11</f>
        <v>1</v>
      </c>
      <c r="AO11" s="123">
        <f>AN11/AN12*10+BA11</f>
        <v>1.9805825242718447</v>
      </c>
      <c r="AP11" s="123">
        <f>AO11*10000000+BI11*100+AM11/AM12*10+AI11/AI12*1++IF(AQ11=0,ROW(),AQ11)/2000000</f>
        <v>19805923.444578707</v>
      </c>
      <c r="AQ11" s="126">
        <f>VLOOKUP(AE11,db_fifarank,2,FALSE)</f>
        <v>1501.38</v>
      </c>
      <c r="AR11" s="125">
        <f>AP11/AP12</f>
        <v>0.22006578977288641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>
        <v>0</v>
      </c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0</v>
      </c>
      <c r="BU13" s="64">
        <v>1</v>
      </c>
      <c r="BV13" s="27"/>
      <c r="BW13" s="113">
        <f>IF(BW12="","",BT13*1000+BU13*10+BV13)</f>
        <v>10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1</v>
      </c>
      <c r="AL14" s="123">
        <f>AI14-AJ14</f>
        <v>1</v>
      </c>
      <c r="AM14" s="123">
        <f>AL14-AL18</f>
        <v>5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40000005.334111579</v>
      </c>
      <c r="AQ14" s="126">
        <f>VLOOKUP(AE14,db_fifarank,2,FALSE)</f>
        <v>1556.48</v>
      </c>
      <c r="AR14" s="125">
        <f>AP14/AP18</f>
        <v>0.44444445021033518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2</v>
      </c>
      <c r="AL15" s="123">
        <f>AI15-AJ15</f>
        <v>-2</v>
      </c>
      <c r="AM15" s="123">
        <f>AL15-AL18</f>
        <v>2</v>
      </c>
      <c r="AN15" s="123">
        <f>AF15*3+AG15</f>
        <v>2</v>
      </c>
      <c r="AO15" s="123">
        <f>AN15/AN18*10+BA15</f>
        <v>2</v>
      </c>
      <c r="AP15" s="123">
        <f>AO15*10000000+BI15*100+AM15/AM18*10+AI15/AI18*1++IF(AQ15=0,ROW(),AQ15)/2000000</f>
        <v>20000002.000692919</v>
      </c>
      <c r="AQ15" s="126">
        <f>VLOOKUP(AE15,db_fifarank,2,FALSE)</f>
        <v>1385.84</v>
      </c>
      <c r="AR15" s="125">
        <f>AP15/AP18</f>
        <v>0.22222221770113659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2 - 1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10000000.00072748</v>
      </c>
      <c r="AQ16" s="126">
        <f>VLOOKUP(AE16,db_fifarank,2,FALSE)</f>
        <v>1454.96</v>
      </c>
      <c r="AR16" s="125">
        <f>AP16/AP18</f>
        <v>0.11111109774369209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0 - 2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90000009.834158033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Korea Republic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0 - 4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90000010.120538712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2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3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60000005.941048868</v>
      </c>
      <c r="AQ21" s="126">
        <f>VLOOKUP(AE21,db_fifarank,2,FALSE)</f>
        <v>1755.87</v>
      </c>
      <c r="AR21" s="125">
        <f>AP21/AP24</f>
        <v>0.66666665030396199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7.1761657799685626E-12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30000004.291347466</v>
      </c>
      <c r="AQ23" s="126">
        <f>VLOOKUP(AE23,db_fifarank,2,FALSE)</f>
        <v>1498.35</v>
      </c>
      <c r="AR23" s="125">
        <f>AP23/AP24</f>
        <v>0.33333333982779062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90000011.120538712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6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62500008.357979424</v>
      </c>
      <c r="AQ26" s="126">
        <f>VLOOKUP(AE26,db_fifarank,2,FALSE)</f>
        <v>1673.13</v>
      </c>
      <c r="AR26" s="125">
        <f>AP26/AP30</f>
        <v>0.71428572321003014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3</v>
      </c>
      <c r="AL27" s="123">
        <f>AI27-AJ27</f>
        <v>-1</v>
      </c>
      <c r="AM27" s="123">
        <f>AL27-AL30</f>
        <v>3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25000004.036466036</v>
      </c>
      <c r="AQ27" s="126">
        <f>VLOOKUP(AE27,db_fifarank,2,FALSE)</f>
        <v>1503.5</v>
      </c>
      <c r="AR27" s="125">
        <f>AP27/AP30</f>
        <v>0.28571429720714553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12500000.143647479</v>
      </c>
      <c r="AQ28" s="126">
        <f>VLOOKUP(AE28,db_fifarank,2,FALSE)</f>
        <v>1580.67</v>
      </c>
      <c r="AR28" s="125">
        <f>AP28/AP30</f>
        <v>0.14285712717974064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2</v>
      </c>
      <c r="BU28" s="63">
        <v>2</v>
      </c>
      <c r="BV28" s="25"/>
      <c r="BW28" s="112">
        <f>IF(OR(BT28="",BT29="",AND(BU28="",BU29&lt;&gt;""),AND(BU29="",BU28&lt;&gt;""),AND(BV28="",BV29&lt;&gt;""),AND(BV29="",BV28&lt;&gt;"")),"",BT28*1000+BU28*10+BV28)</f>
        <v>2020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2 - 3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87500009.607942373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>
        <v>3</v>
      </c>
      <c r="BV29" s="27"/>
      <c r="BW29" s="113">
        <f>IF(BW28="","",BT29*1000+BU29*10+BV29)</f>
        <v>2030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87500010.607942373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16</v>
      </c>
      <c r="AN32" s="123">
        <f>AF32*3+AG32</f>
        <v>7</v>
      </c>
      <c r="AO32" s="123">
        <f>AN32/AN36*10+BA32</f>
        <v>9.7306451612903224</v>
      </c>
      <c r="AP32" s="123">
        <f>AO32*10000000+BI32*100+AM32/AM36*10+AI32/AI36*1++IF(AQ32=0,ROW(),AQ32)/2000000</f>
        <v>97306559.990049258</v>
      </c>
      <c r="AQ32" s="126">
        <f>VLOOKUP(AE32,db_fifarank,2,FALSE)</f>
        <v>1730.37</v>
      </c>
      <c r="AR32" s="125">
        <f>AP32/AP36</f>
        <v>0.9999999897232007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50.666666666666664</v>
      </c>
      <c r="BA32" s="126">
        <f>AZ32/AZ36</f>
        <v>0.98064516129032253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50.666666666666664</v>
      </c>
      <c r="BI32" s="126">
        <f>BH32/BH36</f>
        <v>0.98064516129032253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>
        <v>3</v>
      </c>
      <c r="CC32" s="25"/>
      <c r="CD32" s="116">
        <f>IF(OR(CA32="",CA33="",AND(CB32="",CB33&lt;&gt;""),AND(CB33="",CB32&lt;&gt;""),AND(CC32="",CC33&lt;&gt;""),AND(CC33="",CC32&lt;&gt;"")),"",CA32*1000+CB32*10+CC32)</f>
        <v>2030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6.6524291210558413E-12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2</v>
      </c>
      <c r="CB33" s="64">
        <v>2</v>
      </c>
      <c r="CC33" s="27"/>
      <c r="CD33" s="112">
        <f>IF(CD32="","",CA33*1000+CB33*10+CC33)</f>
        <v>2020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9 - 3</v>
      </c>
      <c r="P34" s="34">
        <f>L34*3+M34</f>
        <v>7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6</v>
      </c>
      <c r="AL34" s="123">
        <f>AI34-AJ34</f>
        <v>-4</v>
      </c>
      <c r="AM34" s="123">
        <f>AL34-AL36</f>
        <v>5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37500003.14194297</v>
      </c>
      <c r="AQ34" s="126">
        <f>VLOOKUP(AE34,db_fifarank,2,FALSE)</f>
        <v>1532.98</v>
      </c>
      <c r="AR34" s="125">
        <f>AP34/AP36</f>
        <v>0.38538000686076851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2 - 6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9</v>
      </c>
      <c r="AJ35" s="123">
        <f>SUMIF($E$7:$E$78,$AE35,$G$7:$G$78) + SUMIF($H$7:$H$78,$AE35,$F$7:$F$78)</f>
        <v>3</v>
      </c>
      <c r="AL35" s="123">
        <f>AI35-AJ35</f>
        <v>6</v>
      </c>
      <c r="AM35" s="123">
        <f>AL35-AL36</f>
        <v>15</v>
      </c>
      <c r="AN35" s="123">
        <f>AF35*3+AG35</f>
        <v>7</v>
      </c>
      <c r="AO35" s="123">
        <f>AN35/AN36*10+BA35</f>
        <v>9.7306451612903224</v>
      </c>
      <c r="AP35" s="123">
        <f>AO35*10000000+BI35*100+AM35/AM36*10+AI35/AI36*1++IF(AQ35=0,ROW(),AQ35)/2000000</f>
        <v>97306559.401746154</v>
      </c>
      <c r="AQ35" s="126">
        <f>VLOOKUP(AE35,db_fifarank,2,FALSE)</f>
        <v>1594.78</v>
      </c>
      <c r="AR35" s="125">
        <f>AP35/AP36</f>
        <v>0.99999998367732779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50.666666666666664</v>
      </c>
      <c r="BA35" s="126">
        <f>AZ35/AZ36</f>
        <v>0.98064516129032253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50.666666666666664</v>
      </c>
      <c r="BI35" s="126">
        <f>BH35/BH36</f>
        <v>0.98064516129032253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-9</v>
      </c>
      <c r="AM36" s="123">
        <f>MAX(AM32:AM35)+1</f>
        <v>17</v>
      </c>
      <c r="AN36" s="123">
        <f>MAX(AN32:AN35)+1</f>
        <v>8</v>
      </c>
      <c r="AO36" s="123">
        <f>MAX(AO32:AO35)+1</f>
        <v>10.730645161290322</v>
      </c>
      <c r="AP36" s="123">
        <f>MAX(AP32:AP35)+1</f>
        <v>97306560.990049258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87500009.608021781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4</v>
      </c>
      <c r="AL39" s="123">
        <f>AI39-AJ39</f>
        <v>2</v>
      </c>
      <c r="AM39" s="123">
        <f>AL39-AL42</f>
        <v>6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62500008.357973076</v>
      </c>
      <c r="AQ39" s="126">
        <f>VLOOKUP(AE39,db_fifarank,2,FALSE)</f>
        <v>1660.43</v>
      </c>
      <c r="AR39" s="125">
        <f>AP39/AP42</f>
        <v>0.71428572320930939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Ivory Coast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6 - 4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5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0.14361452785714285</v>
      </c>
      <c r="AQ40" s="126">
        <f>VLOOKUP(AE40,db_fifarank,2,FALSE)</f>
        <v>1514.77</v>
      </c>
      <c r="AR40" s="125">
        <f>AP40/AP42</f>
        <v>1.641308690812623E-9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4</v>
      </c>
      <c r="AL41" s="123">
        <f>AI41-AJ41</f>
        <v>-1</v>
      </c>
      <c r="AM41" s="123">
        <f>AL41-AL42</f>
        <v>3</v>
      </c>
      <c r="AN41" s="123">
        <f>AF41*3+AG41</f>
        <v>4</v>
      </c>
      <c r="AO41" s="123">
        <f>AN41/AN42*10+BA41</f>
        <v>5</v>
      </c>
      <c r="AP41" s="123">
        <f>AO41*10000000+BI41*100+AM41/AM42*10+AI41/AI42*1++IF(AQ41=0,ROW(),AQ41)/2000000</f>
        <v>50000004.179312952</v>
      </c>
      <c r="AQ41" s="126">
        <f>VLOOKUP(AE41,db_fifarank,2,FALSE)</f>
        <v>1483.05</v>
      </c>
      <c r="AR41" s="125">
        <f>AP41/AP42</f>
        <v>0.5714285499152737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2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>
        <v>3</v>
      </c>
      <c r="BO42" s="25"/>
      <c r="BP42" s="112">
        <f>IF(OR(BM42="",BM43="",AND(BN42="",BN43&lt;&gt;""),AND(BN43="",BN42&lt;&gt;""),AND(BO42="",BO43&lt;&gt;""),AND(BO43="",BO42&lt;&gt;"")),"",BM42*1000+BN42*10+BO42)</f>
        <v>2030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2</v>
      </c>
      <c r="BN43" s="64">
        <v>2</v>
      </c>
      <c r="BO43" s="27"/>
      <c r="BP43" s="113">
        <f>IF(BP42="","",BM43*1000+BN43*10+BO43)</f>
        <v>2020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10</v>
      </c>
      <c r="AN44" s="123">
        <f>AF44*3+AG44</f>
        <v>7</v>
      </c>
      <c r="AO44" s="123">
        <f>AN44/AN48*10+BA44</f>
        <v>9.7401477832512313</v>
      </c>
      <c r="AP44" s="123">
        <f>AO44*10000000+BI44*100+AM44/AM48*10+AI44/AI48*1++IF(AQ44=0,ROW(),AQ44)/2000000</f>
        <v>97401586.796209946</v>
      </c>
      <c r="AQ44" s="126">
        <f>VLOOKUP(AE44,db_fifarank,2,FALSE)</f>
        <v>1734.71</v>
      </c>
      <c r="AR44" s="125">
        <f>AP44/AP48</f>
        <v>0.9999999897332269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100.5</v>
      </c>
      <c r="BA44" s="126">
        <f>AZ44/AZ48</f>
        <v>0.99014778325123154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100.5</v>
      </c>
      <c r="BI44" s="126">
        <f>BH44/BH48</f>
        <v>0.99014778325123154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1</v>
      </c>
      <c r="V45" s="123">
        <f t="shared" si="3"/>
        <v>1</v>
      </c>
      <c r="W45" s="123">
        <f t="shared" si="4"/>
        <v>1</v>
      </c>
      <c r="X45" s="123">
        <f t="shared" si="9"/>
        <v>1</v>
      </c>
      <c r="Y45" s="123">
        <f t="shared" si="10"/>
        <v>1</v>
      </c>
      <c r="Z45" s="123">
        <f t="shared" si="11"/>
        <v>1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2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4</v>
      </c>
      <c r="AL45" s="123">
        <f>AI45-AJ45</f>
        <v>-3</v>
      </c>
      <c r="AM45" s="123">
        <f>AL45-AL48</f>
        <v>2</v>
      </c>
      <c r="AN45" s="123">
        <f>AF45*3+AG45</f>
        <v>1</v>
      </c>
      <c r="AO45" s="123">
        <f>AN45/AN48*10+BA45</f>
        <v>2.2352216748768474</v>
      </c>
      <c r="AP45" s="123">
        <f>AO45*10000000+BI45*100+AM45/AM48*10+AI45/AI48*1++IF(AQ45=0,ROW(),AQ45)/2000000</f>
        <v>22352317.232756544</v>
      </c>
      <c r="AQ45" s="126">
        <f>VLOOKUP(AE45,db_fifarank,2,FALSE)</f>
        <v>1563.24</v>
      </c>
      <c r="AR45" s="125">
        <f>AP45/AP48</f>
        <v>0.22948616894750773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</v>
      </c>
      <c r="BA45" s="126">
        <f>AZ45/AZ48</f>
        <v>0.98522167487684731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</v>
      </c>
      <c r="BI45" s="126">
        <f>BH45/BH48</f>
        <v>0.98522167487684731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6 - 3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0</v>
      </c>
      <c r="W46" s="123">
        <f t="shared" si="4"/>
        <v>0</v>
      </c>
      <c r="X46" s="123">
        <f t="shared" si="9"/>
        <v>1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1</v>
      </c>
      <c r="AH46" s="123">
        <f>COUNTIF($S$7:$T$78,"=" &amp; AE46 &amp; "_lose")</f>
        <v>0</v>
      </c>
      <c r="AI46" s="123">
        <f>SUMIF($E$7:$E$78,$AE46,$F$7:$F$78) + SUMIF($H$7:$H$78,$AE46,$G$7:$G$78)</f>
        <v>6</v>
      </c>
      <c r="AJ46" s="123">
        <f>SUMIF($E$7:$E$78,$AE46,$G$7:$G$78) + SUMIF($H$7:$H$78,$AE46,$F$7:$F$78)</f>
        <v>3</v>
      </c>
      <c r="AL46" s="123">
        <f>AI46-AJ46</f>
        <v>3</v>
      </c>
      <c r="AM46" s="123">
        <f>AL46-AL48</f>
        <v>8</v>
      </c>
      <c r="AN46" s="123">
        <f>AF46*3+AG46</f>
        <v>7</v>
      </c>
      <c r="AO46" s="123">
        <f>AN46/AN48*10+BA46</f>
        <v>9.7401477832512313</v>
      </c>
      <c r="AP46" s="123">
        <f>AO46*10000000+BI46*100+AM46/AM48*10+AI46/AI48*1++IF(AQ46=0,ROW(),AQ46)/2000000</f>
        <v>97401584.97796841</v>
      </c>
      <c r="AQ46" s="126">
        <f>VLOOKUP(AE46,db_fifarank,2,FALSE)</f>
        <v>1615.3</v>
      </c>
      <c r="AR46" s="125">
        <f>AP46/AP48</f>
        <v>0.99999997106575367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0.99014778325123154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0.99014778325123154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2.2352216748768474</v>
      </c>
      <c r="AP47" s="123">
        <f>AO47*10000000+BI47*100+AM47/AM48*10+AI47/AI48*1++IF(AQ47=0,ROW(),AQ47)/2000000</f>
        <v>22352315.414433889</v>
      </c>
      <c r="AQ47" s="126">
        <f>VLOOKUP(AE47,db_fifarank,2,FALSE)</f>
        <v>1281.57</v>
      </c>
      <c r="AR47" s="125">
        <f>AP47/AP48</f>
        <v>0.22948615027920166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</v>
      </c>
      <c r="BA47" s="126">
        <f>AZ47/AZ48</f>
        <v>0.98522167487684731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</v>
      </c>
      <c r="BI47" s="126">
        <f>BH47/BH48</f>
        <v>0.98522167487684731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7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10.740147783251231</v>
      </c>
      <c r="AP48" s="123">
        <f>MAX(AP44:AP47)+1</f>
        <v>97401587.796209946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101.5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15</v>
      </c>
      <c r="AN50" s="123">
        <f>AF50*3+AG50</f>
        <v>7</v>
      </c>
      <c r="AO50" s="123">
        <f>AN50/AN54*10+BA50</f>
        <v>9.7401639344262296</v>
      </c>
      <c r="AP50" s="123">
        <f>AO50*10000000+BI50*100+AM50/AM54*10+AI50/AI54*1++IF(AQ50=0,ROW(),AQ50)/2000000</f>
        <v>97401748.645684853</v>
      </c>
      <c r="AQ50" s="126">
        <f>VLOOKUP(AE50,db_fifarank,2,FALSE)</f>
        <v>1876.4</v>
      </c>
      <c r="AR50" s="125">
        <f>AP50/AP54</f>
        <v>0.999999989733244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100.66666666666667</v>
      </c>
      <c r="BA50" s="126">
        <f>AZ50/AZ54</f>
        <v>0.99016393442622952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100.66666666666667</v>
      </c>
      <c r="BI50" s="126">
        <f>BH50/BH54</f>
        <v>0.99016393442622952</v>
      </c>
      <c r="BK50" s="13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2.2336065573770494</v>
      </c>
      <c r="AP51" s="123">
        <f>AO51*10000000+BI51*100+AM51/AM54*10+AI51/AI54*1++IF(AQ51=0,ROW(),AQ51)/2000000</f>
        <v>22336163.935109295</v>
      </c>
      <c r="AQ51" s="126">
        <f>VLOOKUP(AE51,db_fifarank,2,FALSE)</f>
        <v>1366.13</v>
      </c>
      <c r="AR51" s="125">
        <f>AP51/AP54</f>
        <v>0.2293199456514983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</v>
      </c>
      <c r="BA51" s="126">
        <f>AZ51/AZ54</f>
        <v>0.98360655737704916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</v>
      </c>
      <c r="BI51" s="126">
        <f>BH51/BH54</f>
        <v>0.98360655737704916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6 - 2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2</v>
      </c>
      <c r="AN52" s="123">
        <f>AF52*3+AG52</f>
        <v>1</v>
      </c>
      <c r="AO52" s="123">
        <f>AN52/AN54*10+BA52</f>
        <v>2.2336065573770494</v>
      </c>
      <c r="AP52" s="123">
        <f>AO52*10000000+BI52*100+AM52/AM54*10+AI52/AI54*1++IF(AQ52=0,ROW(),AQ52)/2000000</f>
        <v>22336165.185136944</v>
      </c>
      <c r="AQ52" s="126">
        <f>VLOOKUP(AE52,db_fifarank,2,FALSE)</f>
        <v>1421.43</v>
      </c>
      <c r="AR52" s="125">
        <f>AP52/AP54</f>
        <v>0.22931995848522721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</v>
      </c>
      <c r="BA52" s="126">
        <f>AZ52/AZ54</f>
        <v>0.98360655737704916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</v>
      </c>
      <c r="BI52" s="126">
        <f>BH52/BH54</f>
        <v>0.98360655737704916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11</v>
      </c>
      <c r="AN53" s="123">
        <f>AF53*3+AG53</f>
        <v>7</v>
      </c>
      <c r="AO53" s="123">
        <f>AN53/AN54*10+BA53</f>
        <v>9.7401639344262296</v>
      </c>
      <c r="AP53" s="123">
        <f>AO53*10000000+BI53*100+AM53/AM54*10+AI53/AI54*1++IF(AQ53=0,ROW(),AQ53)/2000000</f>
        <v>97401745.781946823</v>
      </c>
      <c r="AQ53" s="126">
        <f>VLOOKUP(AE53,db_fifarank,2,FALSE)</f>
        <v>1673.07</v>
      </c>
      <c r="AR53" s="125">
        <f>AP53/AP54</f>
        <v>0.99999996033194427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100.66666666666667</v>
      </c>
      <c r="BA53" s="126">
        <f>AZ53/AZ54</f>
        <v>0.99016393442622952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100.66666666666667</v>
      </c>
      <c r="BI53" s="126">
        <f>BH53/BH54</f>
        <v>0.99016393442622952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4</v>
      </c>
      <c r="BU53" s="64"/>
      <c r="BV53" s="27"/>
      <c r="BW53" s="112">
        <f>IF(BW52="","",BT53*1000+BU53*10+BV53)</f>
        <v>4000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11</v>
      </c>
      <c r="AL54" s="123">
        <f>MIN(AL50:AL53)</f>
        <v>-7</v>
      </c>
      <c r="AM54" s="123">
        <f>MAX(AM50:AM53)+1</f>
        <v>16</v>
      </c>
      <c r="AN54" s="123">
        <f>MAX(AN50:AN53)+1</f>
        <v>8</v>
      </c>
      <c r="AO54" s="123">
        <f>MAX(AO50:AO53)+1</f>
        <v>10.74016393442623</v>
      </c>
      <c r="AP54" s="123">
        <f>MAX(AP50:AP53)+1</f>
        <v>97401749.645684853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101.66666666666667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101.66666666666667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7</v>
      </c>
      <c r="AL57" s="123">
        <f>AI57-AJ57</f>
        <v>-3</v>
      </c>
      <c r="AM57" s="123">
        <f>AL57-AL60</f>
        <v>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30000002.752981246</v>
      </c>
      <c r="AQ57" s="126">
        <f>VLOOKUP(AE57,db_fifarank,2,FALSE)</f>
        <v>1688.99</v>
      </c>
      <c r="AR57" s="125">
        <f>AP57/AP60</f>
        <v>0.33333332273461969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7 - 4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0.22294579222222222</v>
      </c>
      <c r="AQ58" s="126">
        <f>VLOOKUP(AE58,db_fifarank,2,FALSE)</f>
        <v>1447.14</v>
      </c>
      <c r="AR58" s="125">
        <f>AP58/AP60</f>
        <v>2.4771751630506229E-9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4 - 7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4</v>
      </c>
      <c r="AL59" s="123">
        <f>AI59-AJ59</f>
        <v>3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60000007.701630168</v>
      </c>
      <c r="AQ59" s="126">
        <f>VLOOKUP(AE59,db_fifarank,2,FALSE)</f>
        <v>1550.94</v>
      </c>
      <c r="AR59" s="125">
        <f>AP59/AP60</f>
        <v>0.66666666986554379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2</v>
      </c>
      <c r="W62" s="123">
        <f t="shared" si="22"/>
        <v>2</v>
      </c>
      <c r="X62" s="123">
        <f t="shared" si="9"/>
        <v>1</v>
      </c>
      <c r="Y62" s="123">
        <f t="shared" si="10"/>
        <v>2</v>
      </c>
      <c r="Z62" s="123">
        <f t="shared" si="11"/>
        <v>2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90000010.161651701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4</v>
      </c>
      <c r="AL63" s="123">
        <f>AI63-AJ63</f>
        <v>0</v>
      </c>
      <c r="AM63" s="123">
        <f>AL63-AL66</f>
        <v>7</v>
      </c>
      <c r="AN63" s="123">
        <f>AF63*3+AG63</f>
        <v>4</v>
      </c>
      <c r="AO63" s="123">
        <f>AN63/AN66*10+BA63</f>
        <v>4.9806451612903224</v>
      </c>
      <c r="AP63" s="123">
        <f>AO63*10000000+BI63*100+AM63/AM66*10+AI63/AI66*1++IF(AQ63=0,ROW(),AQ63)/2000000</f>
        <v>49806555.178201482</v>
      </c>
      <c r="AQ63" s="126">
        <f>VLOOKUP(AE63,db_fifarank,2,FALSE)</f>
        <v>1564.26</v>
      </c>
      <c r="AR63" s="125">
        <f>AP63/AP66</f>
        <v>0.55340610001417045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50.666666666666664</v>
      </c>
      <c r="BA63" s="126">
        <f>AZ63/AZ66</f>
        <v>0.98064516129032253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50.666666666666664</v>
      </c>
      <c r="BI63" s="126">
        <f>BH63/BH66</f>
        <v>0.98064516129032253</v>
      </c>
      <c r="BK63" s="132"/>
      <c r="BL63" s="26" t="str">
        <f>AS45</f>
        <v>Iran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6 - 5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5</v>
      </c>
      <c r="AL64" s="123">
        <f>AI64-AJ64</f>
        <v>1</v>
      </c>
      <c r="AM64" s="123">
        <f>AL64-AL66</f>
        <v>8</v>
      </c>
      <c r="AN64" s="123">
        <f>AF64*3+AG64</f>
        <v>4</v>
      </c>
      <c r="AO64" s="123">
        <f>AN64/AN66*10+BA64</f>
        <v>4.9806451612903224</v>
      </c>
      <c r="AP64" s="123">
        <f>AO64*10000000+BI64*100+AM64/AM66*10+AI64/AI66*1++IF(AQ64=0,ROW(),AQ64)/2000000</f>
        <v>49806556.142501794</v>
      </c>
      <c r="AQ64" s="126">
        <f>VLOOKUP(AE64,db_fifarank,2,FALSE)</f>
        <v>1593.45</v>
      </c>
      <c r="AR64" s="125">
        <f>AP64/AP66</f>
        <v>0.55340611072861712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50.666666666666664</v>
      </c>
      <c r="BA64" s="126">
        <f>AZ64/AZ66</f>
        <v>0.98064516129032253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50.666666666666664</v>
      </c>
      <c r="BI64" s="126">
        <f>BH64/BH66</f>
        <v>0.98064516129032253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4 - 4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8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1.3966189934602805E-9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Algeria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1 - 8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-7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90000011.161651701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31">
        <v>85</v>
      </c>
      <c r="BL66" s="24" t="str">
        <f>AS14</f>
        <v>Switzerland</v>
      </c>
      <c r="BM66" s="61">
        <v>2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2020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2</v>
      </c>
      <c r="BN67" s="64">
        <v>3</v>
      </c>
      <c r="BO67" s="27"/>
      <c r="BP67" s="113">
        <f>IF(BP66="","",BM67*1000+BN67*10+BO67)</f>
        <v>2030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90000010.042548582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Algeria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Argentina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0.2200446353192082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Panama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19804021.275242478</v>
      </c>
      <c r="AQ70" s="126">
        <f>VLOOKUP(AE70,db_fifarank,2,FALSE)</f>
        <v>1465.34</v>
      </c>
      <c r="AR70" s="125">
        <f>AP70/AP72</f>
        <v>0.2200446538376522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0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0 - 3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60000006.334179878</v>
      </c>
      <c r="AQ71" s="126">
        <f>VLOOKUP(AE71,db_fifarank,2,FALSE)</f>
        <v>1693.09</v>
      </c>
      <c r="AR71" s="125">
        <f>AP71/AP72</f>
        <v>0.6666666552497883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Panama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90000011.042548582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10</v>
      </c>
      <c r="AN74" s="123">
        <f>AF74*3+AG74</f>
        <v>7</v>
      </c>
      <c r="AO74" s="123">
        <f>AN74/AN78*10+BA74</f>
        <v>9.7306451612903224</v>
      </c>
      <c r="AP74" s="123">
        <f>AO74*10000000+BI74*100+AM74/AM78*10+AI74/AI78*1++IF(AQ74=0,ROW(),AQ74)/2000000</f>
        <v>97306559.644241422</v>
      </c>
      <c r="AQ74" s="126">
        <f>VLOOKUP(AE74,db_fifarank,2,FALSE)</f>
        <v>1825.97</v>
      </c>
      <c r="AR74" s="125">
        <f>AP74/AP78</f>
        <v>0.99999998972320059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50.666666666666664</v>
      </c>
      <c r="BA74" s="126">
        <f>AZ74/AZ78</f>
        <v>0.98064516129032253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50.666666666666664</v>
      </c>
      <c r="BI74" s="126">
        <f>BH74/BH78</f>
        <v>0.98064516129032253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2</v>
      </c>
      <c r="W75" s="123">
        <f t="shared" si="22"/>
        <v>2</v>
      </c>
      <c r="X75" s="123">
        <f t="shared" si="32"/>
        <v>1</v>
      </c>
      <c r="Y75" s="123">
        <f t="shared" si="33"/>
        <v>2</v>
      </c>
      <c r="Z75" s="123">
        <f t="shared" si="34"/>
        <v>2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8</v>
      </c>
      <c r="AN75" s="123">
        <f>AF75*3+AG75</f>
        <v>7</v>
      </c>
      <c r="AO75" s="123">
        <f>AN75/AN78*10+BA75</f>
        <v>9.7306451612903224</v>
      </c>
      <c r="AP75" s="123">
        <f>AO75*10000000+BI75*100+AM75/AM78*10+AI75/AI78*1++IF(AQ75=0,ROW(),AQ75)/2000000</f>
        <v>97306557.576005146</v>
      </c>
      <c r="AQ75" s="126">
        <f>VLOOKUP(AE75,db_fifarank,2,FALSE)</f>
        <v>1717.07</v>
      </c>
      <c r="AR75" s="125">
        <f>AP75/AP78</f>
        <v>0.99999996846835137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6</v>
      </c>
      <c r="AL76" s="123">
        <f>AI76-AJ76</f>
        <v>-5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0.12567315500000001</v>
      </c>
      <c r="AQ76" s="126">
        <f>VLOOKUP(AE76,db_fifarank,2,FALSE)</f>
        <v>1346.31</v>
      </c>
      <c r="AR76" s="125">
        <f>AP76/AP78</f>
        <v>1.2915177986761709E-9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2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37500002.068952143</v>
      </c>
      <c r="AQ77" s="126">
        <f>VLOOKUP(AE77,db_fifarank,2,FALSE)</f>
        <v>1540.64</v>
      </c>
      <c r="AR77" s="125">
        <f>AP77/AP78</f>
        <v>0.38537999720341964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11</v>
      </c>
      <c r="AN78" s="123">
        <f>MAX(AN74:AN77)+1</f>
        <v>8</v>
      </c>
      <c r="AO78" s="123">
        <f>MAX(AO74:AO77)+1</f>
        <v>10.730645161290322</v>
      </c>
      <c r="AP78" s="123">
        <f>MAX(AP74:AP77)+1</f>
        <v>97306560.644241422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1</v>
      </c>
      <c r="AP80" s="123">
        <f>AN80/AN92*10000+AM80/AM92*1000+AI80/AI92*100+IF(AQ80=0,ROW(),AQ80)/2000000</f>
        <v>2540.0007148650002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Algeria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4500.0006929199999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Tunisia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6746.6674158416672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7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4706.6674184166668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4 - 7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6</v>
      </c>
      <c r="AK84" s="123" t="s">
        <v>3185</v>
      </c>
      <c r="AL84" s="123">
        <f t="shared" si="43"/>
        <v>-4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6206.6674331566674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Panama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Tunisia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8726.6674081916663</v>
      </c>
      <c r="AQ85" s="126">
        <f t="shared" si="37"/>
        <v>1483.05</v>
      </c>
      <c r="AR85" s="125" t="str">
        <f t="shared" si="50"/>
        <v>BCDEF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Ivory Coast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Egypt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2353.3341149533335</v>
      </c>
      <c r="AQ86" s="126">
        <f t="shared" si="37"/>
        <v>1563.24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2 - 3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5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0 - 2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7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6413.3341778283329</v>
      </c>
      <c r="AQ88" s="126">
        <f t="shared" si="37"/>
        <v>1688.99</v>
      </c>
      <c r="AR88" s="125" t="str">
        <f t="shared" si="50"/>
        <v>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South Africa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4</v>
      </c>
      <c r="AK89" s="123" t="s">
        <v>3190</v>
      </c>
      <c r="AL89" s="123">
        <f t="shared" si="43"/>
        <v>0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8913.3341154633345</v>
      </c>
      <c r="AQ89" s="126">
        <f t="shared" si="37"/>
        <v>1564.26</v>
      </c>
      <c r="AR89" s="125" t="str">
        <f t="shared" si="50"/>
        <v>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Egypt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3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1</v>
      </c>
      <c r="AP90" s="123">
        <f>AN90/AN92*10000+AM90/AM92*1000+AI90/AI92*100+IF(AQ90=0,ROW(),AQ90)/2000000</f>
        <v>2333.3340660033336</v>
      </c>
      <c r="AQ90" s="126">
        <f t="shared" si="37"/>
        <v>1465.34</v>
      </c>
      <c r="AR90" s="125" t="str">
        <f t="shared" si="50"/>
        <v>BCDEFIJ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6373.3341036533329</v>
      </c>
      <c r="AQ91" s="126">
        <f t="shared" si="37"/>
        <v>1540.64</v>
      </c>
      <c r="AR91" s="125" t="str">
        <f t="shared" si="50"/>
        <v>BCDEFIJL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Korea Republic</v>
      </c>
      <c r="T96" s="127" t="str" cm="1">
        <f t="array" ref="T96">IF(OR(S96="",S96="draw"),INDEX(T,95,lang),S96)</f>
        <v>Korea Republic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Korea Republic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Korea Republic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148</v>
      </c>
      <c r="C3" s="121" t="str">
        <f>'2026 World Cup'!AR91</f>
        <v>BCDEFIJL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3E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Jan Erling Klausen</cp:lastModifiedBy>
  <cp:revision/>
  <dcterms:created xsi:type="dcterms:W3CDTF">2017-12-27T19:32:51Z</dcterms:created>
  <dcterms:modified xsi:type="dcterms:W3CDTF">2026-06-07T07:41:47Z</dcterms:modified>
  <cp:category>Sports</cp:category>
  <cp:contentStatus/>
</cp:coreProperties>
</file>
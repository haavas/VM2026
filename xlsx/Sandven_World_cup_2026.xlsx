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lvardsandven/Desktop/"/>
    </mc:Choice>
  </mc:AlternateContent>
  <xr:revisionPtr revIDLastSave="0" documentId="13_ncr:1_{7F64949F-0DFE-8A42-899F-3AE42BE80201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S23" i="3"/>
  <c r="T23" i="3" s="1"/>
  <c r="S48" i="3"/>
  <c r="S43" i="3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75" i="3"/>
  <c r="T74" i="3"/>
  <c r="T68" i="3"/>
  <c r="T66" i="3"/>
  <c r="T63" i="3"/>
  <c r="T61" i="3"/>
  <c r="T60" i="3"/>
  <c r="T56" i="3"/>
  <c r="T53" i="3"/>
  <c r="T51" i="3"/>
  <c r="T49" i="3"/>
  <c r="T48" i="3"/>
  <c r="T46" i="3"/>
  <c r="T45" i="3"/>
  <c r="T44" i="3"/>
  <c r="T43" i="3"/>
  <c r="T41" i="3"/>
  <c r="T39" i="3"/>
  <c r="T34" i="3"/>
  <c r="T16" i="3"/>
  <c r="T12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 l="1"/>
  <c r="AP58" i="3" s="1"/>
  <c r="BI59" i="3"/>
  <c r="AP59" i="3" s="1"/>
  <c r="BI57" i="3"/>
  <c r="AP57" i="3" s="1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8" i="3" l="1"/>
  <c r="AR59" i="3"/>
  <c r="AR56" i="3"/>
  <c r="AD58" i="3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 l="1"/>
  <c r="AD56" i="3"/>
  <c r="AD11" i="3"/>
  <c r="AD9" i="3"/>
  <c r="AD8" i="3"/>
  <c r="AD10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AD35" i="3"/>
  <c r="AD63" i="3"/>
  <c r="AD53" i="3"/>
  <c r="AD44" i="3"/>
  <c r="AD22" i="3"/>
  <c r="AD41" i="3"/>
  <c r="AD62" i="3"/>
  <c r="AD21" i="3"/>
  <c r="AD47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M58" i="3" l="1"/>
  <c r="N58" i="3"/>
  <c r="L58" i="3"/>
  <c r="L57" i="3"/>
  <c r="O60" i="3"/>
  <c r="M59" i="3"/>
  <c r="L59" i="3"/>
  <c r="L60" i="3"/>
  <c r="J57" i="3"/>
  <c r="AS56" i="3" s="1"/>
  <c r="BL14" i="3" s="1"/>
  <c r="J59" i="3"/>
  <c r="AE88" i="3" s="1"/>
  <c r="AQ88" i="3" s="1"/>
  <c r="M60" i="3"/>
  <c r="O57" i="3"/>
  <c r="N60" i="3"/>
  <c r="M57" i="3"/>
  <c r="O58" i="3"/>
  <c r="N57" i="3"/>
  <c r="J60" i="3"/>
  <c r="J58" i="3"/>
  <c r="AS57" i="3" s="1"/>
  <c r="BL47" i="3" s="1"/>
  <c r="BS45" i="3" s="1"/>
  <c r="N59" i="3"/>
  <c r="O59" i="3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M76" i="3"/>
  <c r="M18" i="3"/>
  <c r="M77" i="3"/>
  <c r="J78" i="3"/>
  <c r="O77" i="3"/>
  <c r="N76" i="3"/>
  <c r="O78" i="3"/>
  <c r="N18" i="3"/>
  <c r="L78" i="3"/>
  <c r="N77" i="3"/>
  <c r="N78" i="3"/>
  <c r="L17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N35" i="3"/>
  <c r="M35" i="3"/>
  <c r="J36" i="3"/>
  <c r="O28" i="3"/>
  <c r="N27" i="3"/>
  <c r="N66" i="3"/>
  <c r="L24" i="3"/>
  <c r="O39" i="3"/>
  <c r="J39" i="3"/>
  <c r="AS38" i="3" s="1"/>
  <c r="BL22" i="3" s="1"/>
  <c r="O36" i="3"/>
  <c r="N28" i="3"/>
  <c r="O29" i="3"/>
  <c r="N46" i="3"/>
  <c r="M47" i="3"/>
  <c r="N17" i="3"/>
  <c r="L47" i="3"/>
  <c r="N65" i="3"/>
  <c r="L63" i="3"/>
  <c r="L45" i="3"/>
  <c r="J45" i="3"/>
  <c r="AS44" i="3" s="1"/>
  <c r="BL38" i="3" s="1"/>
  <c r="O17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N53" i="3"/>
  <c r="M41" i="3"/>
  <c r="M65" i="3"/>
  <c r="J47" i="3"/>
  <c r="AE86" i="3" s="1"/>
  <c r="AQ86" i="3" s="1"/>
  <c r="O66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N15" i="3"/>
  <c r="N42" i="3"/>
  <c r="M15" i="3"/>
  <c r="O15" i="3"/>
  <c r="J15" i="3"/>
  <c r="AS14" i="3" s="1"/>
  <c r="BL66" i="3" s="1"/>
  <c r="BS44" i="3" l="1"/>
  <c r="BZ48" i="3"/>
  <c r="BS61" i="3"/>
  <c r="K58" i="3"/>
  <c r="AL88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58" i="3"/>
  <c r="AT88" i="3"/>
  <c r="AJ88" i="3"/>
  <c r="AF88" i="3"/>
  <c r="P57" i="3"/>
  <c r="P60" i="3"/>
  <c r="K60" i="3"/>
  <c r="P59" i="3"/>
  <c r="AI88" i="3"/>
  <c r="AH88" i="3"/>
  <c r="K59" i="3"/>
  <c r="AG88" i="3"/>
  <c r="AN88" i="3"/>
  <c r="K57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6" i="3" l="1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38" i="3" s="1"/>
  <c r="BS68" i="3"/>
  <c r="BZ49" i="3" l="1"/>
  <c r="CG55" i="3" s="1"/>
  <c r="CN49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<sst xmlns="http://schemas.openxmlformats.org/spreadsheetml/2006/main" count="9786" uniqueCount="3698">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</sst>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E17" zoomScale="90" zoomScaleNormal="90" workbookViewId="0">
      <selection activeCell="CG42" sqref="CG42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8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97305932.99070029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7.3465714852325553E-12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3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7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97305931.879542992</v>
      </c>
      <c r="AQ10" s="126">
        <f>VLOOKUP(AE10,db_fifarank,2,FALSE)</f>
        <v>1588.66</v>
      </c>
      <c r="AR10" s="125">
        <f>AP10/AP12</f>
        <v>0.99999997830392029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5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37500006.156306244</v>
      </c>
      <c r="AQ11" s="126">
        <f>VLOOKUP(AE11,db_fifarank,2,FALSE)</f>
        <v>1501.38</v>
      </c>
      <c r="AR11" s="125">
        <f>AP11/AP12</f>
        <v>0.3853825210689637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5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97305933.99070029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60000005.984905221</v>
      </c>
      <c r="AQ14" s="126">
        <f>VLOOKUP(AE14,db_fifarank,2,FALSE)</f>
        <v>1556.48</v>
      </c>
      <c r="AR14" s="125">
        <f>AP14/AP18</f>
        <v>0.66666665355927102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3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30000003.476883393</v>
      </c>
      <c r="AQ15" s="126">
        <f>VLOOKUP(AE15,db_fifarank,2,FALSE)</f>
        <v>1385.84</v>
      </c>
      <c r="AR15" s="125">
        <f>AP15/AP18</f>
        <v>0.33333333216219913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1.5953845079086063E-9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>
        <v>1</v>
      </c>
      <c r="CC16" s="25">
        <v>5</v>
      </c>
      <c r="CD16" s="112">
        <f>IF(OR(CA16="",CA17="",AND(CB16="",CB17&lt;&gt;""),AND(CB17="",CB16&lt;&gt;""),AND(CC16="",CC17&lt;&gt;""),AND(CC17="",CC16&lt;&gt;"")),"",CA16*1000+CB16*10+CC16)</f>
        <v>1015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1 - 2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90000009.746856451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>
        <v>1</v>
      </c>
      <c r="CC17" s="27">
        <v>4</v>
      </c>
      <c r="CD17" s="113">
        <f>IF(CD16="","",CA17*1000+CB17*10+CC17)</f>
        <v>1014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90000010.746856451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90000010.345325038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13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60000007.823100157</v>
      </c>
      <c r="AQ21" s="126">
        <f>VLOOKUP(AE21,db_fifarank,2,FALSE)</f>
        <v>1755.87</v>
      </c>
      <c r="AR21" s="125">
        <f>AP21/AP24</f>
        <v>0.66666666955055665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7.1761657620451873E-12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0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30000003.434082508</v>
      </c>
      <c r="AQ23" s="126">
        <f>VLOOKUP(AE23,db_fifarank,2,FALSE)</f>
        <v>1498.35</v>
      </c>
      <c r="AR23" s="125">
        <f>AP23/AP24</f>
        <v>0.33333332947008376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>
        <v>1</v>
      </c>
      <c r="BO23" s="27"/>
      <c r="BP23" s="112">
        <f>IF(BP22="","",BM23*1000+BN23*10+BO23)</f>
        <v>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90000011.345325038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60000006.857979424</v>
      </c>
      <c r="AQ26" s="126">
        <f>VLOOKUP(AE26,db_fifarank,2,FALSE)</f>
        <v>1673.13</v>
      </c>
      <c r="AR26" s="125">
        <f>AP26/AP30</f>
        <v>0.66666666243723582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1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30000001.286466036</v>
      </c>
      <c r="AQ27" s="126">
        <f>VLOOKUP(AE27,db_fifarank,2,FALSE)</f>
        <v>1503.5</v>
      </c>
      <c r="AR27" s="125">
        <f>AP27/AP30</f>
        <v>0.33333330741280215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2</v>
      </c>
      <c r="BO27" s="27"/>
      <c r="BP27" s="113">
        <f>IF(BP26="","",BM27*1000+BN27*10+BO27)</f>
        <v>1020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6 - 4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1.5960828947440752E-9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1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90000009.857942373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2</v>
      </c>
      <c r="AL32" s="123">
        <f>AI32-AJ32</f>
        <v>4</v>
      </c>
      <c r="AM32" s="123">
        <f>AL32-AL36</f>
        <v>13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87500010.143722326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7.3979990578143171E-12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3</v>
      </c>
      <c r="AL34" s="123">
        <f>AI34-AJ34</f>
        <v>2</v>
      </c>
      <c r="AM34" s="123">
        <f>AL34-AL36</f>
        <v>11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50000008.572195068</v>
      </c>
      <c r="AQ34" s="126">
        <f>VLOOKUP(AE34,db_fifarank,2,FALSE)</f>
        <v>1532.98</v>
      </c>
      <c r="AR34" s="125">
        <f>AP34/AP36</f>
        <v>0.57142859662118239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12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62500009.286511682</v>
      </c>
      <c r="AQ35" s="126">
        <f>VLOOKUP(AE35,db_fifarank,2,FALSE)</f>
        <v>1594.78</v>
      </c>
      <c r="AR35" s="125">
        <f>AP35/AP36</f>
        <v>0.71428572944811264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7</v>
      </c>
      <c r="AL36" s="123">
        <f>MIN(AL32:AL35)</f>
        <v>-9</v>
      </c>
      <c r="AM36" s="123">
        <f>MAX(AM32:AM35)+1</f>
        <v>14</v>
      </c>
      <c r="AN36" s="123">
        <f>MAX(AN32:AN35)+1</f>
        <v>8</v>
      </c>
      <c r="AO36" s="123">
        <f>MAX(AO32:AO35)+1</f>
        <v>9.75</v>
      </c>
      <c r="AP36" s="123">
        <f>MAX(AP32:AP35)+1</f>
        <v>87500011.143722326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>
        <v>0</v>
      </c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>
        <v>1</v>
      </c>
      <c r="BV37" s="27"/>
      <c r="BW37" s="112">
        <f>IF(BW36="","",BT37*1000+BU37*10+BV37)</f>
        <v>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97305931.74629426</v>
      </c>
      <c r="AQ38" s="126">
        <f>VLOOKUP(AE38,db_fifarank,2,FALSE)</f>
        <v>1757.87</v>
      </c>
      <c r="AR38" s="125">
        <f>AP38/AP42</f>
        <v>0.99999997659208473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1</v>
      </c>
      <c r="AL39" s="123">
        <f>AI39-AJ39</f>
        <v>4</v>
      </c>
      <c r="AM39" s="123">
        <f>AL39-AL42</f>
        <v>8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97305933.024023324</v>
      </c>
      <c r="AQ39" s="126">
        <f>VLOOKUP(AE39,db_fifarank,2,FALSE)</f>
        <v>1660.43</v>
      </c>
      <c r="AR39" s="125">
        <f>AP39/AP42</f>
        <v>0.99999998972313442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4 - 1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1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37500001.445201829</v>
      </c>
      <c r="AQ40" s="126">
        <f>VLOOKUP(AE40,db_fifarank,2,FALSE)</f>
        <v>1514.77</v>
      </c>
      <c r="AR40" s="125">
        <f>AP40/AP42</f>
        <v>0.38538247252160041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1.7204314756933135E-9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97305934.024023324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>
        <v>1</v>
      </c>
      <c r="BO42" s="25">
        <v>3</v>
      </c>
      <c r="BP42" s="112">
        <f>IF(OR(BM42="",BM43="",AND(BN42="",BN43&lt;&gt;""),AND(BN43="",BN42&lt;&gt;""),AND(BO42="",BO43&lt;&gt;""),AND(BO43="",BO42&lt;&gt;"")),"",BM42*1000+BN42*10+BO42)</f>
        <v>1013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Netherlands</v>
      </c>
      <c r="BM43" s="62">
        <v>1</v>
      </c>
      <c r="BN43" s="64">
        <v>1</v>
      </c>
      <c r="BO43" s="27">
        <v>5</v>
      </c>
      <c r="BP43" s="113">
        <f>IF(BP42="","",BM43*1000+BN43*10+BO43)</f>
        <v>1015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90000009.746899098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Netherlands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60000004.873797491</v>
      </c>
      <c r="AQ45" s="126">
        <f>VLOOKUP(AE45,db_fifarank,2,FALSE)</f>
        <v>1563.24</v>
      </c>
      <c r="AR45" s="125">
        <f>AP45/AP48</f>
        <v>0.6666666412133152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19805923.444635667</v>
      </c>
      <c r="AQ46" s="126">
        <f>VLOOKUP(AE46,db_fifarank,2,FALSE)</f>
        <v>1615.3</v>
      </c>
      <c r="AR46" s="125">
        <f>AP46/AP48</f>
        <v>0.22006578977345365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>
        <v>0</v>
      </c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19805923.4444688</v>
      </c>
      <c r="AQ47" s="126">
        <f>VLOOKUP(AE47,db_fifarank,2,FALSE)</f>
        <v>1281.57</v>
      </c>
      <c r="AR47" s="125">
        <f>AP47/AP48</f>
        <v>0.22006578977159957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0</v>
      </c>
      <c r="BN47" s="64">
        <v>1</v>
      </c>
      <c r="BO47" s="27"/>
      <c r="BP47" s="112">
        <f>IF(BP46="","",BM47*1000+BN47*10+BO47)</f>
        <v>10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90000010.746899098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Netherlands</v>
      </c>
      <c r="CA48" s="61">
        <v>0</v>
      </c>
      <c r="CB48" s="63">
        <v>0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4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>
        <v>0</v>
      </c>
      <c r="CC49" s="27">
        <v>5</v>
      </c>
      <c r="CD49" s="113">
        <f>IF(CD48="","",CA49*1000+CB49*10+CC49)</f>
        <v>5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7.5896101535996922E-12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30000002.869397581</v>
      </c>
      <c r="AQ52" s="126">
        <f>VLOOKUP(AE52,db_fifarank,2,FALSE)</f>
        <v>1421.43</v>
      </c>
      <c r="AR52" s="125">
        <f>AP52/AP54</f>
        <v>0.33333332316192416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>
        <v>1</v>
      </c>
      <c r="BV52" s="25"/>
      <c r="BW52" s="116">
        <f>IF(OR(BT52="",BT53="",AND(BU52="",BU53&lt;&gt;""),AND(BU53="",BU52&lt;&gt;""),AND(BV52="",BV53&lt;&gt;""),AND(BV53="",BV52&lt;&gt;"")),"",BT52*1000+BU52*10+BV52)</f>
        <v>1010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60000006.010937542</v>
      </c>
      <c r="AQ53" s="126">
        <f>VLOOKUP(AE53,db_fifarank,2,FALSE)</f>
        <v>1673.07</v>
      </c>
      <c r="AR53" s="125">
        <f>AP53/AP54</f>
        <v>0.66666664934765218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>
        <v>1</v>
      </c>
      <c r="CJ56" s="27"/>
      <c r="CK56" s="112">
        <f>IF(CK55="","",CH56*1000+CI56*10+CJ56)</f>
        <v>10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9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30000007.054415923</v>
      </c>
      <c r="AQ57" s="126">
        <f>VLOOKUP(AE57,db_fifarank,2,FALSE)</f>
        <v>1688.99</v>
      </c>
      <c r="AR57" s="125">
        <f>AP57/AP60</f>
        <v>0.33333337037627253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10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60000007.768632613</v>
      </c>
      <c r="AQ59" s="126">
        <f>VLOOKUP(AE59,db_fifarank,2,FALSE)</f>
        <v>1550.94</v>
      </c>
      <c r="AR59" s="125">
        <f>AP59/AP60</f>
        <v>0.66666667030589566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>
        <v>1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1014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49805926.878676079</v>
      </c>
      <c r="AQ63" s="126">
        <f>VLOOKUP(AE63,db_fifarank,2,FALSE)</f>
        <v>1564.26</v>
      </c>
      <c r="AR63" s="125">
        <f>AP63/AP66</f>
        <v>0.55339911924704888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>
        <v>1</v>
      </c>
      <c r="BO63" s="27">
        <v>5</v>
      </c>
      <c r="BP63" s="112">
        <f>IF(BP62="","",BM63*1000+BN63*10+BO63)</f>
        <v>1015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4 - 5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4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49805926.628690675</v>
      </c>
      <c r="AQ64" s="126">
        <f>VLOOKUP(AE64,db_fifarank,2,FALSE)</f>
        <v>1593.45</v>
      </c>
      <c r="AR64" s="125">
        <f>AP64/AP66</f>
        <v>0.55339911646943363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1.3966189943129172E-9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90000010.120540038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0.22004463512852376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0.22004463512845149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60000006.710248247</v>
      </c>
      <c r="AQ71" s="126">
        <f>VLOOKUP(AE71,db_fifarank,2,FALSE)</f>
        <v>1693.09</v>
      </c>
      <c r="AR71" s="125">
        <f>AP71/AP72</f>
        <v>0.66666665885061083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90000011.120540038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90000009.60805583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60000005.429429963</v>
      </c>
      <c r="AQ75" s="126">
        <f>VLOOKUP(AE75,db_fifarank,2,FALSE)</f>
        <v>1717.07</v>
      </c>
      <c r="AR75" s="125">
        <f>AP75/AP78</f>
        <v>0.66666664841547707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1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19805924.837358318</v>
      </c>
      <c r="AQ76" s="126">
        <f>VLOOKUP(AE76,db_fifarank,2,FALSE)</f>
        <v>1346.31</v>
      </c>
      <c r="AR76" s="125">
        <f>AP76/AP78</f>
        <v>0.22006580558764408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19805923.444598336</v>
      </c>
      <c r="AQ77" s="126">
        <f>VLOOKUP(AE77,db_fifarank,2,FALSE)</f>
        <v>1540.64</v>
      </c>
      <c r="AR77" s="125">
        <f>AP77/AP78</f>
        <v>0.22006579011253496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90000010.60805583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6675.0007506900001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6516.6673595866669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Austria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4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6266.6674158416672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5 - 4</v>
      </c>
      <c r="P83" s="101">
        <f t="shared" si="48"/>
        <v>3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5</v>
      </c>
      <c r="AK83" s="123" t="s">
        <v>3184</v>
      </c>
      <c r="AL83" s="123">
        <f t="shared" si="43"/>
        <v>-3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6283.3340850833329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3</v>
      </c>
      <c r="AK84" s="123" t="s">
        <v>3185</v>
      </c>
      <c r="AL84" s="123">
        <f t="shared" si="43"/>
        <v>2</v>
      </c>
      <c r="AM84" s="123">
        <f t="shared" si="44"/>
        <v>7</v>
      </c>
      <c r="AN84" s="123">
        <f t="shared" si="45"/>
        <v>4</v>
      </c>
      <c r="AP84" s="123">
        <f>AN84/AN92*10000+AM84/AM92*1000+AI84/AI92*100+IF(AQ84=0,ROW(),AQ84)/2000000</f>
        <v>8958.3340998233343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Bosnia and Herzegovina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1 - 2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6283.3340907183328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2266.6674743166664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6266.6673773816674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4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3</v>
      </c>
      <c r="AP88" s="123">
        <f>AN88/AN92*10000+AM88/AM92*1000+AI88/AI92*100+IF(AQ88=0,ROW(),AQ88)/2000000</f>
        <v>6833.3341778283329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2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8533.3341300583343</v>
      </c>
      <c r="AQ89" s="126">
        <f t="shared" si="37"/>
        <v>1593.45</v>
      </c>
      <c r="AR89" s="125" t="str">
        <f t="shared" si="50"/>
        <v>ABCDEFIJ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2408.3340064883337</v>
      </c>
      <c r="AQ91" s="126">
        <f t="shared" si="37"/>
        <v>1346.31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-5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Hallvard Sandven</cp:lastModifiedBy>
  <cp:revision/>
  <dcterms:created xsi:type="dcterms:W3CDTF">2017-12-27T19:32:51Z</dcterms:created>
  <dcterms:modified xsi:type="dcterms:W3CDTF">2026-06-09T19:09:19Z</dcterms:modified>
  <cp:category>Sports</cp:category>
  <cp:contentStatus/>
</cp:coreProperties>
</file>
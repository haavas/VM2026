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c1674\Downloads\"/>
    </mc:Choice>
  </mc:AlternateContent>
  <xr:revisionPtr revIDLastSave="0" documentId="8_{6ED992C1-668A-409B-BDE0-12FDAADDC657}" xr6:coauthVersionLast="47" xr6:coauthVersionMax="47" xr10:uidLastSave="{00000000-0000-0000-0000-000000000000}"/>
  <bookViews>
    <workbookView xWindow="54495" yWindow="0" windowWidth="26010" windowHeight="20985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T43" i="3"/>
  <c r="S72" i="3"/>
  <c r="S70" i="3"/>
  <c r="S42" i="3"/>
  <c r="S64" i="3"/>
  <c r="S40" i="3"/>
  <c r="S62" i="3"/>
  <c r="T39" i="3"/>
  <c r="S38" i="3"/>
  <c r="S65" i="3"/>
  <c r="T66" i="3"/>
  <c r="S55" i="3"/>
  <c r="T56" i="3"/>
  <c r="S57" i="3"/>
  <c r="T60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9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O69" i="3" s="1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J75" i="3" l="1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S111" i="3" s="1"/>
  <c r="T111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CN48" i="3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Z65" i="3" s="1"/>
  <c r="CG56" i="3" s="1"/>
  <c r="CN49" i="3" s="1"/>
  <c r="BS68" i="3"/>
  <c r="BZ49" i="3" l="1"/>
  <c r="CG55" i="3" s="1"/>
  <c r="CN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<sst xmlns="http://schemas.openxmlformats.org/spreadsheetml/2006/main" count="9786" uniqueCount="3698">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</sst>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1477104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1474394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1473929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1474394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1474550</xdr:colOff>
      <xdr:row>23</xdr:row>
      <xdr:rowOff>1415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160165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239475</xdr:colOff>
      <xdr:row>36</xdr:row>
      <xdr:rowOff>1526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28</xdr:row>
      <xdr:rowOff>1526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1474085</xdr:colOff>
      <xdr:row>15</xdr:row>
      <xdr:rowOff>160385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163560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1474085</xdr:colOff>
      <xdr:row>19</xdr:row>
      <xdr:rowOff>160494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1474085</xdr:colOff>
      <xdr:row>21</xdr:row>
      <xdr:rowOff>160603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160713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1474085</xdr:colOff>
      <xdr:row>42</xdr:row>
      <xdr:rowOff>160823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239010</xdr:colOff>
      <xdr:row>76</xdr:row>
      <xdr:rowOff>160932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1474085</xdr:colOff>
      <xdr:row>12</xdr:row>
      <xdr:rowOff>161041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160381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37</xdr:row>
      <xdr:rowOff>1130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49</xdr:row>
      <xdr:rowOff>1566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1478341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1476048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1478341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217866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1477876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1456116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1479223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1456116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1476302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217474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239699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238852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158776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239317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239317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1496152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24" zoomScaleNormal="100" workbookViewId="0">
      <selection activeCell="CN54" sqref="CN54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3</v>
      </c>
      <c r="AJ8" s="123">
        <f>SUMIF($E$7:$E$78,$AE8,$G$7:$G$78) + SUMIF($H$7:$H$78,$AE8,$F$7:$F$78)</f>
        <v>0</v>
      </c>
      <c r="AL8" s="123">
        <f>AI8-AJ8</f>
        <v>3</v>
      </c>
      <c r="AM8" s="123">
        <f>AL8-AL12</f>
        <v>6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90000009.322269082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3 - 0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3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7.9429435334533279E-12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2 - 2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2</v>
      </c>
      <c r="AL10" s="123">
        <f>AI10-AJ10</f>
        <v>0</v>
      </c>
      <c r="AM10" s="123">
        <f>AL10-AL12</f>
        <v>3</v>
      </c>
      <c r="AN10" s="123">
        <f>AF10*3+AG10</f>
        <v>4</v>
      </c>
      <c r="AO10" s="123">
        <f>AN10/AN12*10+BA10</f>
        <v>4.9805825242718447</v>
      </c>
      <c r="AP10" s="123">
        <f>AO10*10000000+BI10*100+AM10/AM12*10+AI10/AI12*1++IF(AQ10=0,ROW(),AQ10)/2000000</f>
        <v>49805928.08747948</v>
      </c>
      <c r="AQ10" s="126">
        <f>VLOOKUP(AE10,db_fifarank,2,FALSE)</f>
        <v>1588.66</v>
      </c>
      <c r="AR10" s="125">
        <f>AP10/AP12</f>
        <v>0.55339913750160752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1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2 - 2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2</v>
      </c>
      <c r="AL11" s="123">
        <f>AI11-AJ11</f>
        <v>0</v>
      </c>
      <c r="AM11" s="123">
        <f>AL11-AL12</f>
        <v>3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49805928.087435842</v>
      </c>
      <c r="AQ11" s="126">
        <f>VLOOKUP(AE11,db_fifarank,2,FALSE)</f>
        <v>1501.38</v>
      </c>
      <c r="AR11" s="125">
        <f>AP11/AP12</f>
        <v>0.55339913750112257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42"/>
      <c r="BL11" s="26" t="str">
        <f>IF(group_round_completed,VLOOKUP('3rd places'!G3,AK80:AS91,9,FALSE),"3rd Group A/B/C/D/F")</f>
        <v>Sweden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0 - 3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4</v>
      </c>
      <c r="AI12" s="123">
        <f>MAX(AI8:AI11)+1</f>
        <v>4</v>
      </c>
      <c r="AL12" s="123">
        <f>MIN(AL8:AL11)</f>
        <v>-3</v>
      </c>
      <c r="AM12" s="123">
        <f>MAX(AM8:AM11)+1</f>
        <v>7</v>
      </c>
      <c r="AN12" s="123">
        <f>MAX(AN8:AN11)+1</f>
        <v>10</v>
      </c>
      <c r="AO12" s="123">
        <f>MAX(AO8:AO11)+1</f>
        <v>10</v>
      </c>
      <c r="AP12" s="123">
        <f>MAX(AP8:AP11)+1</f>
        <v>90000010.322269082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1</v>
      </c>
      <c r="AL14" s="123">
        <f>AI14-AJ14</f>
        <v>2</v>
      </c>
      <c r="AM14" s="123">
        <f>AL14-AL18</f>
        <v>7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97305930.801749125</v>
      </c>
      <c r="AQ14" s="126">
        <f>VLOOKUP(AE14,db_fifarank,2,FALSE)</f>
        <v>1556.48</v>
      </c>
      <c r="AR14" s="125">
        <f>AP14/AP18</f>
        <v>0.99999996574330419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2</v>
      </c>
      <c r="AL15" s="123">
        <f>AI15-AJ15</f>
        <v>-1</v>
      </c>
      <c r="AM15" s="123">
        <f>AL15-AL18</f>
        <v>4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37500004.167359583</v>
      </c>
      <c r="AQ15" s="126">
        <f>VLOOKUP(AE15,db_fifarank,2,FALSE)</f>
        <v>1385.84</v>
      </c>
      <c r="AR15" s="125">
        <f>AP15/AP18</f>
        <v>0.38538250005681324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Iran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3 - 1</v>
      </c>
      <c r="P16" s="34">
        <f>L16*3+M16</f>
        <v>7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7.4762141329402094E-12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1 - 2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1</v>
      </c>
      <c r="AL17" s="123">
        <f>AI17-AJ17</f>
        <v>4</v>
      </c>
      <c r="AM17" s="123">
        <f>AL17-AL18</f>
        <v>9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97305933.135128915</v>
      </c>
      <c r="AQ17" s="126">
        <f>VLOOKUP(AE17,db_fifarank,2,FALSE)</f>
        <v>1649.4</v>
      </c>
      <c r="AR17" s="125">
        <f>AP17/AP18</f>
        <v>0.99999998972313442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10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97305934.135128915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5</v>
      </c>
      <c r="AJ20" s="123">
        <f>SUMIF($E$7:$E$78,$AE20,$G$7:$G$78) + SUMIF($H$7:$H$78,$AE20,$F$7:$F$78)</f>
        <v>1</v>
      </c>
      <c r="AL20" s="123">
        <f>AI20-AJ20</f>
        <v>4</v>
      </c>
      <c r="AM20" s="123">
        <f>AL20-AL24</f>
        <v>8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90000009.723102808</v>
      </c>
      <c r="AQ20" s="126">
        <f>VLOOKUP(AE20,db_fifarank,2,FALSE)</f>
        <v>1761.16</v>
      </c>
      <c r="AR20" s="125">
        <f>AP20/AP24</f>
        <v>0.99999998888889019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5 - 1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2</v>
      </c>
      <c r="AL21" s="123">
        <f>AI21-AJ21</f>
        <v>2</v>
      </c>
      <c r="AM21" s="123">
        <f>AL21-AL24</f>
        <v>6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60000007.33421126</v>
      </c>
      <c r="AQ21" s="126">
        <f>VLOOKUP(AE21,db_fifarank,2,FALSE)</f>
        <v>1755.87</v>
      </c>
      <c r="AR21" s="125">
        <f>AP21/AP24</f>
        <v>0.66666666872751146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5</v>
      </c>
      <c r="AL22" s="123">
        <f>AI22-AJ22</f>
        <v>-4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0.16731252166666666</v>
      </c>
      <c r="AQ22" s="126">
        <f>VLOOKUP(AE22,db_fifarank,2,FALSE)</f>
        <v>1291.71</v>
      </c>
      <c r="AR22" s="125">
        <f>AP22/AP24</f>
        <v>1.8590277970235608E-9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1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4</v>
      </c>
      <c r="AL23" s="123">
        <f>AI23-AJ23</f>
        <v>-2</v>
      </c>
      <c r="AM23" s="123">
        <f>AL23-AL24</f>
        <v>2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30000002.55630473</v>
      </c>
      <c r="AQ23" s="126">
        <f>VLOOKUP(AE23,db_fifarank,2,FALSE)</f>
        <v>1498.35</v>
      </c>
      <c r="AR23" s="125">
        <f>AP23/AP24</f>
        <v>0.33333332202152499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1 - 5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6</v>
      </c>
      <c r="AL24" s="123">
        <f>MIN(AL20:AL23)</f>
        <v>-4</v>
      </c>
      <c r="AM24" s="123">
        <f>MAX(AM20:AM23)+1</f>
        <v>9</v>
      </c>
      <c r="AN24" s="123">
        <f>MAX(AN20:AN23)+1</f>
        <v>10</v>
      </c>
      <c r="AO24" s="123">
        <f>MAX(AO20:AO23)+1</f>
        <v>10</v>
      </c>
      <c r="AP24" s="123">
        <f>MAX(AP20:AP23)+1</f>
        <v>90000010.723102808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1</v>
      </c>
      <c r="AL26" s="123">
        <f>AI26-AJ26</f>
        <v>2</v>
      </c>
      <c r="AM26" s="123">
        <f>AL26-AL30</f>
        <v>5</v>
      </c>
      <c r="AN26" s="123">
        <f>AF26*3+AG26</f>
        <v>7</v>
      </c>
      <c r="AO26" s="123">
        <f>AN26/AN30*10+BA26</f>
        <v>9.7305825242718456</v>
      </c>
      <c r="AP26" s="123">
        <f>AO26*10000000+BI26*100+AM26/AM30*10+AI26/AI30*1++IF(AQ26=0,ROW(),AQ26)/2000000</f>
        <v>97305932.235140771</v>
      </c>
      <c r="AQ26" s="126">
        <f>VLOOKUP(AE26,db_fifarank,2,FALSE)</f>
        <v>1673.13</v>
      </c>
      <c r="AR26" s="125">
        <f>AP26/AP30</f>
        <v>0.99999998766814191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2</v>
      </c>
      <c r="AL27" s="123">
        <f>AI27-AJ27</f>
        <v>-1</v>
      </c>
      <c r="AM27" s="123">
        <f>AL27-AL30</f>
        <v>2</v>
      </c>
      <c r="AN27" s="123">
        <f>AF27*3+AG27</f>
        <v>3</v>
      </c>
      <c r="AO27" s="123">
        <f>AN27/AN30*10+BA27</f>
        <v>3.75</v>
      </c>
      <c r="AP27" s="123">
        <f>AO27*10000000+BI27*100+AM27/AM30*10+AI27/AI30*1++IF(AQ27=0,ROW(),AQ27)/2000000</f>
        <v>37500003.534085087</v>
      </c>
      <c r="AQ27" s="126">
        <f>VLOOKUP(AE27,db_fifarank,2,FALSE)</f>
        <v>1503.5</v>
      </c>
      <c r="AR27" s="125">
        <f>AP27/AP30</f>
        <v>0.38538249632120303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3 - 1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4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0.20079033500000001</v>
      </c>
      <c r="AQ28" s="126">
        <f>VLOOKUP(AE28,db_fifarank,2,FALSE)</f>
        <v>1580.67</v>
      </c>
      <c r="AR28" s="125">
        <f>AP28/AP30</f>
        <v>2.0634952865840721E-9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1 - 2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2</v>
      </c>
      <c r="AL29" s="123">
        <f>AI29-AJ29</f>
        <v>2</v>
      </c>
      <c r="AM29" s="123">
        <f>AL29-AL30</f>
        <v>5</v>
      </c>
      <c r="AN29" s="123">
        <f>AF29*3+AG29</f>
        <v>7</v>
      </c>
      <c r="AO29" s="123">
        <f>AN29/AN30*10+BA29</f>
        <v>9.7305825242718456</v>
      </c>
      <c r="AP29" s="123">
        <f>AO29*10000000+BI29*100+AM29/AM30*10+AI29/AI30*1++IF(AQ29=0,ROW(),AQ29)/2000000</f>
        <v>97305932.435103729</v>
      </c>
      <c r="AQ29" s="126">
        <f>VLOOKUP(AE29,db_fifarank,2,FALSE)</f>
        <v>1599.04</v>
      </c>
      <c r="AR29" s="125">
        <f>AP29/AP30</f>
        <v>0.99999998972313442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1 - 4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5</v>
      </c>
      <c r="AL30" s="123">
        <f>MIN(AL26:AL29)</f>
        <v>-3</v>
      </c>
      <c r="AM30" s="123">
        <f>MAX(AM26:AM29)+1</f>
        <v>6</v>
      </c>
      <c r="AN30" s="123">
        <f>MAX(AN26:AN29)+1</f>
        <v>8</v>
      </c>
      <c r="AO30" s="123">
        <f>MAX(AO26:AO29)+1</f>
        <v>10.730582524271846</v>
      </c>
      <c r="AP30" s="123">
        <f>MAX(AP26:AP29)+1</f>
        <v>97305933.435103729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4</v>
      </c>
      <c r="AJ32" s="123">
        <f>SUMIF($E$7:$E$78,$AE32,$G$7:$G$78) + SUMIF($H$7:$H$78,$AE32,$F$7:$F$78)</f>
        <v>0</v>
      </c>
      <c r="AL32" s="123">
        <f>AI32-AJ32</f>
        <v>4</v>
      </c>
      <c r="AM32" s="123">
        <f>AL32-AL36</f>
        <v>8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90000009.689754084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4 - 0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4</v>
      </c>
      <c r="AL33" s="123">
        <f>AI33-AJ33</f>
        <v>-4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7.1924991457105877E-12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2 - 1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2</v>
      </c>
      <c r="AL34" s="123">
        <f>AI34-AJ34</f>
        <v>-1</v>
      </c>
      <c r="AM34" s="123">
        <f>AL34-AL36</f>
        <v>3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30000003.534099821</v>
      </c>
      <c r="AQ34" s="126">
        <f>VLOOKUP(AE34,db_fifarank,2,FALSE)</f>
        <v>1532.98</v>
      </c>
      <c r="AR34" s="125">
        <f>AP34/AP36</f>
        <v>0.33333333300942736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1 - 2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1</v>
      </c>
      <c r="AL35" s="123">
        <f>AI35-AJ35</f>
        <v>1</v>
      </c>
      <c r="AM35" s="123">
        <f>AL35-AL36</f>
        <v>5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60000005.956352942</v>
      </c>
      <c r="AQ35" s="126">
        <f>VLOOKUP(AE35,db_fifarank,2,FALSE)</f>
        <v>1594.78</v>
      </c>
      <c r="AR35" s="125">
        <f>AP35/AP36</f>
        <v>0.66666665366500399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Senegal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0 - 4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5</v>
      </c>
      <c r="AL36" s="123">
        <f>MIN(AL32:AL35)</f>
        <v>-4</v>
      </c>
      <c r="AM36" s="123">
        <f>MAX(AM32:AM35)+1</f>
        <v>9</v>
      </c>
      <c r="AN36" s="123">
        <f>MAX(AN32:AN35)+1</f>
        <v>10</v>
      </c>
      <c r="AO36" s="123">
        <f>MAX(AO32:AO35)+1</f>
        <v>10</v>
      </c>
      <c r="AP36" s="123">
        <f>MAX(AP32:AP35)+1</f>
        <v>90000010.689754084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1</v>
      </c>
      <c r="AL38" s="123">
        <f>AI38-AJ38</f>
        <v>3</v>
      </c>
      <c r="AM38" s="123">
        <f>AL38-AL42</f>
        <v>6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90000009.372307494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Brazil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4 - 1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2</v>
      </c>
      <c r="AL39" s="123">
        <f>AI39-AJ39</f>
        <v>1</v>
      </c>
      <c r="AM39" s="123">
        <f>AL39-AL42</f>
        <v>4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60000006.315115936</v>
      </c>
      <c r="AQ39" s="126">
        <f>VLOOKUP(AE39,db_fifarank,2,FALSE)</f>
        <v>1660.43</v>
      </c>
      <c r="AR39" s="125">
        <f>AP39/AP42</f>
        <v>0.66666666000271491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3 - 2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2</v>
      </c>
      <c r="AL40" s="123">
        <f>AI40-AJ40</f>
        <v>-1</v>
      </c>
      <c r="AM40" s="123">
        <f>AL40-AL42</f>
        <v>2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30000003.057900243</v>
      </c>
      <c r="AQ40" s="126">
        <f>VLOOKUP(AE40,db_fifarank,2,FALSE)</f>
        <v>1514.77</v>
      </c>
      <c r="AR40" s="125">
        <f>AP40/AP42</f>
        <v>0.33333332889404954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1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1 - 2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3</v>
      </c>
      <c r="AL41" s="123">
        <f>AI41-AJ41</f>
        <v>-3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8.2391657171204401E-12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0 - 3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5</v>
      </c>
      <c r="AL42" s="123">
        <f>MIN(AL38:AL41)</f>
        <v>-3</v>
      </c>
      <c r="AM42" s="123">
        <f>MAX(AM38:AM41)+1</f>
        <v>7</v>
      </c>
      <c r="AN42" s="123">
        <f>MAX(AN38:AN41)+1</f>
        <v>10</v>
      </c>
      <c r="AO42" s="123">
        <f>MAX(AO38:AO41)+1</f>
        <v>10</v>
      </c>
      <c r="AP42" s="123">
        <f>MAX(AP38:AP41)+1</f>
        <v>90000010.372307494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1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1</v>
      </c>
      <c r="AL44" s="123">
        <f>AI44-AJ44</f>
        <v>3</v>
      </c>
      <c r="AM44" s="123">
        <f>AL44-AL48</f>
        <v>6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90000009.372295916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4 - 1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1</v>
      </c>
      <c r="AL45" s="123">
        <f>AI45-AJ45</f>
        <v>1</v>
      </c>
      <c r="AM45" s="123">
        <f>AL45-AL48</f>
        <v>4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60000006.115067333</v>
      </c>
      <c r="AQ45" s="126">
        <f>VLOOKUP(AE45,db_fifarank,2,FALSE)</f>
        <v>1563.24</v>
      </c>
      <c r="AR45" s="125">
        <f>AP45/AP48</f>
        <v>0.66666665778003864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2 - 1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2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30000003.45795051</v>
      </c>
      <c r="AQ46" s="126">
        <f>VLOOKUP(AE46,db_fifarank,2,FALSE)</f>
        <v>1615.3</v>
      </c>
      <c r="AR46" s="125">
        <f>AP46/AP48</f>
        <v>0.33333333333909487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4</v>
      </c>
      <c r="AL47" s="123">
        <f>AI47-AJ47</f>
        <v>-3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0.20064078500000002</v>
      </c>
      <c r="AQ47" s="126">
        <f>VLOOKUP(AE47,db_fifarank,2,FALSE)</f>
        <v>1281.57</v>
      </c>
      <c r="AR47" s="125">
        <f>AP47/AP48</f>
        <v>2.2293417986289686E-9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1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1 - 4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5</v>
      </c>
      <c r="AL48" s="123">
        <f>MIN(AL44:AL47)</f>
        <v>-3</v>
      </c>
      <c r="AM48" s="123">
        <f>MAX(AM44:AM47)+1</f>
        <v>7</v>
      </c>
      <c r="AN48" s="123">
        <f>MAX(AN44:AN47)+1</f>
        <v>10</v>
      </c>
      <c r="AO48" s="123">
        <f>MAX(AO44:AO47)+1</f>
        <v>10</v>
      </c>
      <c r="AP48" s="123">
        <f>MAX(AP44:AP47)+1</f>
        <v>90000010.372295916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Argentina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0</v>
      </c>
      <c r="AL50" s="123">
        <f>AI50-AJ50</f>
        <v>6</v>
      </c>
      <c r="AM50" s="123">
        <f>AL50-AL54</f>
        <v>10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90000009.948990151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5</v>
      </c>
      <c r="AL51" s="123">
        <f>AI51-AJ51</f>
        <v>-4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19805923.444511082</v>
      </c>
      <c r="AQ51" s="126">
        <f>VLOOKUP(AE51,db_fifarank,2,FALSE)</f>
        <v>1366.13</v>
      </c>
      <c r="AR51" s="125">
        <f>AP51/AP54</f>
        <v>0.22006578927792136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3 - 2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1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19805924.496486787</v>
      </c>
      <c r="AQ52" s="126">
        <f>VLOOKUP(AE52,db_fifarank,2,FALSE)</f>
        <v>1421.43</v>
      </c>
      <c r="AR52" s="125">
        <f>AP52/AP54</f>
        <v>0.22006580096653888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1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2</v>
      </c>
      <c r="AL53" s="123">
        <f>AI53-AJ53</f>
        <v>1</v>
      </c>
      <c r="AM53" s="123">
        <f>AL53-AL54</f>
        <v>5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60000004.974862508</v>
      </c>
      <c r="AQ53" s="126">
        <f>VLOOKUP(AE53,db_fifarank,2,FALSE)</f>
        <v>1673.07</v>
      </c>
      <c r="AR53" s="125">
        <f>AP53/AP54</f>
        <v>0.66666664083928917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1 - 5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7</v>
      </c>
      <c r="AL54" s="123">
        <f>MIN(AL50:AL53)</f>
        <v>-4</v>
      </c>
      <c r="AM54" s="123">
        <f>MAX(AM50:AM53)+1</f>
        <v>11</v>
      </c>
      <c r="AN54" s="123">
        <f>MAX(AN50:AN53)+1</f>
        <v>10</v>
      </c>
      <c r="AO54" s="123">
        <f>MAX(AO50:AO53)+1</f>
        <v>10</v>
      </c>
      <c r="AP54" s="123">
        <f>MAX(AP50:AP53)+1</f>
        <v>90000010.948990151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1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3</v>
      </c>
      <c r="AJ56" s="123">
        <f>SUMIF($E$7:$E$78,$AE56,$G$7:$G$78) + SUMIF($H$7:$H$78,$AE56,$F$7:$F$78)</f>
        <v>0</v>
      </c>
      <c r="AL56" s="123">
        <f>AI56-AJ56</f>
        <v>3</v>
      </c>
      <c r="AM56" s="123">
        <f>AL56-AL60</f>
        <v>6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90000009.172367215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3 - 0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3</v>
      </c>
      <c r="AL57" s="123">
        <f>AI57-AJ57</f>
        <v>-1</v>
      </c>
      <c r="AM57" s="123">
        <f>AL57-AL60</f>
        <v>2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30000003.25798735</v>
      </c>
      <c r="AQ57" s="126">
        <f>VLOOKUP(AE57,db_fifarank,2,FALSE)</f>
        <v>1688.99</v>
      </c>
      <c r="AR57" s="125">
        <f>AP57/AP60</f>
        <v>0.33333333185775882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4</v>
      </c>
      <c r="AL58" s="123">
        <f>AI58-AJ58</f>
        <v>-3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0.20072357000000002</v>
      </c>
      <c r="AQ58" s="126">
        <f>VLOOKUP(AE58,db_fifarank,2,FALSE)</f>
        <v>1447.14</v>
      </c>
      <c r="AR58" s="125">
        <f>AP58/AP60</f>
        <v>2.2302616368106628E-9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2 - 3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4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60000006.515061185</v>
      </c>
      <c r="AQ59" s="126">
        <f>VLOOKUP(AE59,db_fifarank,2,FALSE)</f>
        <v>1550.94</v>
      </c>
      <c r="AR59" s="125">
        <f>AP59/AP60</f>
        <v>0.66666666370536742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1 - 4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5</v>
      </c>
      <c r="AL60" s="123">
        <f>MIN(AL56:AL59)</f>
        <v>-3</v>
      </c>
      <c r="AM60" s="123">
        <f>MAX(AM56:AM59)+1</f>
        <v>7</v>
      </c>
      <c r="AN60" s="123">
        <f>MAX(AN56:AN59)+1</f>
        <v>10</v>
      </c>
      <c r="AO60" s="123">
        <f>MAX(AO56:AO59)+1</f>
        <v>10</v>
      </c>
      <c r="AP60" s="123">
        <f>MAX(AP56:AP59)+1</f>
        <v>90000010.172367215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4</v>
      </c>
      <c r="AJ62" s="123">
        <f>SUMIF($E$7:$E$78,$AE62,$G$7:$G$78) + SUMIF($H$7:$H$78,$AE62,$F$7:$F$78)</f>
        <v>0</v>
      </c>
      <c r="AL62" s="123">
        <f>AI62-AJ62</f>
        <v>4</v>
      </c>
      <c r="AM62" s="123">
        <f>AL62-AL66</f>
        <v>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90000009.68982631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4 - 0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3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30000003.734115459</v>
      </c>
      <c r="AQ63" s="126">
        <f>VLOOKUP(AE63,db_fifarank,2,FALSE)</f>
        <v>1564.26</v>
      </c>
      <c r="AR63" s="125">
        <f>AP63/AP66</f>
        <v>0.33333333523155556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3 - 2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2</v>
      </c>
      <c r="AL64" s="123">
        <f>AI64-AJ64</f>
        <v>1</v>
      </c>
      <c r="AM64" s="123">
        <f>AL64-AL66</f>
        <v>5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60000006.156352282</v>
      </c>
      <c r="AQ64" s="126">
        <f>VLOOKUP(AE64,db_fifarank,2,FALSE)</f>
        <v>1593.45</v>
      </c>
      <c r="AR64" s="125">
        <f>AP64/AP66</f>
        <v>0.66666665588668361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2 - 3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7.73027685960759E-12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0 - 4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5</v>
      </c>
      <c r="AL66" s="123">
        <f>MIN(AL62:AL65)</f>
        <v>-4</v>
      </c>
      <c r="AM66" s="123">
        <f>MAX(AM62:AM65)+1</f>
        <v>9</v>
      </c>
      <c r="AN66" s="123">
        <f>MAX(AN62:AN65)+1</f>
        <v>10</v>
      </c>
      <c r="AO66" s="123">
        <f>MAX(AO62:AO65)+1</f>
        <v>10</v>
      </c>
      <c r="AP66" s="123">
        <f>MAX(AP62:AP65)+1</f>
        <v>90000010.68982631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4</v>
      </c>
      <c r="AJ68" s="123">
        <f>SUMIF($E$7:$E$78,$AE68,$G$7:$G$78) + SUMIF($H$7:$H$78,$AE68,$F$7:$F$78)</f>
        <v>1</v>
      </c>
      <c r="AL68" s="123">
        <f>AI68-AJ68</f>
        <v>3</v>
      </c>
      <c r="AM68" s="123">
        <f>AL68-AL72</f>
        <v>6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90000009.372310475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4 - 1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3</v>
      </c>
      <c r="AL69" s="123">
        <f>AI69-AJ69</f>
        <v>-1</v>
      </c>
      <c r="AM69" s="123">
        <f>AL69-AL72</f>
        <v>2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30000003.257882033</v>
      </c>
      <c r="AQ69" s="126">
        <f>VLOOKUP(AE69,db_fifarank,2,FALSE)</f>
        <v>1478.35</v>
      </c>
      <c r="AR69" s="125">
        <f>AP69/AP72</f>
        <v>0.33333333111605812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2 - 1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3</v>
      </c>
      <c r="AL70" s="123">
        <f>AI70-AJ70</f>
        <v>-3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8.1407768395703896E-12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2 - 3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2</v>
      </c>
      <c r="AJ71" s="123">
        <f>SUMIF($E$7:$E$78,$AE71,$G$7:$G$78) + SUMIF($H$7:$H$78,$AE71,$F$7:$F$78)</f>
        <v>1</v>
      </c>
      <c r="AL71" s="123">
        <f>AI71-AJ71</f>
        <v>1</v>
      </c>
      <c r="AM71" s="123">
        <f>AL71-AL72</f>
        <v>4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60000006.115132257</v>
      </c>
      <c r="AQ71" s="126">
        <f>VLOOKUP(AE71,db_fifarank,2,FALSE)</f>
        <v>1693.09</v>
      </c>
      <c r="AR71" s="125">
        <f>AP71/AP72</f>
        <v>0.66666665778065226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0 - 3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5</v>
      </c>
      <c r="AL72" s="123">
        <f>MIN(AL68:AL71)</f>
        <v>-3</v>
      </c>
      <c r="AM72" s="123">
        <f>MAX(AM68:AM71)+1</f>
        <v>7</v>
      </c>
      <c r="AN72" s="123">
        <f>MAX(AN68:AN71)+1</f>
        <v>10</v>
      </c>
      <c r="AO72" s="123">
        <f>MAX(AO68:AO71)+1</f>
        <v>10</v>
      </c>
      <c r="AP72" s="123">
        <f>MAX(AP68:AP71)+1</f>
        <v>90000010.372310475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1</v>
      </c>
      <c r="AL74" s="123">
        <f>AI74-AJ74</f>
        <v>3</v>
      </c>
      <c r="AM74" s="123">
        <f>AL74-AL78</f>
        <v>6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90000009.372341543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4 - 1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2</v>
      </c>
      <c r="AL75" s="123">
        <f>AI75-AJ75</f>
        <v>1</v>
      </c>
      <c r="AM75" s="123">
        <f>AL75-AL78</f>
        <v>4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60000006.315144256</v>
      </c>
      <c r="AQ75" s="126">
        <f>VLOOKUP(AE75,db_fifarank,2,FALSE)</f>
        <v>1717.07</v>
      </c>
      <c r="AR75" s="125">
        <f>AP75/AP78</f>
        <v>0.66666666000277741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3 - 2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3</v>
      </c>
      <c r="AL76" s="123">
        <f>AI76-AJ76</f>
        <v>-1</v>
      </c>
      <c r="AM76" s="123">
        <f>AL76-AL78</f>
        <v>2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30000003.257816013</v>
      </c>
      <c r="AQ76" s="126">
        <f>VLOOKUP(AE76,db_fifarank,2,FALSE)</f>
        <v>1346.31</v>
      </c>
      <c r="AR76" s="125">
        <f>AP76/AP78</f>
        <v>0.33333333111520952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2 - 3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4</v>
      </c>
      <c r="AL77" s="123">
        <f>AI77-AJ77</f>
        <v>-3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0.20077032</v>
      </c>
      <c r="AQ77" s="126">
        <f>VLOOKUP(AE77,db_fifarank,2,FALSE)</f>
        <v>1540.64</v>
      </c>
      <c r="AR77" s="125">
        <f>AP77/AP78</f>
        <v>2.2307810762397419E-9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1 - 4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5</v>
      </c>
      <c r="AL78" s="123">
        <f>MIN(AL74:AL77)</f>
        <v>-3</v>
      </c>
      <c r="AM78" s="123">
        <f>MAX(AM74:AM77)+1</f>
        <v>7</v>
      </c>
      <c r="AN78" s="123">
        <f>MAX(AN74:AN77)+1</f>
        <v>10</v>
      </c>
      <c r="AO78" s="123">
        <f>MAX(AO74:AO77)+1</f>
        <v>10</v>
      </c>
      <c r="AP78" s="123">
        <f>MAX(AP74:AP77)+1</f>
        <v>90000010.372341543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2</v>
      </c>
      <c r="AK80" s="123" t="s">
        <v>3180</v>
      </c>
      <c r="AL80" s="123">
        <f>VLOOKUP($AE80,$AE$8:$AQ$78,8,FALSE)</f>
        <v>0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8800.0007506900001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Czech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2 - 2</v>
      </c>
      <c r="P81" s="98">
        <f>L81*3+M81</f>
        <v>4</v>
      </c>
      <c r="AD81" s="123">
        <f t="shared" ref="AD81:AD91" si="38">COUNTIF($AP$80:$AP$91,CONCATENATE("&gt;=",AP81))</f>
        <v>10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6525.0006929199999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Ⓖ Iran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3 - 4</v>
      </c>
      <c r="P82" s="101">
        <f t="shared" ref="P82:P92" si="48">L82*3+M82</f>
        <v>3</v>
      </c>
      <c r="AD82" s="123">
        <f t="shared" si="38"/>
        <v>11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4</v>
      </c>
      <c r="AK82" s="123" t="s">
        <v>3182</v>
      </c>
      <c r="AL82" s="123">
        <f t="shared" si="43"/>
        <v>-2</v>
      </c>
      <c r="AM82" s="123">
        <f t="shared" si="44"/>
        <v>1</v>
      </c>
      <c r="AN82" s="123">
        <f t="shared" si="45"/>
        <v>3</v>
      </c>
      <c r="AP82" s="123">
        <f>AN82/AN92*10000+AM82/AM92*1000+AI82/AI92*100+IF(AQ82=0,ROW(),AQ82)/2000000</f>
        <v>6300.0007491750002</v>
      </c>
      <c r="AQ82" s="126">
        <f t="shared" si="37"/>
        <v>1498.35</v>
      </c>
      <c r="AR82" s="125" t="str">
        <f t="shared" ref="AR82:AR91" si="50">AR81&amp;IF(AD82&lt;=8,RIGHT(AK82,1),"")</f>
        <v>A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Ⓘ Senegal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2 - 3</v>
      </c>
      <c r="P83" s="101">
        <f t="shared" si="48"/>
        <v>3</v>
      </c>
      <c r="AD83" s="123">
        <f t="shared" si="38"/>
        <v>9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1</v>
      </c>
      <c r="AJ83" s="123">
        <f t="shared" si="42"/>
        <v>2</v>
      </c>
      <c r="AK83" s="123" t="s">
        <v>3184</v>
      </c>
      <c r="AL83" s="123">
        <f t="shared" si="43"/>
        <v>-1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6525.0007517499998</v>
      </c>
      <c r="AQ83" s="126">
        <f t="shared" si="37"/>
        <v>1503.5</v>
      </c>
      <c r="AR83" s="125" t="str">
        <f t="shared" si="50"/>
        <v>A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Ⓙ Algeria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2 - 3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2</v>
      </c>
      <c r="AK84" s="123" t="s">
        <v>3185</v>
      </c>
      <c r="AL84" s="123">
        <f t="shared" si="43"/>
        <v>-1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6525.0007664900004</v>
      </c>
      <c r="AQ84" s="126">
        <f t="shared" si="37"/>
        <v>1532.98</v>
      </c>
      <c r="AR84" s="125" t="str">
        <f t="shared" si="50"/>
        <v>AE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Ⓚ DR Congo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1</v>
      </c>
      <c r="AJ85" s="123">
        <f t="shared" si="42"/>
        <v>2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6525.0007573849998</v>
      </c>
      <c r="AQ85" s="126">
        <f t="shared" si="37"/>
        <v>1514.77</v>
      </c>
      <c r="AR85" s="125" t="str">
        <f t="shared" si="50"/>
        <v>AEF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Ⓛ Ghana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2 - 3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2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6575.0008076499998</v>
      </c>
      <c r="AQ86" s="126">
        <f t="shared" si="37"/>
        <v>1615.3</v>
      </c>
      <c r="AR86" s="125" t="str">
        <f t="shared" si="50"/>
        <v>AEFG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1 - 2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2050.000710715</v>
      </c>
      <c r="AQ87" s="126">
        <f t="shared" si="37"/>
        <v>1421.43</v>
      </c>
      <c r="AR87" s="125" t="str">
        <f t="shared" si="50"/>
        <v>AEFG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1 - 2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3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3</v>
      </c>
      <c r="AK88" s="123" t="s">
        <v>3189</v>
      </c>
      <c r="AL88" s="123">
        <f t="shared" si="43"/>
        <v>-1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6550.0008444949999</v>
      </c>
      <c r="AQ88" s="126">
        <f t="shared" si="37"/>
        <v>1688.99</v>
      </c>
      <c r="AR88" s="125" t="str">
        <f t="shared" si="50"/>
        <v>AEFGI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Paraguay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1 - 2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4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2</v>
      </c>
      <c r="AN89" s="123">
        <f t="shared" si="45"/>
        <v>3</v>
      </c>
      <c r="AP89" s="123">
        <f>AN89/AN92*10000+AM89/AM92*1000+AI89/AI92*100+IF(AQ89=0,ROW(),AQ89)/2000000</f>
        <v>6550.0007821299996</v>
      </c>
      <c r="AQ89" s="126">
        <f t="shared" si="37"/>
        <v>1564.26</v>
      </c>
      <c r="AR89" s="125" t="str">
        <f t="shared" si="50"/>
        <v>AEFGIJ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Ⓑ Bosnia and Herzegovina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1 - 2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5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3</v>
      </c>
      <c r="AK90" s="123" t="s">
        <v>3191</v>
      </c>
      <c r="AL90" s="123">
        <f t="shared" si="43"/>
        <v>-1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6550.0007391749996</v>
      </c>
      <c r="AQ90" s="126">
        <f t="shared" si="37"/>
        <v>1478.35</v>
      </c>
      <c r="AR90" s="125" t="str">
        <f t="shared" si="50"/>
        <v>AEFGIJK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Ⓒ Scotland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6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3</v>
      </c>
      <c r="AK91" s="123" t="s">
        <v>3192</v>
      </c>
      <c r="AL91" s="123">
        <f>VLOOKUP($AE91,$AE$8:$AQ$78,8,FALSE)</f>
        <v>-1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6550.0006731550002</v>
      </c>
      <c r="AQ91" s="126">
        <f t="shared" si="37"/>
        <v>1346.31</v>
      </c>
      <c r="AR91" s="125" t="str">
        <f t="shared" si="50"/>
        <v>AEFGIJKL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4</v>
      </c>
      <c r="AJ92" s="123">
        <f>MAX(AJ80:AJ91)+1</f>
        <v>6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24" workbookViewId="0">
      <selection activeCell="D6" sqref="D6"/>
    </sheetView>
  </sheetViews>
  <sheetFormatPr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169</v>
      </c>
      <c r="C3" s="121" t="str">
        <f>'2026 World Cup'!AR91</f>
        <v>AEFGIJKL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3I</v>
      </c>
      <c r="G3" s="121" t="str">
        <f>VLOOKUP($C3,$C$6:$K$500,5,FALSE)</f>
        <v>3F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Jonas Willibald Schmid</cp:lastModifiedBy>
  <cp:revision/>
  <dcterms:created xsi:type="dcterms:W3CDTF">2017-12-27T19:32:51Z</dcterms:created>
  <dcterms:modified xsi:type="dcterms:W3CDTF">2026-06-10T14:12:53Z</dcterms:modified>
  <cp:category>Sports</cp:category>
  <cp:contentStatus/>
</cp:coreProperties>
</file>
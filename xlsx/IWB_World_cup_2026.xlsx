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idawbj_uio_no/Documents/Skrivebord/"/>
    </mc:Choice>
  </mc:AlternateContent>
  <xr:revisionPtr revIDLastSave="258" documentId="8_{9655EF37-147B-4FDC-92E6-A0C99B615E20}" xr6:coauthVersionLast="47" xr6:coauthVersionMax="47" xr10:uidLastSave="{2E3C2B93-1F0A-4294-8DDC-09AABBEEB948}"/>
  <bookViews>
    <workbookView xWindow="-110" yWindow="-110" windowWidth="19420" windowHeight="115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S30" i="3"/>
  <c r="T30" i="3" s="1"/>
  <c r="S78" i="3"/>
  <c r="S26" i="3"/>
  <c r="T26" i="3" s="1"/>
  <c r="S75" i="3"/>
  <c r="S25" i="3"/>
  <c r="T25" i="3" s="1"/>
  <c r="S49" i="3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S16" i="3"/>
  <c r="S39" i="3"/>
  <c r="S66" i="3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74" i="3"/>
  <c r="T51" i="3"/>
  <c r="S54" i="3"/>
  <c r="S77" i="3"/>
  <c r="T78" i="3"/>
  <c r="S50" i="3"/>
  <c r="S76" i="3"/>
  <c r="T75" i="3"/>
  <c r="T49" i="3"/>
  <c r="S47" i="3"/>
  <c r="S67" i="3"/>
  <c r="S72" i="3"/>
  <c r="S70" i="3"/>
  <c r="S42" i="3"/>
  <c r="S64" i="3"/>
  <c r="S40" i="3"/>
  <c r="S62" i="3"/>
  <c r="T61" i="3"/>
  <c r="T16" i="3"/>
  <c r="T39" i="3"/>
  <c r="S38" i="3"/>
  <c r="S65" i="3"/>
  <c r="T66" i="3"/>
  <c r="S55" i="3"/>
  <c r="T56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9" i="3"/>
  <c r="BH58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O69" i="3" l="1"/>
  <c r="N39" i="3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S91" i="3" l="1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6" i="3"/>
  <c r="T86" i="3" s="1" a="1"/>
  <c r="T86" i="3" s="1"/>
  <c r="BS28" i="3"/>
  <c r="S87" i="3"/>
  <c r="T87" i="3" s="1" a="1"/>
  <c r="T87" i="3" s="1"/>
  <c r="BS29" i="3"/>
  <c r="S88" i="3"/>
  <c r="T88" i="3" s="1" a="1"/>
  <c r="T88" i="3" s="1"/>
  <c r="BS20" i="3"/>
  <c r="AF91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CN48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K68" i="3" s="1"/>
  <c r="S111" i="3"/>
  <c r="T111" i="3" s="1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Z49" i="3" s="1"/>
  <c r="CG55" i="3" s="1"/>
  <c r="CN49" i="3" s="1"/>
  <c r="BS69" i="3"/>
  <c r="BZ65" i="3" s="1"/>
  <c r="CG56" i="3" s="1"/>
  <c r="CN38" i="3" s="1"/>
  <c r="BL71" i="3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<sst xmlns="http://schemas.openxmlformats.org/spreadsheetml/2006/main" count="9786" uniqueCount="3698">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</sst>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M62" zoomScaleNormal="100" workbookViewId="0">
      <selection activeCell="CN52" sqref="CN52"/>
    </sheetView>
  </sheetViews>
  <sheetFormatPr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1</v>
      </c>
      <c r="AL8" s="123">
        <f>AI8-AJ8</f>
        <v>3</v>
      </c>
      <c r="AM8" s="123">
        <f>AL8-AL12</f>
        <v>6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90000009.372269079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4 - 1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3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7.9429435290405827E-12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3 - 2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1</v>
      </c>
      <c r="V10" s="123">
        <f t="shared" si="3"/>
        <v>1</v>
      </c>
      <c r="W10" s="123">
        <f t="shared" si="4"/>
        <v>0</v>
      </c>
      <c r="X10" s="123">
        <f t="shared" si="9"/>
        <v>1</v>
      </c>
      <c r="Y10" s="123">
        <f t="shared" si="10"/>
        <v>1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4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60000006.315080047</v>
      </c>
      <c r="AQ10" s="126">
        <f>VLOOKUP(AE10,db_fifarank,2,FALSE)</f>
        <v>1588.66</v>
      </c>
      <c r="AR10" s="125">
        <f>AP10/AP12</f>
        <v>0.66666666000260066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1 - 2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2</v>
      </c>
      <c r="AL11" s="123">
        <f>AI11-AJ11</f>
        <v>-1</v>
      </c>
      <c r="AM11" s="123">
        <f>AL11-AL12</f>
        <v>2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30000003.057893548</v>
      </c>
      <c r="AQ11" s="126">
        <f>VLOOKUP(AE11,db_fifarank,2,FALSE)</f>
        <v>1501.38</v>
      </c>
      <c r="AR11" s="125">
        <f>AP11/AP12</f>
        <v>0.33333332889411743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0 - 3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5</v>
      </c>
      <c r="AL12" s="123">
        <f>MIN(AL8:AL11)</f>
        <v>-3</v>
      </c>
      <c r="AM12" s="123">
        <f>MAX(AM8:AM11)+1</f>
        <v>7</v>
      </c>
      <c r="AN12" s="123">
        <f>MAX(AN8:AN11)+1</f>
        <v>10</v>
      </c>
      <c r="AO12" s="123">
        <f>MAX(AO8:AO11)+1</f>
        <v>10</v>
      </c>
      <c r="AP12" s="123">
        <f>MAX(AP8:AP11)+1</f>
        <v>90000010.372269079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6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60000005.429349668</v>
      </c>
      <c r="AQ14" s="126">
        <f>VLOOKUP(AE14,db_fifarank,2,FALSE)</f>
        <v>1556.48</v>
      </c>
      <c r="AR14" s="125">
        <f>AP14/AP18</f>
        <v>0.66666664532881947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6 - 0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3</v>
      </c>
      <c r="AL15" s="123">
        <f>AI15-AJ15</f>
        <v>-2</v>
      </c>
      <c r="AM15" s="123">
        <f>AL15-AL18</f>
        <v>3</v>
      </c>
      <c r="AN15" s="123">
        <f>AF15*3+AG15</f>
        <v>3</v>
      </c>
      <c r="AO15" s="123">
        <f>AN15/AN18*10+BA15</f>
        <v>3</v>
      </c>
      <c r="AP15" s="123">
        <f>AO15*10000000+BI15*100+AM15/AM18*10+AI15/AI18*1++IF(AQ15=0,ROW(),AQ15)/2000000</f>
        <v>30000002.643550061</v>
      </c>
      <c r="AQ15" s="126">
        <f>VLOOKUP(AE15,db_fifarank,2,FALSE)</f>
        <v>1385.84</v>
      </c>
      <c r="AR15" s="125">
        <f>AP15/AP18</f>
        <v>0.33333332187413456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Tunisia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3 - 2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8.0831101209629716E-12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0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1 - 3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Netherlands_lose</v>
      </c>
      <c r="T17" s="127" t="str">
        <f t="shared" si="2"/>
        <v>Japan_win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-1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0</v>
      </c>
      <c r="AL17" s="123">
        <f>AI17-AJ17</f>
        <v>6</v>
      </c>
      <c r="AM17" s="123">
        <f>AL17-AL18</f>
        <v>11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90000010.024634227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0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7</v>
      </c>
      <c r="AL18" s="123">
        <f>MIN(AL14:AL17)</f>
        <v>-5</v>
      </c>
      <c r="AM18" s="123">
        <f>MAX(AM14:AM17)+1</f>
        <v>12</v>
      </c>
      <c r="AN18" s="123">
        <f>MAX(AN14:AN17)+1</f>
        <v>10</v>
      </c>
      <c r="AO18" s="123">
        <f>MAX(AO14:AO17)+1</f>
        <v>10</v>
      </c>
      <c r="AP18" s="123">
        <f>MAX(AP14:AP17)+1</f>
        <v>90000011.024634227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5</v>
      </c>
      <c r="AJ20" s="123">
        <f>SUMIF($E$7:$E$78,$AE20,$G$7:$G$78) + SUMIF($H$7:$H$78,$AE20,$F$7:$F$78)</f>
        <v>1</v>
      </c>
      <c r="AL20" s="123">
        <f>AI20-AJ20</f>
        <v>4</v>
      </c>
      <c r="AM20" s="123">
        <f>AL20-AL24</f>
        <v>11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97305933.301851466</v>
      </c>
      <c r="AQ20" s="126">
        <f>VLOOKUP(AE20,db_fifarank,2,FALSE)</f>
        <v>1761.16</v>
      </c>
      <c r="AR20" s="125">
        <f>AP20/AP24</f>
        <v>0.99999998972313453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5 - 1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1</v>
      </c>
      <c r="AL21" s="123">
        <f>AI21-AJ21</f>
        <v>3</v>
      </c>
      <c r="AM21" s="123">
        <f>AL21-AL24</f>
        <v>10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97305932.301848814</v>
      </c>
      <c r="AQ21" s="126">
        <f>VLOOKUP(AE21,db_fifarank,2,FALSE)</f>
        <v>1755.87</v>
      </c>
      <c r="AR21" s="125">
        <f>AP21/AP24</f>
        <v>0.99999997944624175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1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4 - 1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7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6.6373649729984773E-12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Japan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2 - 2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2</v>
      </c>
      <c r="AL23" s="123">
        <f>AI23-AJ23</f>
        <v>0</v>
      </c>
      <c r="AM23" s="123">
        <f>AL23-AL24</f>
        <v>7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37500006.16741585</v>
      </c>
      <c r="AQ23" s="126">
        <f>VLOOKUP(AE23,db_fifarank,2,FALSE)</f>
        <v>1498.35</v>
      </c>
      <c r="AR23" s="125">
        <f>AP23/AP24</f>
        <v>0.3853825199508138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>
        <v>0</v>
      </c>
      <c r="CJ23" s="25">
        <v>5</v>
      </c>
      <c r="CK23" s="112">
        <f>IF(OR(CH23="",CH24="",AND(CI23="",CI24&lt;&gt;""),AND(CI24="",CI23&lt;&gt;""),AND(CJ23="",CJ24&lt;&gt;""),AND(CJ24="",CJ23&lt;&gt;"")),"",CH23*1000+CI23*10+CJ23)</f>
        <v>5</v>
      </c>
    </row>
    <row r="24" spans="1:95" x14ac:dyDescent="0.3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0 - 7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6</v>
      </c>
      <c r="AL24" s="123">
        <f>MIN(AL20:AL23)</f>
        <v>-7</v>
      </c>
      <c r="AM24" s="123">
        <f>MAX(AM20:AM23)+1</f>
        <v>12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97305934.301851466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0</v>
      </c>
      <c r="CI24" s="64">
        <v>0</v>
      </c>
      <c r="CJ24" s="27">
        <v>4</v>
      </c>
      <c r="CK24" s="113">
        <f>IF(CK23="","",CH24*1000+CI24*10+CJ24)</f>
        <v>4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2</v>
      </c>
      <c r="AJ26" s="123">
        <f>SUMIF($E$7:$E$78,$AE26,$G$7:$G$78) + SUMIF($H$7:$H$78,$AE26,$F$7:$F$78)</f>
        <v>1</v>
      </c>
      <c r="AL26" s="123">
        <f>AI26-AJ26</f>
        <v>1</v>
      </c>
      <c r="AM26" s="123">
        <f>AL26-AL30</f>
        <v>4</v>
      </c>
      <c r="AN26" s="123">
        <f>AF26*3+AG26</f>
        <v>6</v>
      </c>
      <c r="AO26" s="123">
        <f>AN26/AN30*10+BA26</f>
        <v>9.5694345534824095</v>
      </c>
      <c r="AP26" s="123">
        <f>AO26*10000000+BI26*100+AM26/AM30*10+AI26/AI30*1++IF(AQ26=0,ROW(),AQ26)/2000000</f>
        <v>95694454.00292553</v>
      </c>
      <c r="AQ26" s="126">
        <f>VLOOKUP(AE26,db_fifarank,2,FALSE)</f>
        <v>1673.13</v>
      </c>
      <c r="AR26" s="125">
        <f>AP26/AP30</f>
        <v>0.99999998955007374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1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500.5</v>
      </c>
      <c r="BA26" s="126">
        <f>AZ26/AZ30</f>
        <v>0.9980059820538385</v>
      </c>
      <c r="BB26" s="126" cm="1">
        <f t="array" ref="BB26">SUMPRODUCT(($S$7:$S$78=AE26&amp;"_win")*($X$7:$X$78))+SUMPRODUCT(($T$7:$T$78=AE26&amp;"_win")*($X$7:$X$78))</f>
        <v>1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500.5</v>
      </c>
      <c r="BI26" s="126">
        <f>BH26/BH30</f>
        <v>0.9980059820538385</v>
      </c>
      <c r="BK26" s="141">
        <v>83</v>
      </c>
      <c r="BL26" s="24" t="str">
        <f>AS69</f>
        <v>Portugal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0</v>
      </c>
      <c r="N27" s="31">
        <f>VLOOKUP(1,AD26:AN29,5,FALSE)</f>
        <v>1</v>
      </c>
      <c r="O27" s="31" t="str">
        <f>VLOOKUP(1,AD26:AN29,6,FALSE) &amp; " - " &amp; VLOOKUP(1,AD26:AN29,7,FALSE)</f>
        <v>2 - 1</v>
      </c>
      <c r="P27" s="32">
        <f>L27*3+M27</f>
        <v>6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1</v>
      </c>
      <c r="W27" s="123">
        <f t="shared" si="4"/>
        <v>1</v>
      </c>
      <c r="X27" s="123">
        <f t="shared" si="9"/>
        <v>1</v>
      </c>
      <c r="Y27" s="123">
        <f t="shared" si="10"/>
        <v>1</v>
      </c>
      <c r="Z27" s="123">
        <f t="shared" si="11"/>
        <v>1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1</v>
      </c>
      <c r="AL27" s="123">
        <f>AI27-AJ27</f>
        <v>1</v>
      </c>
      <c r="AM27" s="123">
        <f>AL27-AL30</f>
        <v>4</v>
      </c>
      <c r="AN27" s="123">
        <f>AF27*3+AG27</f>
        <v>6</v>
      </c>
      <c r="AO27" s="123">
        <f>AN27/AN30*10+BA27</f>
        <v>9.5694345534824095</v>
      </c>
      <c r="AP27" s="123">
        <f>AO27*10000000+BI27*100+AM27/AM30*10+AI27/AI30*1++IF(AQ27=0,ROW(),AQ27)/2000000</f>
        <v>95694454.002840713</v>
      </c>
      <c r="AQ27" s="126">
        <f>VLOOKUP(AE27,db_fifarank,2,FALSE)</f>
        <v>1503.5</v>
      </c>
      <c r="AR27" s="125">
        <f>AP27/AP30</f>
        <v>0.99999998954918734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1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500.5</v>
      </c>
      <c r="BA27" s="126">
        <f>AZ27/AZ30</f>
        <v>0.9980059820538385</v>
      </c>
      <c r="BB27" s="126" cm="1">
        <f t="array" ref="BB27">SUMPRODUCT(($S$7:$S$78=AE27&amp;"_win")*($X$7:$X$78))+SUMPRODUCT(($T$7:$T$78=AE27&amp;"_win")*($X$7:$X$78))</f>
        <v>1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500.5</v>
      </c>
      <c r="BI27" s="126">
        <f>BH27/BH30</f>
        <v>0.9980059820538385</v>
      </c>
      <c r="BK27" s="142"/>
      <c r="BL27" s="26" t="str">
        <f>AS75</f>
        <v>England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2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2 - 1</v>
      </c>
      <c r="P28" s="34">
        <f>L28*3+M28</f>
        <v>6</v>
      </c>
      <c r="R28" s="123">
        <f>DATE(2026,6,17)+TIME(9,0,0)+gmt_delta</f>
        <v>46190.833333333336</v>
      </c>
      <c r="S28" s="127" t="str">
        <f t="shared" si="1"/>
        <v>England_lose</v>
      </c>
      <c r="T28" s="127" t="str">
        <f t="shared" si="2"/>
        <v>Croatia_win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-1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3</v>
      </c>
      <c r="AL28" s="123">
        <f>AI28-AJ28</f>
        <v>-3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7.9033500000000008E-4</v>
      </c>
      <c r="AQ28" s="126">
        <f>VLOOKUP(AE28,db_fifarank,2,FALSE)</f>
        <v>1580.67</v>
      </c>
      <c r="AR28" s="125">
        <f>AP28/AP30</f>
        <v>8.2589424849730147E-12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England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2</v>
      </c>
      <c r="M29" s="23">
        <f>VLOOKUP(3,AD26:AN29,4,FALSE)</f>
        <v>0</v>
      </c>
      <c r="N29" s="23">
        <f>VLOOKUP(3,AD26:AN29,5,FALSE)</f>
        <v>1</v>
      </c>
      <c r="O29" s="23" t="str">
        <f>VLOOKUP(3,AD26:AN29,6,FALSE) &amp; " - " &amp; VLOOKUP(3,AD26:AN29,7,FALSE)</f>
        <v>2 - 1</v>
      </c>
      <c r="P29" s="34">
        <f>L29*3+M29</f>
        <v>6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2</v>
      </c>
      <c r="AJ29" s="123">
        <f>SUMIF($E$7:$E$78,$AE29,$G$7:$G$78) + SUMIF($H$7:$H$78,$AE29,$F$7:$F$78)</f>
        <v>1</v>
      </c>
      <c r="AL29" s="123">
        <f>AI29-AJ29</f>
        <v>1</v>
      </c>
      <c r="AM29" s="123">
        <f>AL29-AL30</f>
        <v>4</v>
      </c>
      <c r="AN29" s="123">
        <f>AF29*3+AG29</f>
        <v>6</v>
      </c>
      <c r="AO29" s="123">
        <f>AN29/AN30*10+BA29</f>
        <v>9.5694345534824095</v>
      </c>
      <c r="AP29" s="123">
        <f>AO29*10000000+BI29*100+AM29/AM30*10+AI29/AI30*1++IF(AQ29=0,ROW(),AQ29)/2000000</f>
        <v>95694454.002888486</v>
      </c>
      <c r="AQ29" s="126">
        <f>VLOOKUP(AE29,db_fifarank,2,FALSE)</f>
        <v>1599.04</v>
      </c>
      <c r="AR29" s="125">
        <f>AP29/AP30</f>
        <v>0.99999998954968661</v>
      </c>
      <c r="AT29" s="126" cm="1">
        <f t="array" ref="AT29">SUMPRODUCT(($S$7:$S$78=AE29&amp;"_win")*($U$7:$U$78))+SUMPRODUCT(($T$7:$T$78=AE29&amp;"_win")*($U$7:$U$78))</f>
        <v>1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500.5</v>
      </c>
      <c r="BA29" s="126">
        <f>AZ29/AZ30</f>
        <v>0.9980059820538385</v>
      </c>
      <c r="BB29" s="126" cm="1">
        <f t="array" ref="BB29">SUMPRODUCT(($S$7:$S$78=AE29&amp;"_win")*($X$7:$X$78))+SUMPRODUCT(($T$7:$T$78=AE29&amp;"_win")*($X$7:$X$78))</f>
        <v>1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500.5</v>
      </c>
      <c r="BI29" s="126">
        <f>BH29/BH30</f>
        <v>0.9980059820538385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0 - 3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3</v>
      </c>
      <c r="AL30" s="123">
        <f>MIN(AL26:AL29)</f>
        <v>-3</v>
      </c>
      <c r="AM30" s="123">
        <f>MAX(AM26:AM29)+1</f>
        <v>5</v>
      </c>
      <c r="AN30" s="123">
        <f>MAX(AN26:AN29)+1</f>
        <v>7</v>
      </c>
      <c r="AO30" s="123">
        <f>MAX(AO26:AO29)+1</f>
        <v>10.569434553482409</v>
      </c>
      <c r="AP30" s="123">
        <f>MAX(AP26:AP29)+1</f>
        <v>95694455.00292553</v>
      </c>
      <c r="AT30" s="126">
        <f>MAX(AT26:AT29)-MIN(AT26:AT29)+1</f>
        <v>2</v>
      </c>
      <c r="AU30" s="126">
        <f>MAX(AU26:AU29)-MIN(AU26:AU29)+1</f>
        <v>1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501.5</v>
      </c>
      <c r="BB30" s="126">
        <f>MAX(BB26:BB29)-MIN(BB26:BB29)+1</f>
        <v>2</v>
      </c>
      <c r="BC30" s="126">
        <f>MAX(BC26:BC29)-MIN(BC26:BC29)+1</f>
        <v>1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501.5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5</v>
      </c>
      <c r="AJ32" s="123">
        <f>SUMIF($E$7:$E$78,$AE32,$G$7:$G$78) + SUMIF($H$7:$H$78,$AE32,$F$7:$F$78)</f>
        <v>1</v>
      </c>
      <c r="AL32" s="123">
        <f>AI32-AJ32</f>
        <v>4</v>
      </c>
      <c r="AM32" s="123">
        <f>AL32-AL36</f>
        <v>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90000009.83419852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5 - 1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5</v>
      </c>
      <c r="AL33" s="123">
        <f>AI33-AJ33</f>
        <v>-5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7.192499134167073E-12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3 - 2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5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49805928.801737361</v>
      </c>
      <c r="AQ34" s="126">
        <f>VLOOKUP(AE34,db_fifarank,2,FALSE)</f>
        <v>1532.98</v>
      </c>
      <c r="AR34" s="125">
        <f>AP34/AP36</f>
        <v>0.5533991422900133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3 - 3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2</v>
      </c>
      <c r="AL35" s="123">
        <f>AI35-AJ35</f>
        <v>1</v>
      </c>
      <c r="AM35" s="123">
        <f>AL35-AL36</f>
        <v>6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49805929.801768258</v>
      </c>
      <c r="AQ35" s="126">
        <f>VLOOKUP(AE35,db_fifarank,2,FALSE)</f>
        <v>1594.78</v>
      </c>
      <c r="AR35" s="125">
        <f>AP35/AP36</f>
        <v>0.55339915340146628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0 - 5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6</v>
      </c>
      <c r="AL36" s="123">
        <f>MIN(AL32:AL35)</f>
        <v>-5</v>
      </c>
      <c r="AM36" s="123">
        <f>MAX(AM32:AM35)+1</f>
        <v>10</v>
      </c>
      <c r="AN36" s="123">
        <f>MAX(AN32:AN35)+1</f>
        <v>10</v>
      </c>
      <c r="AO36" s="123">
        <f>MAX(AO32:AO35)+1</f>
        <v>10</v>
      </c>
      <c r="AP36" s="123">
        <f>MAX(AP32:AP35)+1</f>
        <v>90000010.83419852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0</v>
      </c>
      <c r="CP37" s="63">
        <v>0</v>
      </c>
      <c r="CQ37" s="25">
        <v>4</v>
      </c>
      <c r="CR37" s="111">
        <f>IF(OR(CO37="",CO38="",AND(CP37="",CP38&lt;&gt;""),AND(CP38="",CP37&lt;&gt;""),AND(CQ37="",CQ38&lt;&gt;""),AND(CQ38="",CQ37&lt;&gt;"")),"",CO37*1000+CP37*10+CQ37)</f>
        <v>4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0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1</v>
      </c>
      <c r="V38" s="123">
        <f t="shared" si="3"/>
        <v>0</v>
      </c>
      <c r="W38" s="123">
        <f t="shared" si="4"/>
        <v>1</v>
      </c>
      <c r="X38" s="123">
        <f t="shared" si="9"/>
        <v>1</v>
      </c>
      <c r="Y38" s="123">
        <f t="shared" si="10"/>
        <v>0</v>
      </c>
      <c r="Z38" s="123">
        <f t="shared" si="11"/>
        <v>1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0</v>
      </c>
      <c r="AH38" s="123">
        <f>COUNTIF($S$7:$T$78,"=" &amp; AE38 &amp; "_lose")</f>
        <v>1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1</v>
      </c>
      <c r="AL38" s="123">
        <f>AI38-AJ38</f>
        <v>3</v>
      </c>
      <c r="AM38" s="123">
        <f>AL38-AL42</f>
        <v>7</v>
      </c>
      <c r="AN38" s="123">
        <f>AF38*3+AG38</f>
        <v>6</v>
      </c>
      <c r="AO38" s="123">
        <f>AN38/AN42*10+BA38</f>
        <v>6</v>
      </c>
      <c r="AP38" s="123">
        <f>AO38*10000000+BI38*100+AM38/AM42*10+AI38/AI42*1++IF(AQ38=0,ROW(),AQ38)/2000000</f>
        <v>60000008.578656711</v>
      </c>
      <c r="AQ38" s="126">
        <f>VLOOKUP(AE38,db_fifarank,2,FALSE)</f>
        <v>1757.87</v>
      </c>
      <c r="AR38" s="125">
        <f>AP38/AP42</f>
        <v>0.66666668280196817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0</v>
      </c>
      <c r="CP38" s="64">
        <v>0</v>
      </c>
      <c r="CQ38" s="27">
        <v>3</v>
      </c>
      <c r="CR38" s="111">
        <f>IF(CR37="","",CO38*1000+CP38*10+CQ38)</f>
        <v>3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4 - 0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3</v>
      </c>
      <c r="AG39" s="123">
        <f>COUNTIF($S$7:$T$78,"=" &amp; AE39 &amp; "_draw")</f>
        <v>0</v>
      </c>
      <c r="AH39" s="123">
        <f>COUNTIF($S$7:$T$78,"=" &amp; AE39 &amp; "_lose")</f>
        <v>0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0</v>
      </c>
      <c r="AL39" s="123">
        <f>AI39-AJ39</f>
        <v>4</v>
      </c>
      <c r="AM39" s="123">
        <f>AL39-AL42</f>
        <v>8</v>
      </c>
      <c r="AN39" s="123">
        <f>AF39*3+AG39</f>
        <v>9</v>
      </c>
      <c r="AO39" s="123">
        <f>AN39/AN42*10+BA39</f>
        <v>9</v>
      </c>
      <c r="AP39" s="123">
        <f>AO39*10000000+BI39*100+AM39/AM42*10+AI39/AI42*1++IF(AQ39=0,ROW(),AQ39)/2000000</f>
        <v>90000009.689719111</v>
      </c>
      <c r="AQ39" s="126">
        <f>VLOOKUP(AE39,db_fifarank,2,FALSE)</f>
        <v>1660.43</v>
      </c>
      <c r="AR39" s="125">
        <f>AP39/AP42</f>
        <v>0.99999998888889019</v>
      </c>
      <c r="AS39" s="125" t="str">
        <f>IF(SUM(AF38:AH41)=12,J40,"2F")</f>
        <v>Netherlands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Netherlands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4 - 1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0</v>
      </c>
      <c r="AH40" s="123">
        <f>COUNTIF($S$7:$T$78,"=" &amp; AE40 &amp; "_lose")</f>
        <v>3</v>
      </c>
      <c r="AI40" s="123">
        <f>SUMIF($E$7:$E$78,$AE40,$F$7:$F$78) + SUMIF($H$7:$H$78,$AE40,$G$7:$G$78)</f>
        <v>0</v>
      </c>
      <c r="AJ40" s="123">
        <f>SUMIF($E$7:$E$78,$AE40,$G$7:$G$78) + SUMIF($H$7:$H$78,$AE40,$F$7:$F$78)</f>
        <v>4</v>
      </c>
      <c r="AL40" s="123">
        <f>AI40-AJ40</f>
        <v>-4</v>
      </c>
      <c r="AM40" s="123">
        <f>AL40-AL42</f>
        <v>0</v>
      </c>
      <c r="AN40" s="123">
        <f>AF40*3+AG40</f>
        <v>0</v>
      </c>
      <c r="AO40" s="123">
        <f>AN40/AN42*10+BA40</f>
        <v>0</v>
      </c>
      <c r="AP40" s="123">
        <f>AO40*10000000+BI40*100+AM40/AM42*10+AI40/AI42*1++IF(AQ40=0,ROW(),AQ40)/2000000</f>
        <v>7.5738499999999996E-4</v>
      </c>
      <c r="AQ40" s="126">
        <f>VLOOKUP(AE40,db_fifarank,2,FALSE)</f>
        <v>1514.77</v>
      </c>
      <c r="AR40" s="125">
        <f>AP40/AP42</f>
        <v>8.4153878893540807E-12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1 - 4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4</v>
      </c>
      <c r="AL41" s="123">
        <f>AI41-AJ41</f>
        <v>-3</v>
      </c>
      <c r="AM41" s="123">
        <f>AL41-AL42</f>
        <v>1</v>
      </c>
      <c r="AN41" s="123">
        <f>AF41*3+AG41</f>
        <v>3</v>
      </c>
      <c r="AO41" s="123">
        <f>AN41/AN42*10+BA41</f>
        <v>3</v>
      </c>
      <c r="AP41" s="123">
        <f>AO41*10000000+BI41*100+AM41/AM42*10+AI41/AI42*1++IF(AQ41=0,ROW(),AQ41)/2000000</f>
        <v>30000001.311852638</v>
      </c>
      <c r="AQ41" s="126">
        <f>VLOOKUP(AE41,db_fifarank,2,FALSE)</f>
        <v>1483.05</v>
      </c>
      <c r="AR41" s="125">
        <f>AP41/AP42</f>
        <v>0.33333330831792446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0 - 4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5</v>
      </c>
      <c r="AL42" s="123">
        <f>MIN(AL38:AL41)</f>
        <v>-4</v>
      </c>
      <c r="AM42" s="123">
        <f>MAX(AM38:AM41)+1</f>
        <v>9</v>
      </c>
      <c r="AN42" s="123">
        <f>MAX(AN38:AN41)+1</f>
        <v>10</v>
      </c>
      <c r="AO42" s="123">
        <f>MAX(AO38:AO41)+1</f>
        <v>10</v>
      </c>
      <c r="AP42" s="123">
        <f>MAX(AP38:AP41)+1</f>
        <v>90000010.689719111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1</v>
      </c>
      <c r="BN42" s="63">
        <v>1</v>
      </c>
      <c r="BO42" s="25">
        <v>6</v>
      </c>
      <c r="BP42" s="112">
        <f>IF(OR(BM42="",BM43="",AND(BN42="",BN43&lt;&gt;""),AND(BN43="",BN42&lt;&gt;""),AND(BO42="",BO43&lt;&gt;""),AND(BO43="",BO42&lt;&gt;"")),"",BM42*1000+BN42*10+BO42)</f>
        <v>1016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Netherlands</v>
      </c>
      <c r="BM43" s="62">
        <v>1</v>
      </c>
      <c r="BN43" s="64">
        <v>1</v>
      </c>
      <c r="BO43" s="27">
        <v>5</v>
      </c>
      <c r="BP43" s="113">
        <f>IF(BP42="","",BM43*1000+BN43*10+BO43)</f>
        <v>1015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0</v>
      </c>
      <c r="AL44" s="123">
        <f>AI44-AJ44</f>
        <v>5</v>
      </c>
      <c r="AM44" s="123">
        <f>AL44-AL48</f>
        <v>10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90000009.925109774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5 - 0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1</v>
      </c>
      <c r="AL45" s="123">
        <f>AI45-AJ45</f>
        <v>2</v>
      </c>
      <c r="AM45" s="123">
        <f>AL45-AL48</f>
        <v>7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60000006.864417985</v>
      </c>
      <c r="AQ45" s="126">
        <f>VLOOKUP(AE45,db_fifarank,2,FALSE)</f>
        <v>1563.24</v>
      </c>
      <c r="AR45" s="125">
        <f>AP45/AP48</f>
        <v>0.66666666201123914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2</v>
      </c>
      <c r="BU45" s="64"/>
      <c r="BV45" s="27"/>
      <c r="BW45" s="113">
        <f>IF(BW44="","",BT45*1000+BU45*10+BV45)</f>
        <v>2000</v>
      </c>
      <c r="CK45" s="114"/>
      <c r="CM45" s="147"/>
      <c r="CN45" s="148"/>
      <c r="CO45" s="148"/>
      <c r="CP45" s="148"/>
      <c r="CQ45" s="149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3 - 1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3</v>
      </c>
      <c r="AL46" s="123">
        <f>AI46-AJ46</f>
        <v>-2</v>
      </c>
      <c r="AM46" s="123">
        <f>AL46-AL48</f>
        <v>3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30000002.894747045</v>
      </c>
      <c r="AQ46" s="126">
        <f>VLOOKUP(AE46,db_fifarank,2,FALSE)</f>
        <v>1615.3</v>
      </c>
      <c r="AR46" s="125">
        <f>AP46/AP48</f>
        <v>0.33333332503382085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1 - 3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5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7.1198324690560964E-12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0 - 5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6</v>
      </c>
      <c r="AL48" s="123">
        <f>MIN(AL44:AL47)</f>
        <v>-5</v>
      </c>
      <c r="AM48" s="123">
        <f>MAX(AM44:AM47)+1</f>
        <v>11</v>
      </c>
      <c r="AN48" s="123">
        <f>MAX(AN44:AN47)+1</f>
        <v>10</v>
      </c>
      <c r="AO48" s="123">
        <f>MAX(AO44:AO47)+1</f>
        <v>10</v>
      </c>
      <c r="AP48" s="123">
        <f>MAX(AP44:AP47)+1</f>
        <v>90000010.925109774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Norway</v>
      </c>
      <c r="CA48" s="61">
        <v>3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3000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Croatia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Norway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0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90000010.16165249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7 - 0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1</v>
      </c>
      <c r="AO51" s="123">
        <f>AN51/AN54*10+BA51</f>
        <v>1.9805825242718447</v>
      </c>
      <c r="AP51" s="123">
        <f>AO51*10000000+BI51*100+AM51/AM54*10+AI51/AI54*1++IF(AQ51=0,ROW(),AQ51)/2000000</f>
        <v>19805923.42665394</v>
      </c>
      <c r="AQ51" s="126">
        <f>VLOOKUP(AE51,db_fifarank,2,FALSE)</f>
        <v>1366.13</v>
      </c>
      <c r="AR51" s="125">
        <f>AP51/AP54</f>
        <v>0.22006578855951203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4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4 - 1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2</v>
      </c>
      <c r="AN52" s="123">
        <f>AF52*3+AG52</f>
        <v>1</v>
      </c>
      <c r="AO52" s="123">
        <f>AN52/AN54*10+BA52</f>
        <v>1.9805825242718447</v>
      </c>
      <c r="AP52" s="123">
        <f>AO52*10000000+BI52*100+AM52/AM54*10+AI52/AI54*1++IF(AQ52=0,ROW(),AQ52)/2000000</f>
        <v>19805924.855253018</v>
      </c>
      <c r="AQ52" s="126">
        <f>VLOOKUP(AE52,db_fifarank,2,FALSE)</f>
        <v>1421.43</v>
      </c>
      <c r="AR52" s="125">
        <f>AP52/AP54</f>
        <v>0.22006580443283316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1</v>
      </c>
      <c r="AL53" s="123">
        <f>AI53-AJ53</f>
        <v>3</v>
      </c>
      <c r="AM53" s="123">
        <f>AL53-AL54</f>
        <v>9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60000006.929407962</v>
      </c>
      <c r="AQ53" s="126">
        <f>VLOOKUP(AE53,db_fifarank,2,FALSE)</f>
        <v>1673.07</v>
      </c>
      <c r="AR53" s="125">
        <f>AP53/AP54</f>
        <v>0.66666666098118188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Croatia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1 - 7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8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90000011.16165249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Croatia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Algeria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Norway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2</v>
      </c>
      <c r="AL56" s="123">
        <f>AI56-AJ56</f>
        <v>4</v>
      </c>
      <c r="AM56" s="123">
        <f>AL56-AL60</f>
        <v>8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90000009.7469704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6 - 2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1</v>
      </c>
      <c r="AH57" s="123">
        <f>COUNTIF($S$7:$T$78,"=" &amp; AE57 &amp; "_lose")</f>
        <v>2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5</v>
      </c>
      <c r="AL57" s="123">
        <f>AI57-AJ57</f>
        <v>-2</v>
      </c>
      <c r="AM57" s="123">
        <f>AL57-AL60</f>
        <v>2</v>
      </c>
      <c r="AN57" s="123">
        <f>AF57*3+AG57</f>
        <v>1</v>
      </c>
      <c r="AO57" s="123">
        <f>AN57/AN60*10+BA57</f>
        <v>1.9805825242718447</v>
      </c>
      <c r="AP57" s="123">
        <f>AO57*10000000+BI57*100+AM57/AM60*10+AI57/AI60*1++IF(AQ57=0,ROW(),AQ57)/2000000</f>
        <v>19805925.952609021</v>
      </c>
      <c r="AQ57" s="126">
        <f>VLOOKUP(AE57,db_fifarank,2,FALSE)</f>
        <v>1688.99</v>
      </c>
      <c r="AR57" s="125">
        <f>AP57/AP60</f>
        <v>0.22006581763964658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6 - 4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6</v>
      </c>
      <c r="AL58" s="123">
        <f>AI58-AJ58</f>
        <v>-4</v>
      </c>
      <c r="AM58" s="123">
        <f>AL58-AL60</f>
        <v>0</v>
      </c>
      <c r="AN58" s="123">
        <f>AF58*3+AG58</f>
        <v>1</v>
      </c>
      <c r="AO58" s="123">
        <f>AN58/AN60*10+BA58</f>
        <v>1.9805825242718447</v>
      </c>
      <c r="AP58" s="123">
        <f>AO58*10000000+BI58*100+AM58/AM60*10+AI58/AI60*1++IF(AQ58=0,ROW(),AQ58)/2000000</f>
        <v>19805923.587408733</v>
      </c>
      <c r="AQ58" s="126">
        <f>VLOOKUP(AE58,db_fifarank,2,FALSE)</f>
        <v>1447.14</v>
      </c>
      <c r="AR58" s="125">
        <f>AP58/AP60</f>
        <v>0.22006579135964652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1</v>
      </c>
      <c r="AV58" s="126" cm="1">
        <f t="array" ref="AV58">SUMPRODUCT(($E$7:$E$78=AE58)*($U$7:$U$78)*($F$7:$F$78))+SUMPRODUCT(($H$7:$H$78=AE58)*($U$7:$U$78)*($G$7:$G$78))</f>
        <v>1</v>
      </c>
      <c r="AW58" s="126" cm="1">
        <f t="array" ref="AW58">SUMPRODUCT(($E$7:$E$78=AE58)*($U$7:$U$78)*($G$7:$G$78))+SUMPRODUCT(($H$7:$H$78=AE58)*($U$7:$U$78)*($F$7:$F$78))</f>
        <v>1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50.5</v>
      </c>
      <c r="BA58" s="126">
        <f>AZ58/AZ60</f>
        <v>0.98058252427184467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1</v>
      </c>
      <c r="BD58" s="126" cm="1">
        <f t="array" ref="BD58">SUMPRODUCT(($E$7:$E$78=AE58)*($X$7:$X$78)*($F$7:$F$78))+SUMPRODUCT(($H$7:$H$78=AE58)*($X$7:$X$78)*($G$7:$G$78))</f>
        <v>1</v>
      </c>
      <c r="BE58" s="126" cm="1">
        <f t="array" ref="BE58">SUMPRODUCT(($E$7:$E$78=AE58)*($X$7:$X$78)*($G$7:$G$78))+SUMPRODUCT(($H$7:$H$78=AE58)*($X$7:$X$78)*($F$7:$F$78))</f>
        <v>1</v>
      </c>
      <c r="BF58" s="126">
        <f>BD58-BE58</f>
        <v>0</v>
      </c>
      <c r="BG58" s="126">
        <f>BF58-MIN(BF56:BF59)</f>
        <v>0</v>
      </c>
      <c r="BH58" s="126">
        <f t="shared" si="26"/>
        <v>50.5</v>
      </c>
      <c r="BI58" s="126">
        <f>BH58/BH60</f>
        <v>0.98058252427184467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0</v>
      </c>
      <c r="M59" s="23">
        <f>VLOOKUP(3,AD56:AN59,4,FALSE)</f>
        <v>1</v>
      </c>
      <c r="N59" s="23">
        <f>VLOOKUP(3,AD56:AN59,5,FALSE)</f>
        <v>2</v>
      </c>
      <c r="O59" s="23" t="str">
        <f>VLOOKUP(3,AD56:AN59,6,FALSE) &amp; " - " &amp; VLOOKUP(3,AD56:AN59,7,FALSE)</f>
        <v>3 - 5</v>
      </c>
      <c r="P59" s="34">
        <f>L59*3+M59</f>
        <v>1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4</v>
      </c>
      <c r="AL59" s="123">
        <f>AI59-AJ59</f>
        <v>2</v>
      </c>
      <c r="AM59" s="123">
        <f>AL59-AL60</f>
        <v>6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60000007.524584994</v>
      </c>
      <c r="AQ59" s="126">
        <f>VLOOKUP(AE59,db_fifarank,2,FALSE)</f>
        <v>1550.94</v>
      </c>
      <c r="AR59" s="125">
        <f>AP59/AP60</f>
        <v>0.66666667066597796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2 - 6</v>
      </c>
      <c r="P60" s="37">
        <f>L60*3+M60</f>
        <v>1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3</v>
      </c>
      <c r="AI60" s="123">
        <f>MAX(AI56:AI59)+1</f>
        <v>7</v>
      </c>
      <c r="AL60" s="123">
        <f>MIN(AL56:AL59)</f>
        <v>-4</v>
      </c>
      <c r="AM60" s="123">
        <f>MAX(AM56:AM59)+1</f>
        <v>9</v>
      </c>
      <c r="AN60" s="123">
        <f>MAX(AN56:AN59)+1</f>
        <v>10</v>
      </c>
      <c r="AO60" s="123">
        <f>MAX(AO56:AO59)+1</f>
        <v>10</v>
      </c>
      <c r="AP60" s="123">
        <f>MAX(AP56:AP59)+1</f>
        <v>90000010.7469704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0</v>
      </c>
      <c r="AL62" s="123">
        <f>AI62-AJ62</f>
        <v>5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90000009.925179839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5 - 0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4</v>
      </c>
      <c r="AL63" s="123">
        <f>AI63-AJ63</f>
        <v>-3</v>
      </c>
      <c r="AM63" s="123">
        <f>AL63-AL66</f>
        <v>2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30000001.985630613</v>
      </c>
      <c r="AQ63" s="126">
        <f>VLOOKUP(AE63,db_fifarank,2,FALSE)</f>
        <v>1564.26</v>
      </c>
      <c r="AR63" s="125">
        <f>AP63/AP66</f>
        <v>0.33333331493226892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4 - 1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1</v>
      </c>
      <c r="AL64" s="123">
        <f>AI64-AJ64</f>
        <v>3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60000007.940190665</v>
      </c>
      <c r="AQ64" s="126">
        <f>VLOOKUP(AE64,db_fifarank,2,FALSE)</f>
        <v>1593.45</v>
      </c>
      <c r="AR64" s="125">
        <f>AP64/AP66</f>
        <v>0.66666667396374846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0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1 - 4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1</v>
      </c>
      <c r="V65" s="123">
        <f t="shared" si="21"/>
        <v>1</v>
      </c>
      <c r="W65" s="123">
        <f t="shared" si="22"/>
        <v>0</v>
      </c>
      <c r="X65" s="123">
        <f t="shared" si="9"/>
        <v>1</v>
      </c>
      <c r="Y65" s="123">
        <f t="shared" si="10"/>
        <v>1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7.7302768393926141E-12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Colombia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0 - 5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6</v>
      </c>
      <c r="AL66" s="123">
        <f>MIN(AL62:AL65)</f>
        <v>-5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90000010.925179839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1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1</v>
      </c>
      <c r="V68" s="123">
        <f t="shared" si="21"/>
        <v>1</v>
      </c>
      <c r="W68" s="123">
        <f t="shared" si="22"/>
        <v>1</v>
      </c>
      <c r="X68" s="123">
        <f t="shared" si="9"/>
        <v>1</v>
      </c>
      <c r="Y68" s="123">
        <f t="shared" si="10"/>
        <v>1</v>
      </c>
      <c r="Z68" s="123">
        <f t="shared" si="11"/>
        <v>1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0</v>
      </c>
      <c r="AH68" s="123">
        <f>COUNTIF($S$7:$T$78,"=" &amp; AE68 &amp; "_lose")</f>
        <v>1</v>
      </c>
      <c r="AI68" s="123">
        <f>SUMIF($E$7:$E$78,$AE68,$F$7:$F$78) + SUMIF($H$7:$H$78,$AE68,$G$7:$G$78)</f>
        <v>4</v>
      </c>
      <c r="AJ68" s="123">
        <f>SUMIF($E$7:$E$78,$AE68,$G$7:$G$78) + SUMIF($H$7:$H$78,$AE68,$F$7:$F$78)</f>
        <v>1</v>
      </c>
      <c r="AL68" s="123">
        <f>AI68-AJ68</f>
        <v>3</v>
      </c>
      <c r="AM68" s="123">
        <f>AL68-AL72</f>
        <v>7</v>
      </c>
      <c r="AN68" s="123">
        <f>AF68*3+AG68</f>
        <v>6</v>
      </c>
      <c r="AO68" s="123">
        <f>AN68/AN72*10+BA68</f>
        <v>6</v>
      </c>
      <c r="AP68" s="123">
        <f>AO68*10000000+BI68*100+AM68/AM72*10+AI68/AI72*1++IF(AQ68=0,ROW(),AQ68)/2000000</f>
        <v>60000008.578659691</v>
      </c>
      <c r="AQ68" s="126">
        <f>VLOOKUP(AE68,db_fifarank,2,FALSE)</f>
        <v>1763.83</v>
      </c>
      <c r="AR68" s="125">
        <f>AP68/AP72</f>
        <v>0.66666668280188024</v>
      </c>
      <c r="AS68" s="125" t="str">
        <f>IF(SUM(AF68:AH71)=12,J69,"1K")</f>
        <v>Colombia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Colombia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4 - 0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5</v>
      </c>
      <c r="AL69" s="123">
        <f>AI69-AJ69</f>
        <v>-4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19805923.50171005</v>
      </c>
      <c r="AQ69" s="126">
        <f>VLOOKUP(AE69,db_fifarank,2,FALSE)</f>
        <v>1478.35</v>
      </c>
      <c r="AR69" s="125">
        <f>AP69/AP72</f>
        <v>0.22006579054738853</v>
      </c>
      <c r="AS69" s="125" t="str">
        <f>IF(SUM(AF68:AH71)=12,J70,"2K")</f>
        <v>Portugal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Colombia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4 - 1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4</v>
      </c>
      <c r="AL70" s="123">
        <f>AI70-AJ70</f>
        <v>-3</v>
      </c>
      <c r="AM70" s="123">
        <f>AL70-AL72</f>
        <v>1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19805924.612814657</v>
      </c>
      <c r="AQ70" s="126">
        <f>VLOOKUP(AE70,db_fifarank,2,FALSE)</f>
        <v>1465.34</v>
      </c>
      <c r="AR70" s="125">
        <f>AP70/AP72</f>
        <v>0.22006580289299382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41">
        <v>87</v>
      </c>
      <c r="BL70" s="24" t="str">
        <f>AS68</f>
        <v>Colombia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1</v>
      </c>
      <c r="W71" s="123">
        <f t="shared" si="22"/>
        <v>1</v>
      </c>
      <c r="X71" s="123">
        <f t="shared" si="9"/>
        <v>1</v>
      </c>
      <c r="Y71" s="123">
        <f t="shared" si="10"/>
        <v>1</v>
      </c>
      <c r="Z71" s="123">
        <f t="shared" si="11"/>
        <v>1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1</v>
      </c>
      <c r="AE71" s="124" t="str">
        <f>VLOOKUP("Colombia",T,lang,FALSE)</f>
        <v>Colombia</v>
      </c>
      <c r="AF71" s="123">
        <f>COUNTIF($S$7:$T$78,"=" &amp; AE71 &amp; "_win")</f>
        <v>3</v>
      </c>
      <c r="AG71" s="123">
        <f>COUNTIF($S$7:$T$78,"=" &amp; AE71 &amp; "_draw")</f>
        <v>0</v>
      </c>
      <c r="AH71" s="123">
        <f>COUNTIF($S$7:$T$78,"=" &amp; AE71 &amp; "_lose")</f>
        <v>0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0</v>
      </c>
      <c r="AL71" s="123">
        <f>AI71-AJ71</f>
        <v>4</v>
      </c>
      <c r="AM71" s="123">
        <f>AL71-AL72</f>
        <v>8</v>
      </c>
      <c r="AN71" s="123">
        <f>AF71*3+AG71</f>
        <v>9</v>
      </c>
      <c r="AO71" s="123">
        <f>AN71/AN72*10+BA71</f>
        <v>9</v>
      </c>
      <c r="AP71" s="123">
        <f>AO71*10000000+BI71*100+AM71/AM72*10+AI71/AI72*1++IF(AQ71=0,ROW(),AQ71)/2000000</f>
        <v>90000009.689735442</v>
      </c>
      <c r="AQ71" s="126">
        <f>VLOOKUP(AE71,db_fifarank,2,FALSE)</f>
        <v>1693.09</v>
      </c>
      <c r="AR71" s="125">
        <f>AP71/AP72</f>
        <v>0.99999998888889019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Ivory Coast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5</v>
      </c>
      <c r="AL72" s="123">
        <f>MIN(AL68:AL71)</f>
        <v>-4</v>
      </c>
      <c r="AM72" s="123">
        <f>MAX(AM68:AM71)+1</f>
        <v>9</v>
      </c>
      <c r="AN72" s="123">
        <f>MAX(AN68:AN71)+1</f>
        <v>10</v>
      </c>
      <c r="AO72" s="123">
        <f>MAX(AO68:AO71)+1</f>
        <v>10</v>
      </c>
      <c r="AP72" s="123">
        <f>MAX(AP68:AP71)+1</f>
        <v>90000010.689735442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1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0</v>
      </c>
      <c r="AH74" s="123">
        <f>COUNTIF($S$7:$T$78,"=" &amp; AE74 &amp; "_lose")</f>
        <v>1</v>
      </c>
      <c r="AI74" s="123">
        <f>SUMIF($E$7:$E$78,$AE74,$F$7:$F$78) + SUMIF($H$7:$H$78,$AE74,$G$7:$G$78)</f>
        <v>4</v>
      </c>
      <c r="AJ74" s="123">
        <f>SUMIF($E$7:$E$78,$AE74,$G$7:$G$78) + SUMIF($H$7:$H$78,$AE74,$F$7:$F$78)</f>
        <v>3</v>
      </c>
      <c r="AL74" s="123">
        <f>AI74-AJ74</f>
        <v>1</v>
      </c>
      <c r="AM74" s="123">
        <f>AL74-AL78</f>
        <v>3</v>
      </c>
      <c r="AN74" s="123">
        <f>AF74*3+AG74</f>
        <v>6</v>
      </c>
      <c r="AO74" s="123">
        <f>AN74/AN78*10+BA74</f>
        <v>6</v>
      </c>
      <c r="AP74" s="123">
        <f>AO74*10000000+BI74*100+AM74/AM78*10+AI74/AI78*1++IF(AQ74=0,ROW(),AQ74)/2000000</f>
        <v>60000005.800912984</v>
      </c>
      <c r="AQ74" s="126">
        <f>VLOOKUP(AE74,db_fifarank,2,FALSE)</f>
        <v>1825.97</v>
      </c>
      <c r="AR74" s="125">
        <f>AP74/AP78</f>
        <v>0.66666665605316877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4 - 1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3</v>
      </c>
      <c r="AG75" s="123">
        <f>COUNTIF($S$7:$T$78,"=" &amp; AE75 &amp; "_draw")</f>
        <v>0</v>
      </c>
      <c r="AH75" s="123">
        <f>COUNTIF($S$7:$T$78,"=" &amp; AE75 &amp; "_lose")</f>
        <v>0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1</v>
      </c>
      <c r="AL75" s="123">
        <f>AI75-AJ75</f>
        <v>3</v>
      </c>
      <c r="AM75" s="123">
        <f>AL75-AL78</f>
        <v>5</v>
      </c>
      <c r="AN75" s="123">
        <f>AF75*3+AG75</f>
        <v>9</v>
      </c>
      <c r="AO75" s="123">
        <f>AN75/AN78*10+BA75</f>
        <v>9</v>
      </c>
      <c r="AP75" s="123">
        <f>AO75*10000000+BI75*100+AM75/AM78*10+AI75/AI78*1++IF(AQ75=0,ROW(),AQ75)/2000000</f>
        <v>90000009.134191856</v>
      </c>
      <c r="AQ75" s="126">
        <f>VLOOKUP(AE75,db_fifarank,2,FALSE)</f>
        <v>1717.07</v>
      </c>
      <c r="AR75" s="125">
        <f>AP75/AP78</f>
        <v>0.99999998888889019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4</v>
      </c>
      <c r="AL76" s="123">
        <f>AI76-AJ76</f>
        <v>-2</v>
      </c>
      <c r="AM76" s="123">
        <f>AL76-AL78</f>
        <v>0</v>
      </c>
      <c r="AN76" s="123">
        <f>AF76*3+AG76</f>
        <v>1</v>
      </c>
      <c r="AO76" s="123">
        <f>AN76/AN78*10+BA76</f>
        <v>1.9805825242718447</v>
      </c>
      <c r="AP76" s="123">
        <f>AO76*10000000+BI76*100+AM76/AM78*10+AI76/AI78*1++IF(AQ76=0,ROW(),AQ76)/2000000</f>
        <v>19805923.701644029</v>
      </c>
      <c r="AQ76" s="126">
        <f>VLOOKUP(AE76,db_fifarank,2,FALSE)</f>
        <v>1346.31</v>
      </c>
      <c r="AR76" s="125">
        <f>AP76/AP78</f>
        <v>0.22006579412727834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1</v>
      </c>
      <c r="AW76" s="126" cm="1">
        <f t="array" ref="AW76">SUMPRODUCT(($E$7:$E$78=AE76)*($U$7:$U$78)*($G$7:$G$78))+SUMPRODUCT(($H$7:$H$78=AE76)*($U$7:$U$78)*($F$7:$F$78))</f>
        <v>1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50.5</v>
      </c>
      <c r="BA76" s="126">
        <f>AZ76/AZ78</f>
        <v>0.98058252427184467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1</v>
      </c>
      <c r="BE76" s="126" cm="1">
        <f t="array" ref="BE76">SUMPRODUCT(($E$7:$E$78=AE76)*($X$7:$X$78)*($G$7:$G$78))+SUMPRODUCT(($H$7:$H$78=AE76)*($X$7:$X$78)*($F$7:$F$78))</f>
        <v>1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50.5</v>
      </c>
      <c r="BI76" s="126">
        <f>BH76/BH78</f>
        <v>0.98058252427184467</v>
      </c>
    </row>
    <row r="77" spans="1:95" x14ac:dyDescent="0.3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0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2 - 4</v>
      </c>
      <c r="P77" s="34">
        <f>L77*3+M77</f>
        <v>1</v>
      </c>
      <c r="R77" s="123">
        <f>DATE(2026,6,27)+TIME(12,30,0)+gmt_delta</f>
        <v>46200.979166666672</v>
      </c>
      <c r="S77" s="127" t="str">
        <f t="shared" si="19"/>
        <v>Colombia_win</v>
      </c>
      <c r="T77" s="127" t="str">
        <f t="shared" si="20"/>
        <v>Portugal_lose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3</v>
      </c>
      <c r="AL77" s="123">
        <f>AI77-AJ77</f>
        <v>-2</v>
      </c>
      <c r="AM77" s="123">
        <f>AL77-AL78</f>
        <v>0</v>
      </c>
      <c r="AN77" s="123">
        <f>AF77*3+AG77</f>
        <v>1</v>
      </c>
      <c r="AO77" s="123">
        <f>AN77/AN78*10+BA77</f>
        <v>1.9805825242718447</v>
      </c>
      <c r="AP77" s="123">
        <f>AO77*10000000+BI77*100+AM77/AM78*10+AI77/AI78*1++IF(AQ77=0,ROW(),AQ77)/2000000</f>
        <v>19805923.501741193</v>
      </c>
      <c r="AQ77" s="126">
        <f>VLOOKUP(AE77,db_fifarank,2,FALSE)</f>
        <v>1540.64</v>
      </c>
      <c r="AR77" s="125">
        <f>AP77/AP78</f>
        <v>0.22006579190613595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1</v>
      </c>
      <c r="AW77" s="126" cm="1">
        <f t="array" ref="AW77">SUMPRODUCT(($E$7:$E$78=AE77)*($U$7:$U$78)*($G$7:$G$78))+SUMPRODUCT(($H$7:$H$78=AE77)*($U$7:$U$78)*($F$7:$F$78))</f>
        <v>1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50.5</v>
      </c>
      <c r="BA77" s="126">
        <f>AZ77/AZ78</f>
        <v>0.98058252427184467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1</v>
      </c>
      <c r="BE77" s="126" cm="1">
        <f t="array" ref="BE77">SUMPRODUCT(($E$7:$E$78=AE77)*($X$7:$X$78)*($G$7:$G$78))+SUMPRODUCT(($H$7:$H$78=AE77)*($X$7:$X$78)*($F$7:$F$78))</f>
        <v>1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50.5</v>
      </c>
      <c r="BI77" s="126">
        <f>BH77/BH78</f>
        <v>0.98058252427184467</v>
      </c>
    </row>
    <row r="78" spans="1:95" x14ac:dyDescent="0.3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1 - 3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5</v>
      </c>
      <c r="AL78" s="123">
        <f>MIN(AL74:AL77)</f>
        <v>-2</v>
      </c>
      <c r="AM78" s="123">
        <f>MAX(AM74:AM77)+1</f>
        <v>6</v>
      </c>
      <c r="AN78" s="123">
        <f>MAX(AN74:AN77)+1</f>
        <v>10</v>
      </c>
      <c r="AO78" s="123">
        <f>MAX(AO74:AO77)+1</f>
        <v>10</v>
      </c>
      <c r="AP78" s="123">
        <f>MAX(AP74:AP77)+1</f>
        <v>90000010.134191856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1</v>
      </c>
      <c r="AJ80" s="123">
        <f>VLOOKUP($AE80,$AE$8:$AQ$78,6,FALSE)</f>
        <v>2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4810.7150364042855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Paraguay</v>
      </c>
      <c r="K81" s="97">
        <f>L81+M81+N81</f>
        <v>3</v>
      </c>
      <c r="L81" s="97">
        <f>VLOOKUP(1,$AD$80:$AN$91,3,FALSE)</f>
        <v>2</v>
      </c>
      <c r="M81" s="97">
        <f>VLOOKUP(1,$AD$80:$AN$91,4,FALSE)</f>
        <v>0</v>
      </c>
      <c r="N81" s="97">
        <f>VLOOKUP(1,$AD$80:$AN$91,5,FALSE)</f>
        <v>1</v>
      </c>
      <c r="O81" s="97" t="str">
        <f>VLOOKUP(1,$AD$80:$AN$91,6,FALSE) &amp; " - " &amp; VLOOKUP(1,$AD$80:$AN$91,7,FALSE)</f>
        <v>2 - 1</v>
      </c>
      <c r="P81" s="98">
        <f>L81*3+M81</f>
        <v>6</v>
      </c>
      <c r="AD81" s="123">
        <f t="shared" ref="AD81:AD91" si="38">COUNTIF($AP$80:$AP$91,CONCATENATE("&gt;=",AP81))</f>
        <v>6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2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4644.0483119676182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Ⓔ Ivory Coast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3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2</v>
      </c>
      <c r="AK82" s="123" t="s">
        <v>3182</v>
      </c>
      <c r="AL82" s="123">
        <f t="shared" si="43"/>
        <v>0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5002.3817015559525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Ⓒ Scotland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2 - 2</v>
      </c>
      <c r="P83" s="101">
        <f t="shared" si="48"/>
        <v>3</v>
      </c>
      <c r="AD83" s="123">
        <f t="shared" si="38"/>
        <v>1</v>
      </c>
      <c r="AE83" s="124" t="str">
        <f>J29</f>
        <v>Paraguay</v>
      </c>
      <c r="AF83" s="123">
        <f t="shared" si="39"/>
        <v>2</v>
      </c>
      <c r="AG83" s="123">
        <f t="shared" si="49"/>
        <v>0</v>
      </c>
      <c r="AH83" s="123">
        <f t="shared" si="40"/>
        <v>1</v>
      </c>
      <c r="AI83" s="123">
        <f t="shared" si="41"/>
        <v>2</v>
      </c>
      <c r="AJ83" s="123">
        <f t="shared" si="42"/>
        <v>1</v>
      </c>
      <c r="AK83" s="123" t="s">
        <v>3184</v>
      </c>
      <c r="AL83" s="123">
        <f t="shared" si="43"/>
        <v>1</v>
      </c>
      <c r="AM83" s="123">
        <f t="shared" si="44"/>
        <v>5</v>
      </c>
      <c r="AN83" s="123">
        <f t="shared" si="45"/>
        <v>6</v>
      </c>
      <c r="AP83" s="123">
        <f>AN83/AN92*10000+AM83/AM92*1000+AI83/AI92*100+IF(AQ83=0,ROW(),AQ83)/2000000</f>
        <v>9454.7626565119044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Ⓐ Czech Republic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1 - 2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2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4</v>
      </c>
      <c r="AN84" s="123">
        <f t="shared" si="45"/>
        <v>4</v>
      </c>
      <c r="AP84" s="123">
        <f>AN84/AN92*10000+AM84/AM92*1000+AI84/AI92*100+IF(AQ84=0,ROW(),AQ84)/2000000</f>
        <v>6455.9531474423811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Ⓖ Iran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1 - 3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Tunisia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1</v>
      </c>
      <c r="AJ85" s="123">
        <f t="shared" si="42"/>
        <v>4</v>
      </c>
      <c r="AK85" s="123" t="s">
        <v>3186</v>
      </c>
      <c r="AL85" s="123">
        <f t="shared" si="43"/>
        <v>-3</v>
      </c>
      <c r="AM85" s="123">
        <f t="shared" si="44"/>
        <v>1</v>
      </c>
      <c r="AN85" s="123">
        <f t="shared" si="45"/>
        <v>3</v>
      </c>
      <c r="AP85" s="123">
        <f>AN85/AN92*10000+AM85/AM92*1000+AI85/AI92*100+IF(AQ85=0,ROW(),AQ85)/2000000</f>
        <v>4477.3816939059525</v>
      </c>
      <c r="AQ85" s="126">
        <f t="shared" si="37"/>
        <v>1483.05</v>
      </c>
      <c r="AR85" s="125" t="str">
        <f t="shared" si="50"/>
        <v>ABCDEF</v>
      </c>
      <c r="AS85" s="129" t="str">
        <f t="shared" si="46"/>
        <v>Tunisia</v>
      </c>
      <c r="AT85" s="130" t="str">
        <f>"Ⓕ "&amp;AE85</f>
        <v>Ⓕ Tunisia</v>
      </c>
    </row>
    <row r="86" spans="1:46" ht="15" customHeight="1" x14ac:dyDescent="0.3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Ⓑ Bosnia and Herzegovina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1 - 3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5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1</v>
      </c>
      <c r="AJ86" s="123">
        <f t="shared" si="42"/>
        <v>3</v>
      </c>
      <c r="AK86" s="123" t="s">
        <v>3187</v>
      </c>
      <c r="AL86" s="123">
        <f t="shared" si="43"/>
        <v>-2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4644.0484266976182</v>
      </c>
      <c r="AQ86" s="126">
        <f t="shared" si="37"/>
        <v>1615.3</v>
      </c>
      <c r="AR86" s="125" t="str">
        <f t="shared" si="50"/>
        <v>ABCDEFG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Ⓙ Algeria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1453.5721392864284</v>
      </c>
      <c r="AQ87" s="126">
        <f t="shared" si="37"/>
        <v>1421.43</v>
      </c>
      <c r="AR87" s="125" t="str">
        <f t="shared" si="50"/>
        <v>ABCDEFG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Ⓕ Tunisia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1 - 4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9</v>
      </c>
      <c r="AE88" s="124" t="str">
        <f>J59</f>
        <v>Senegal</v>
      </c>
      <c r="AF88" s="123">
        <f t="shared" si="39"/>
        <v>0</v>
      </c>
      <c r="AG88" s="123">
        <f t="shared" si="49"/>
        <v>1</v>
      </c>
      <c r="AH88" s="123">
        <f t="shared" si="40"/>
        <v>2</v>
      </c>
      <c r="AI88" s="123">
        <f t="shared" si="41"/>
        <v>3</v>
      </c>
      <c r="AJ88" s="123">
        <f t="shared" si="42"/>
        <v>5</v>
      </c>
      <c r="AK88" s="123" t="s">
        <v>3189</v>
      </c>
      <c r="AL88" s="123">
        <f t="shared" si="43"/>
        <v>-2</v>
      </c>
      <c r="AM88" s="123">
        <f t="shared" si="44"/>
        <v>2</v>
      </c>
      <c r="AN88" s="123">
        <f t="shared" si="45"/>
        <v>1</v>
      </c>
      <c r="AP88" s="123">
        <f>AN88/AN92*10000+AM88/AM92*1000+AI88/AI92*100+IF(AQ88=0,ROW(),AQ88)/2000000</f>
        <v>1836.9056063997616</v>
      </c>
      <c r="AQ88" s="126">
        <f t="shared" si="37"/>
        <v>1688.99</v>
      </c>
      <c r="AR88" s="125" t="str">
        <f t="shared" si="50"/>
        <v>ABCDEFG</v>
      </c>
      <c r="AS88" s="129" t="str">
        <f t="shared" si="46"/>
        <v/>
      </c>
      <c r="AT88" s="130" t="str">
        <f>"Ⓘ "&amp;AE88</f>
        <v>Ⓘ Senegal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Ⓘ Senegal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1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7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1</v>
      </c>
      <c r="AJ89" s="123">
        <f t="shared" si="42"/>
        <v>4</v>
      </c>
      <c r="AK89" s="123" t="s">
        <v>3190</v>
      </c>
      <c r="AL89" s="123">
        <f t="shared" si="43"/>
        <v>-3</v>
      </c>
      <c r="AM89" s="123">
        <f t="shared" si="44"/>
        <v>1</v>
      </c>
      <c r="AN89" s="123">
        <f t="shared" si="45"/>
        <v>3</v>
      </c>
      <c r="AP89" s="123">
        <f>AN89/AN92*10000+AM89/AM92*1000+AI89/AI92*100+IF(AQ89=0,ROW(),AQ89)/2000000</f>
        <v>4477.3817345109519</v>
      </c>
      <c r="AQ89" s="126">
        <f t="shared" si="37"/>
        <v>1564.26</v>
      </c>
      <c r="AR89" s="125" t="str">
        <f t="shared" si="50"/>
        <v>ABCDEFGJ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Ghana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2 - 4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1620.2388279080951</v>
      </c>
      <c r="AQ90" s="126">
        <f t="shared" si="37"/>
        <v>1465.34</v>
      </c>
      <c r="AR90" s="125" t="str">
        <f t="shared" si="50"/>
        <v>ABCDEFGJ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1 - 4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Ghana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1</v>
      </c>
      <c r="AP91" s="123">
        <f>AN91/AN92*10000+AM91/AM92*1000+AI91/AI92*100+IF(AQ91=0,ROW(),AQ91)/2000000</f>
        <v>1811.9054350597617</v>
      </c>
      <c r="AQ91" s="126">
        <f t="shared" si="37"/>
        <v>1346.31</v>
      </c>
      <c r="AR91" s="125" t="str">
        <f t="shared" si="50"/>
        <v>ABCDEFGJ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3</v>
      </c>
      <c r="AG92" s="123">
        <f>MAX(AG80:AG91)+1</f>
        <v>2</v>
      </c>
      <c r="AH92" s="123">
        <f>MAX(AH80:AH91)+1</f>
        <v>3</v>
      </c>
      <c r="AI92" s="123">
        <f>MAX(AI80:AI91)+1</f>
        <v>4</v>
      </c>
      <c r="AJ92" s="123">
        <f>MAX(AJ80:AJ91)+1</f>
        <v>6</v>
      </c>
      <c r="AL92" s="123">
        <f>MIN(AL80:AL91)</f>
        <v>-4</v>
      </c>
      <c r="AM92" s="123">
        <f>MAX(AM80:AM91)+1</f>
        <v>6</v>
      </c>
      <c r="AN92" s="123">
        <f>MAX(AN80:AN91)+1</f>
        <v>7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8" scale="5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493</v>
      </c>
      <c r="C3" s="121" t="str">
        <f>'2026 World Cup'!AR91</f>
        <v>ABCDEFGJ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3E</v>
      </c>
      <c r="K3" s="122" t="str">
        <f>VLOOKUP($C3,$C$6:$K$500,9,FALSE)</f>
        <v>3J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Ida Weseth Bjøru</cp:lastModifiedBy>
  <cp:revision/>
  <cp:lastPrinted>2026-06-10T09:43:17Z</cp:lastPrinted>
  <dcterms:created xsi:type="dcterms:W3CDTF">2017-12-27T19:32:51Z</dcterms:created>
  <dcterms:modified xsi:type="dcterms:W3CDTF">2026-06-10T16:41:40Z</dcterms:modified>
  <cp:category>Sports</cp:category>
  <cp:contentStatus/>
</cp:coreProperties>
</file>
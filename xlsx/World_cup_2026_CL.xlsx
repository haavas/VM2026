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chrileh_uio_no/Documents/Documents/"/>
    </mc:Choice>
  </mc:AlternateContent>
  <xr:revisionPtr revIDLastSave="329" documentId="8_{7BA294B2-9710-4629-AC7B-1D951C3CF73F}" xr6:coauthVersionLast="47" xr6:coauthVersionMax="47" xr10:uidLastSave="{8314C74D-66C7-4705-93C9-36129ACEC5C0}"/>
  <bookViews>
    <workbookView xWindow="-120" yWindow="-120" windowWidth="38640" windowHeight="2112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S46" i="3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T44" i="3"/>
  <c r="T46" i="3"/>
  <c r="S70" i="3"/>
  <c r="S42" i="3"/>
  <c r="S64" i="3"/>
  <c r="T41" i="3"/>
  <c r="S40" i="3"/>
  <c r="S62" i="3"/>
  <c r="S38" i="3"/>
  <c r="S65" i="3"/>
  <c r="S55" i="3"/>
  <c r="T56" i="3"/>
  <c r="S57" i="3"/>
  <c r="T60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/>
  <c r="BH57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O69" i="3" l="1"/>
  <c r="N39" i="3"/>
  <c r="J75" i="3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N69" i="3"/>
  <c r="J21" i="3"/>
  <c r="AS20" i="3" s="1"/>
  <c r="BL42" i="3" s="1"/>
  <c r="BS44" i="3" s="1"/>
  <c r="BZ48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AF91" i="3"/>
  <c r="BS61" i="3" l="1"/>
  <c r="S91" i="3"/>
  <c r="T91" i="3" s="1" a="1"/>
  <c r="T91" i="3" s="1"/>
  <c r="BS37" i="3"/>
  <c r="S90" i="3"/>
  <c r="T90" i="3" s="1" a="1"/>
  <c r="T90" i="3" s="1"/>
  <c r="BS36" i="3"/>
  <c r="S89" i="3"/>
  <c r="T89" i="3" s="1" a="1"/>
  <c r="T89" i="3" s="1"/>
  <c r="BS21" i="3"/>
  <c r="S87" i="3"/>
  <c r="T87" i="3" s="1" a="1"/>
  <c r="T87" i="3" s="1"/>
  <c r="BS29" i="3"/>
  <c r="S86" i="3"/>
  <c r="T86" i="3" s="1" a="1"/>
  <c r="T86" i="3" s="1"/>
  <c r="BS28" i="3"/>
  <c r="S88" i="3"/>
  <c r="T88" i="3" s="1" a="1"/>
  <c r="T88" i="3" s="1"/>
  <c r="BS20" i="3"/>
  <c r="P4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S96" i="3"/>
  <c r="T96" i="3" s="1" a="1"/>
  <c r="T96" i="3" s="1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S111" i="3" s="1"/>
  <c r="T111" i="3" s="1"/>
  <c r="S102" i="3"/>
  <c r="T102" i="3" s="1" a="1"/>
  <c r="T102" i="3" s="1"/>
  <c r="CG23" i="3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CN37" i="3" l="1"/>
  <c r="CN48" i="3"/>
  <c r="AM92" i="3"/>
  <c r="AP87" i="3" s="1"/>
  <c r="BZ16" i="3"/>
  <c r="U102" i="3" s="1"/>
  <c r="AC102" i="3" s="1" a="1"/>
  <c r="AC102" i="3" s="1"/>
  <c r="S95" i="3"/>
  <c r="T95" i="3" s="1" a="1"/>
  <c r="T95" i="3" s="1"/>
  <c r="AP84" i="3" l="1"/>
  <c r="AP89" i="3"/>
  <c r="AP86" i="3"/>
  <c r="AP91" i="3"/>
  <c r="AP81" i="3"/>
  <c r="AP88" i="3"/>
  <c r="AP90" i="3"/>
  <c r="AP80" i="3"/>
  <c r="AP85" i="3"/>
  <c r="AP83" i="3"/>
  <c r="AP82" i="3"/>
  <c r="AD87" i="3" l="1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BL71" i="3" s="1"/>
  <c r="G3" i="4"/>
  <c r="BL11" i="3" s="1"/>
  <c r="H3" i="4"/>
  <c r="BL39" i="3" s="1"/>
  <c r="B3" i="4"/>
  <c r="I3" i="4"/>
  <c r="BL15" i="3" s="1"/>
  <c r="K3" i="4"/>
  <c r="BL55" i="3" s="1"/>
  <c r="E3" i="4"/>
  <c r="BL67" i="3" s="1"/>
  <c r="D3" i="4"/>
  <c r="BL51" i="3" s="1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S52" i="3"/>
  <c r="BS69" i="3"/>
  <c r="BZ65" i="3" s="1"/>
  <c r="CG56" i="3" s="1"/>
  <c r="BS68" i="3"/>
  <c r="BZ49" i="3" l="1"/>
  <c r="CG55" i="3" s="1"/>
  <c r="CN49" i="3" s="1"/>
  <c r="CN38" i="3" l="1"/>
  <c r="CK6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<sst xmlns="http://schemas.openxmlformats.org/spreadsheetml/2006/main" count="9786" uniqueCount="3698">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</sst>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CP38" sqref="CP38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0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3</v>
      </c>
      <c r="AL8" s="123">
        <f>AI8-AJ8</f>
        <v>3</v>
      </c>
      <c r="AM8" s="123">
        <f>AL8-AL12</f>
        <v>5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90000009.191316694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6 - 3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3</v>
      </c>
      <c r="AJ9" s="123">
        <f>SUMIF($E$7:$E$78,$AE9,$G$7:$G$78) + SUMIF($H$7:$H$78,$AE9,$F$7:$F$78)</f>
        <v>5</v>
      </c>
      <c r="AL9" s="123">
        <f>AI9-AJ9</f>
        <v>-2</v>
      </c>
      <c r="AM9" s="123">
        <f>AL9-AL12</f>
        <v>0</v>
      </c>
      <c r="AN9" s="123">
        <f>AF9*3+AG9</f>
        <v>1</v>
      </c>
      <c r="AO9" s="123">
        <f>AN9/AN12*10+BA9</f>
        <v>1</v>
      </c>
      <c r="AP9" s="123">
        <f>AO9*10000000+BI9*100+AM9/AM12*10+AI9/AI12*1++IF(AQ9=0,ROW(),AQ9)/2000000</f>
        <v>10000000.429286294</v>
      </c>
      <c r="AQ9" s="126">
        <f>VLOOKUP(AE9,db_fifarank,2,FALSE)</f>
        <v>1429.73</v>
      </c>
      <c r="AR9" s="125">
        <f>AP9/AP12</f>
        <v>0.11111110329908724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3</v>
      </c>
      <c r="G10" s="20">
        <v>2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3 - 3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0</v>
      </c>
      <c r="AH10" s="123">
        <f>COUNTIF($S$7:$T$78,"=" &amp; AE10 &amp; "_lose")</f>
        <v>2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4</v>
      </c>
      <c r="AL10" s="123">
        <f>AI10-AJ10</f>
        <v>-1</v>
      </c>
      <c r="AM10" s="123">
        <f>AL10-AL12</f>
        <v>1</v>
      </c>
      <c r="AN10" s="123">
        <f>AF10*3+AG10</f>
        <v>3</v>
      </c>
      <c r="AO10" s="123">
        <f>AN10/AN12*10+BA10</f>
        <v>3</v>
      </c>
      <c r="AP10" s="123">
        <f>AO10*10000000+BI10*100+AM10/AM12*10+AI10/AI12*1++IF(AQ10=0,ROW(),AQ10)/2000000</f>
        <v>30000002.096032426</v>
      </c>
      <c r="AQ10" s="126">
        <f>VLOOKUP(AE10,db_fifarank,2,FALSE)</f>
        <v>1588.66</v>
      </c>
      <c r="AR10" s="125">
        <f>AP10/AP12</f>
        <v>0.33333331887696677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1</v>
      </c>
      <c r="BN10" s="63">
        <v>2</v>
      </c>
      <c r="BO10" s="25"/>
      <c r="BP10" s="112">
        <f>IF(OR(BM10="",BM11="",AND(BN10="",BN11&lt;&gt;""),AND(BN11="",BN10&lt;&gt;""),AND(BO10="",BO11&lt;&gt;""),AND(BO11="",BO10&lt;&gt;"")),"",BM10*1000+BN10*10+BO10)</f>
        <v>1020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3 - 4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3</v>
      </c>
      <c r="AL11" s="123">
        <f>AI11-AJ11</f>
        <v>0</v>
      </c>
      <c r="AM11" s="123">
        <f>AL11-AL12</f>
        <v>2</v>
      </c>
      <c r="AN11" s="123">
        <f>AF11*3+AG11</f>
        <v>4</v>
      </c>
      <c r="AO11" s="123">
        <f>AN11/AN12*10+BA11</f>
        <v>4</v>
      </c>
      <c r="AP11" s="123">
        <f>AO11*10000000+BI11*100+AM11/AM12*10+AI11/AI12*1++IF(AQ11=0,ROW(),AQ11)/2000000</f>
        <v>40000003.762655452</v>
      </c>
      <c r="AQ11" s="126">
        <f>VLOOKUP(AE11,db_fifarank,2,FALSE)</f>
        <v>1501.38</v>
      </c>
      <c r="AR11" s="125">
        <f>AP11/AP12</f>
        <v>0.44444443592423838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Scotland</v>
      </c>
      <c r="BM11" s="62">
        <v>1</v>
      </c>
      <c r="BN11" s="64">
        <v>1</v>
      </c>
      <c r="BO11" s="27"/>
      <c r="BP11" s="113">
        <f>IF(BP10="","",BM11*1000+BN11*10+BO11)</f>
        <v>1010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3 - 5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3</v>
      </c>
      <c r="AI12" s="123">
        <f>MAX(AI8:AI11)+1</f>
        <v>7</v>
      </c>
      <c r="AL12" s="123">
        <f>MIN(AL8:AL11)</f>
        <v>-2</v>
      </c>
      <c r="AM12" s="123">
        <f>MAX(AM8:AM11)+1</f>
        <v>6</v>
      </c>
      <c r="AN12" s="123">
        <f>MAX(AN8:AN11)+1</f>
        <v>10</v>
      </c>
      <c r="AO12" s="123">
        <f>MAX(AO8:AO11)+1</f>
        <v>10</v>
      </c>
      <c r="AP12" s="123">
        <f>MAX(AP8:AP11)+1</f>
        <v>90000010.191316694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>
        <v>1</v>
      </c>
      <c r="BV12" s="25">
        <v>4</v>
      </c>
      <c r="BW12" s="112">
        <f>IF(OR(BT12="",BT13="",AND(BU12="",BU13&lt;&gt;""),AND(BU13="",BU12&lt;&gt;""),AND(BV12="",BV13&lt;&gt;""),AND(BV13="",BV12&lt;&gt;"")),"",BT12*1000+BU12*10+BV12)</f>
        <v>1014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1</v>
      </c>
      <c r="BU13" s="64">
        <v>1</v>
      </c>
      <c r="BV13" s="27">
        <v>5</v>
      </c>
      <c r="BW13" s="113">
        <f>IF(BW12="","",BT13*1000+BU13*10+BV13)</f>
        <v>1015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3</v>
      </c>
      <c r="AL14" s="123">
        <f>AI14-AJ14</f>
        <v>2</v>
      </c>
      <c r="AM14" s="123">
        <f>AL14-AL18</f>
        <v>10</v>
      </c>
      <c r="AN14" s="123">
        <f>AF14*3+AG14</f>
        <v>5</v>
      </c>
      <c r="AO14" s="123">
        <f>AN14/AN18*10+BA14</f>
        <v>6.25</v>
      </c>
      <c r="AP14" s="123">
        <f>AO14*10000000+BI14*100+AM14/AM18*10+AI14/AI18*1++IF(AQ14=0,ROW(),AQ14)/2000000</f>
        <v>62500008.407371655</v>
      </c>
      <c r="AQ14" s="126">
        <f>VLOOKUP(AE14,db_fifarank,2,FALSE)</f>
        <v>1556.48</v>
      </c>
      <c r="AR14" s="125">
        <f>AP14/AP18</f>
        <v>0.71428571984966072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2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6 - 2</v>
      </c>
      <c r="P15" s="32">
        <f>L15*3+M15</f>
        <v>7</v>
      </c>
      <c r="R15" s="123">
        <f>DATE(2026,6,14)+TIME(12,0,0)+gmt_delta</f>
        <v>46187.958333333336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5</v>
      </c>
      <c r="AJ15" s="123">
        <f>SUMIF($E$7:$E$78,$AE15,$G$7:$G$78) + SUMIF($H$7:$H$78,$AE15,$F$7:$F$78)</f>
        <v>3</v>
      </c>
      <c r="AL15" s="123">
        <f>AI15-AJ15</f>
        <v>2</v>
      </c>
      <c r="AM15" s="123">
        <f>AL15-AL18</f>
        <v>10</v>
      </c>
      <c r="AN15" s="123">
        <f>AF15*3+AG15</f>
        <v>4</v>
      </c>
      <c r="AO15" s="123">
        <f>AN15/AN18*10+BA15</f>
        <v>5</v>
      </c>
      <c r="AP15" s="123">
        <f>AO15*10000000+BI15*100+AM15/AM18*10+AI15/AI18*1++IF(AQ15=0,ROW(),AQ15)/2000000</f>
        <v>50000008.407286331</v>
      </c>
      <c r="AQ15" s="126">
        <f>VLOOKUP(AE15,db_fifarank,2,FALSE)</f>
        <v>1385.84</v>
      </c>
      <c r="AR15" s="125">
        <f>AP15/AP18</f>
        <v>0.57142859509560051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5 - 3</v>
      </c>
      <c r="P16" s="34">
        <f>L16*3+M16</f>
        <v>5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9</v>
      </c>
      <c r="AL16" s="123">
        <f>AI16-AJ16</f>
        <v>-8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0.14358462285714285</v>
      </c>
      <c r="AQ16" s="126">
        <f>VLOOKUP(AE16,db_fifarank,2,FALSE)</f>
        <v>1454.96</v>
      </c>
      <c r="AR16" s="125">
        <f>AP16/AP18</f>
        <v>1.6409669104102024E-9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0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5 - 3</v>
      </c>
      <c r="P17" s="34">
        <f>L17*3+M17</f>
        <v>4</v>
      </c>
      <c r="R17" s="123">
        <f>DATE(2026,6,14)+TIME(9,0,0)+gmt_delta</f>
        <v>46187.833333333336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2</v>
      </c>
      <c r="W17" s="123">
        <f t="shared" si="4"/>
        <v>2</v>
      </c>
      <c r="X17" s="123">
        <f t="shared" si="9"/>
        <v>1</v>
      </c>
      <c r="Y17" s="123">
        <f t="shared" si="10"/>
        <v>2</v>
      </c>
      <c r="Z17" s="123">
        <f t="shared" si="11"/>
        <v>2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2</v>
      </c>
      <c r="AL17" s="123">
        <f>AI17-AJ17</f>
        <v>4</v>
      </c>
      <c r="AM17" s="123">
        <f>AL17-AL18</f>
        <v>12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87500010.088736787</v>
      </c>
      <c r="AQ17" s="126">
        <f>VLOOKUP(AE17,db_fifarank,2,FALSE)</f>
        <v>1649.4</v>
      </c>
      <c r="AR17" s="125">
        <f>AP17/AP18</f>
        <v>0.99999998857143002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Brazil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3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1 - 9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7</v>
      </c>
      <c r="AL18" s="123">
        <f>MIN(AL14:AL17)</f>
        <v>-8</v>
      </c>
      <c r="AM18" s="123">
        <f>MAX(AM14:AM17)+1</f>
        <v>13</v>
      </c>
      <c r="AN18" s="123">
        <f>MAX(AN14:AN17)+1</f>
        <v>8</v>
      </c>
      <c r="AO18" s="123">
        <f>MAX(AO14:AO17)+1</f>
        <v>9.75</v>
      </c>
      <c r="AP18" s="123">
        <f>MAX(AP14:AP17)+1</f>
        <v>87500011.088736787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Czech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1</v>
      </c>
      <c r="G19" s="20">
        <v>3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5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6</v>
      </c>
      <c r="AJ20" s="123">
        <f>SUMIF($E$7:$E$78,$AE20,$G$7:$G$78) + SUMIF($H$7:$H$78,$AE20,$F$7:$F$78)</f>
        <v>2</v>
      </c>
      <c r="AL20" s="123">
        <f>AI20-AJ20</f>
        <v>4</v>
      </c>
      <c r="AM20" s="123">
        <f>AL20-AL24</f>
        <v>12</v>
      </c>
      <c r="AN20" s="123">
        <f>AF20*3+AG20</f>
        <v>7</v>
      </c>
      <c r="AO20" s="123">
        <f>AN20/AN24*10+BA20</f>
        <v>9.7305825242718456</v>
      </c>
      <c r="AP20" s="123">
        <f>AO20*10000000+BI20*100+AM20/AM24*10+AI20/AI24*1++IF(AQ20=0,ROW(),AQ20)/2000000</f>
        <v>97305933.282620698</v>
      </c>
      <c r="AQ20" s="126">
        <f>VLOOKUP(AE20,db_fifarank,2,FALSE)</f>
        <v>1761.16</v>
      </c>
      <c r="AR20" s="125">
        <f>AP20/AP24</f>
        <v>0.99999998843855353</v>
      </c>
      <c r="AS20" s="125" t="str">
        <f>IF(SUM(AF20:AH23)=12,J21,"1C")</f>
        <v>Morocco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Czech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Morocco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7 - 3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1</v>
      </c>
      <c r="W21" s="123">
        <f t="shared" si="4"/>
        <v>1</v>
      </c>
      <c r="X21" s="123">
        <f t="shared" si="9"/>
        <v>1</v>
      </c>
      <c r="Y21" s="123">
        <f t="shared" si="10"/>
        <v>1</v>
      </c>
      <c r="Z21" s="123">
        <f t="shared" si="11"/>
        <v>1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1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3</v>
      </c>
      <c r="AL21" s="123">
        <f>AI21-AJ21</f>
        <v>4</v>
      </c>
      <c r="AM21" s="123">
        <f>AL21-AL24</f>
        <v>12</v>
      </c>
      <c r="AN21" s="123">
        <f>AF21*3+AG21</f>
        <v>7</v>
      </c>
      <c r="AO21" s="123">
        <f>AN21/AN24*10+BA21</f>
        <v>9.7305825242718456</v>
      </c>
      <c r="AP21" s="123">
        <f>AO21*10000000+BI21*100+AM21/AM24*10+AI21/AI24*1++IF(AQ21=0,ROW(),AQ21)/2000000</f>
        <v>97305933.407618046</v>
      </c>
      <c r="AQ21" s="126">
        <f>VLOOKUP(AE21,db_fifarank,2,FALSE)</f>
        <v>1755.87</v>
      </c>
      <c r="AR21" s="125">
        <f>AP21/AP24</f>
        <v>0.99999998972313453</v>
      </c>
      <c r="AS21" s="125" t="str">
        <f>IF(SUM(AF20:AH23)=12,J22,"2C")</f>
        <v>Brazil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Brazil</v>
      </c>
      <c r="BT21" s="62">
        <v>3</v>
      </c>
      <c r="BU21" s="64"/>
      <c r="BV21" s="27"/>
      <c r="BW21" s="112">
        <f>IF(BW20="","",BT21*1000+BU21*10+BV21)</f>
        <v>3000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1</v>
      </c>
      <c r="G22" s="20">
        <v>2</v>
      </c>
      <c r="H22" s="80" t="str">
        <f>AE45</f>
        <v>Egypt</v>
      </c>
      <c r="J22" s="33" t="str">
        <f>VLOOKUP(2,AD20:AN23,2,FALSE)</f>
        <v>Brazil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6 - 2</v>
      </c>
      <c r="P22" s="34">
        <f>L22*3+M22</f>
        <v>7</v>
      </c>
      <c r="R22" s="123">
        <f>DATE(2026,6,15)+TIME(8,0,0)+gmt_delta</f>
        <v>46188.791666666672</v>
      </c>
      <c r="S22" s="127" t="str">
        <f t="shared" si="1"/>
        <v>Belgium_lose</v>
      </c>
      <c r="T22" s="127" t="str">
        <f t="shared" si="2"/>
        <v>Egypt_win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-1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9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0.125645855</v>
      </c>
      <c r="AQ22" s="126">
        <f>VLOOKUP(AE22,db_fifarank,2,FALSE)</f>
        <v>1291.71</v>
      </c>
      <c r="AR22" s="125">
        <f>AP22/AP24</f>
        <v>1.2912455521331825E-9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1</v>
      </c>
      <c r="BN22" s="63">
        <v>2</v>
      </c>
      <c r="BO22" s="25">
        <v>2</v>
      </c>
      <c r="BP22" s="116">
        <f>IF(OR(BM22="",BM23="",AND(BN22="",BN23&lt;&gt;""),AND(BN23="",BN22&lt;&gt;""),AND(BO22="",BO23&lt;&gt;""),AND(BO23="",BO22&lt;&gt;"")),"",BM22*1000+BN22*10+BO22)</f>
        <v>1022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4 - 4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4</v>
      </c>
      <c r="AL23" s="123">
        <f>AI23-AJ23</f>
        <v>0</v>
      </c>
      <c r="AM23" s="123">
        <f>AL23-AL24</f>
        <v>8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37500006.65459533</v>
      </c>
      <c r="AQ23" s="126">
        <f>VLOOKUP(AE23,db_fifarank,2,FALSE)</f>
        <v>1498.35</v>
      </c>
      <c r="AR23" s="125">
        <f>AP23/AP24</f>
        <v>0.38538252453860067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Brazil</v>
      </c>
      <c r="BM23" s="62">
        <v>1</v>
      </c>
      <c r="BN23" s="64">
        <v>2</v>
      </c>
      <c r="BO23" s="27">
        <v>4</v>
      </c>
      <c r="BP23" s="112">
        <f>IF(BP22="","",BM23*1000+BN23*10+BO23)</f>
        <v>1024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Brazil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1</v>
      </c>
      <c r="G24" s="20">
        <v>4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1 - 9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8</v>
      </c>
      <c r="AL24" s="123">
        <f>MIN(AL20:AL23)</f>
        <v>-8</v>
      </c>
      <c r="AM24" s="123">
        <f>MAX(AM20:AM23)+1</f>
        <v>13</v>
      </c>
      <c r="AN24" s="123">
        <f>MAX(AN20:AN23)+1</f>
        <v>8</v>
      </c>
      <c r="AO24" s="123">
        <f>MAX(AO20:AO23)+1</f>
        <v>10.730582524271846</v>
      </c>
      <c r="AP24" s="123">
        <f>MAX(AP20:AP23)+1</f>
        <v>97305934.407618046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3</v>
      </c>
      <c r="CI24" s="64"/>
      <c r="CJ24" s="27"/>
      <c r="CK24" s="113">
        <f>IF(CK23="","",CH24*1000+CI24*10+CJ24)</f>
        <v>3000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7</v>
      </c>
      <c r="AJ26" s="123">
        <f>SUMIF($E$7:$E$78,$AE26,$G$7:$G$78) + SUMIF($H$7:$H$78,$AE26,$F$7:$F$78)</f>
        <v>5</v>
      </c>
      <c r="AL26" s="123">
        <f>AI26-AJ26</f>
        <v>2</v>
      </c>
      <c r="AM26" s="123">
        <f>AL26-AL30</f>
        <v>5</v>
      </c>
      <c r="AN26" s="123">
        <f>AF26*3+AG26</f>
        <v>7</v>
      </c>
      <c r="AO26" s="123">
        <f>AN26/AN30*10+BA26</f>
        <v>8.75</v>
      </c>
      <c r="AP26" s="123">
        <f>AO26*10000000+BI26*100+AM26/AM30*10+AI26/AI30*1++IF(AQ26=0,ROW(),AQ26)/2000000</f>
        <v>87500008.018693715</v>
      </c>
      <c r="AQ26" s="126">
        <f>VLOOKUP(AE26,db_fifarank,2,FALSE)</f>
        <v>1673.13</v>
      </c>
      <c r="AR26" s="125">
        <f>AP26/AP30</f>
        <v>0.9999999885714298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7 - 5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5</v>
      </c>
      <c r="AJ27" s="123">
        <f>SUMIF($E$7:$E$78,$AE27,$G$7:$G$78) + SUMIF($H$7:$H$78,$AE27,$F$7:$F$78)</f>
        <v>8</v>
      </c>
      <c r="AL27" s="123">
        <f>AI27-AJ27</f>
        <v>-3</v>
      </c>
      <c r="AM27" s="123">
        <f>AL27-AL30</f>
        <v>0</v>
      </c>
      <c r="AN27" s="123">
        <f>AF27*3+AG27</f>
        <v>1</v>
      </c>
      <c r="AO27" s="123">
        <f>AN27/AN30*10+BA27</f>
        <v>1.25</v>
      </c>
      <c r="AP27" s="123">
        <f>AO27*10000000+BI27*100+AM27/AM30*10+AI27/AI30*1++IF(AQ27=0,ROW(),AQ27)/2000000</f>
        <v>12500000.625751751</v>
      </c>
      <c r="AQ27" s="126">
        <f>VLOOKUP(AE27,db_fifarank,2,FALSE)</f>
        <v>1503.5</v>
      </c>
      <c r="AR27" s="125">
        <f>AP27/AP30</f>
        <v>0.1428571352841943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Ghana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1</v>
      </c>
      <c r="G28" s="20">
        <v>0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6 - 3</v>
      </c>
      <c r="P28" s="34">
        <f>L28*3+M28</f>
        <v>6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2</v>
      </c>
      <c r="AH28" s="123">
        <f>COUNTIF($S$7:$T$78,"=" &amp; AE28 &amp; "_lose")</f>
        <v>1</v>
      </c>
      <c r="AI28" s="123">
        <f>SUMIF($E$7:$E$78,$AE28,$F$7:$F$78) + SUMIF($H$7:$H$78,$AE28,$G$7:$G$78)</f>
        <v>4</v>
      </c>
      <c r="AJ28" s="123">
        <f>SUMIF($E$7:$E$78,$AE28,$G$7:$G$78) + SUMIF($H$7:$H$78,$AE28,$F$7:$F$78)</f>
        <v>6</v>
      </c>
      <c r="AL28" s="123">
        <f>AI28-AJ28</f>
        <v>-2</v>
      </c>
      <c r="AM28" s="123">
        <f>AL28-AL30</f>
        <v>1</v>
      </c>
      <c r="AN28" s="123">
        <f>AF28*3+AG28</f>
        <v>2</v>
      </c>
      <c r="AO28" s="123">
        <f>AN28/AN30*10+BA28</f>
        <v>2.5</v>
      </c>
      <c r="AP28" s="123">
        <f>AO28*10000000+BI28*100+AM28/AM30*10+AI28/AI30*1++IF(AQ28=0,ROW(),AQ28)/2000000</f>
        <v>25000001.929361764</v>
      </c>
      <c r="AQ28" s="126">
        <f>VLOOKUP(AE28,db_fifarank,2,FALSE)</f>
        <v>1580.67</v>
      </c>
      <c r="AR28" s="125">
        <f>AP28/AP30</f>
        <v>0.28571427831533941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4</v>
      </c>
      <c r="G29" s="20">
        <v>2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4 - 6</v>
      </c>
      <c r="P29" s="34">
        <f>L29*3+M29</f>
        <v>2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3</v>
      </c>
      <c r="AL29" s="123">
        <f>AI29-AJ29</f>
        <v>3</v>
      </c>
      <c r="AM29" s="123">
        <f>AL29-AL30</f>
        <v>6</v>
      </c>
      <c r="AN29" s="123">
        <f>AF29*3+AG29</f>
        <v>6</v>
      </c>
      <c r="AO29" s="123">
        <f>AN29/AN30*10+BA29</f>
        <v>7.5</v>
      </c>
      <c r="AP29" s="123">
        <f>AO29*10000000+BI29*100+AM29/AM30*10+AI29/AI30*1++IF(AQ29=0,ROW(),AQ29)/2000000</f>
        <v>75000009.322228089</v>
      </c>
      <c r="AQ29" s="126">
        <f>VLOOKUP(AE29,db_fifarank,2,FALSE)</f>
        <v>1599.04</v>
      </c>
      <c r="AR29" s="125">
        <f>AP29/AP30</f>
        <v>0.85714287533621747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5 - 8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8</v>
      </c>
      <c r="AL30" s="123">
        <f>MIN(AL26:AL29)</f>
        <v>-3</v>
      </c>
      <c r="AM30" s="123">
        <f>MAX(AM26:AM29)+1</f>
        <v>7</v>
      </c>
      <c r="AN30" s="123">
        <f>MAX(AN26:AN29)+1</f>
        <v>8</v>
      </c>
      <c r="AO30" s="123">
        <f>MAX(AO26:AO29)+1</f>
        <v>9.75</v>
      </c>
      <c r="AP30" s="123">
        <f>MAX(AP26:AP29)+1</f>
        <v>87500009.018693715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4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2</v>
      </c>
      <c r="AL32" s="123">
        <f>AI32-AJ32</f>
        <v>8</v>
      </c>
      <c r="AM32" s="123">
        <f>AL32-AL36</f>
        <v>18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90000010.383640304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3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10 - 2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11</v>
      </c>
      <c r="AL33" s="123">
        <f>AI33-AJ33</f>
        <v>-10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9.1556415909090916E-2</v>
      </c>
      <c r="AQ33" s="126">
        <f>VLOOKUP(AE33,db_fifarank,2,FALSE)</f>
        <v>1294.6500000000001</v>
      </c>
      <c r="AR33" s="125">
        <f>AP33/AP36</f>
        <v>1.0172933814287664E-9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Egypt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5 - 4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0</v>
      </c>
      <c r="AH34" s="123">
        <f>COUNTIF($S$7:$T$78,"=" &amp; AE34 &amp; "_lose")</f>
        <v>1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4</v>
      </c>
      <c r="AL34" s="123">
        <f>AI34-AJ34</f>
        <v>1</v>
      </c>
      <c r="AM34" s="123">
        <f>AL34-AL36</f>
        <v>11</v>
      </c>
      <c r="AN34" s="123">
        <f>AF34*3+AG34</f>
        <v>6</v>
      </c>
      <c r="AO34" s="123">
        <f>AN34/AN36*10+BA34</f>
        <v>6</v>
      </c>
      <c r="AP34" s="123">
        <f>AO34*10000000+BI34*100+AM34/AM36*10+AI34/AI36*1++IF(AQ34=0,ROW(),AQ34)/2000000</f>
        <v>60000006.244785629</v>
      </c>
      <c r="AQ34" s="126">
        <f>VLOOKUP(AE34,db_fifarank,2,FALSE)</f>
        <v>1532.98</v>
      </c>
      <c r="AR34" s="125">
        <f>AP34/AP36</f>
        <v>0.66666665172991402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6 - 5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0</v>
      </c>
      <c r="AH35" s="123">
        <f>COUNTIF($S$7:$T$78,"=" &amp; AE35 &amp; "_lose")</f>
        <v>2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5</v>
      </c>
      <c r="AL35" s="123">
        <f>AI35-AJ35</f>
        <v>1</v>
      </c>
      <c r="AM35" s="123">
        <f>AL35-AL36</f>
        <v>11</v>
      </c>
      <c r="AN35" s="123">
        <f>AF35*3+AG35</f>
        <v>3</v>
      </c>
      <c r="AO35" s="123">
        <f>AN35/AN36*10+BA35</f>
        <v>3</v>
      </c>
      <c r="AP35" s="123">
        <f>AO35*10000000+BI35*100+AM35/AM36*10+AI35/AI36*1++IF(AQ35=0,ROW(),AQ35)/2000000</f>
        <v>30000006.33572562</v>
      </c>
      <c r="AQ35" s="126">
        <f>VLOOKUP(AE35,db_fifarank,2,FALSE)</f>
        <v>1594.78</v>
      </c>
      <c r="AR35" s="125">
        <f>AP35/AP36</f>
        <v>0.33333336156865034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1 - 11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11</v>
      </c>
      <c r="AL36" s="123">
        <f>MIN(AL32:AL35)</f>
        <v>-10</v>
      </c>
      <c r="AM36" s="123">
        <f>MAX(AM32:AM35)+1</f>
        <v>19</v>
      </c>
      <c r="AN36" s="123">
        <f>MAX(AN32:AN35)+1</f>
        <v>10</v>
      </c>
      <c r="AO36" s="123">
        <f>MAX(AO32:AO35)+1</f>
        <v>10</v>
      </c>
      <c r="AP36" s="123">
        <f>MAX(AP32:AP35)+1</f>
        <v>90000011.383640304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1</v>
      </c>
      <c r="BU36" s="63">
        <v>2</v>
      </c>
      <c r="BV36" s="25">
        <v>2</v>
      </c>
      <c r="BW36" s="116">
        <f>IF(OR(BT36="",BT37="",AND(BU36="",BU37&lt;&gt;""),AND(BU37="",BU36&lt;&gt;""),AND(BV36="",BV37&lt;&gt;""),AND(BV37="",BV36&lt;&gt;"")),"",BT36*1000+BU36*10+BV36)</f>
        <v>1022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2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Egypt</v>
      </c>
      <c r="BT37" s="62">
        <v>1</v>
      </c>
      <c r="BU37" s="64">
        <v>2</v>
      </c>
      <c r="BV37" s="27">
        <v>4</v>
      </c>
      <c r="BW37" s="112">
        <f>IF(BW36="","",BT37*1000+BU37*10+BV37)</f>
        <v>1024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1</v>
      </c>
      <c r="CP37" s="63">
        <v>1</v>
      </c>
      <c r="CQ37" s="25"/>
      <c r="CR37" s="111">
        <f>IF(OR(CO37="",CO38="",AND(CP37="",CP38&lt;&gt;""),AND(CP38="",CP37&lt;&gt;""),AND(CQ37="",CQ38&lt;&gt;""),AND(CQ38="",CQ37&lt;&gt;"")),"",CO37*1000+CP37*10+CQ37)</f>
        <v>1010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3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4</v>
      </c>
      <c r="AL38" s="123">
        <f>AI38-AJ38</f>
        <v>3</v>
      </c>
      <c r="AM38" s="123">
        <f>AL38-AL42</f>
        <v>7</v>
      </c>
      <c r="AN38" s="123">
        <f>AF38*3+AG38</f>
        <v>7</v>
      </c>
      <c r="AO38" s="123">
        <f>AN38/AN42*10+BA38</f>
        <v>9.7306451612903224</v>
      </c>
      <c r="AP38" s="123">
        <f>AO38*10000000+BI38*100+AM38/AM42*10+AI38/AI42*1++IF(AQ38=0,ROW(),AQ38)/2000000</f>
        <v>97306559.30329828</v>
      </c>
      <c r="AQ38" s="126">
        <f>VLOOKUP(AE38,db_fifarank,2,FALSE)</f>
        <v>1757.87</v>
      </c>
      <c r="AR38" s="125">
        <f>AP38/AP42</f>
        <v>0.99999998972320059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2</v>
      </c>
      <c r="AW38" s="126" cm="1">
        <f t="array" ref="AW38">SUMPRODUCT(($E$7:$E$78=AE38)*($U$7:$U$78)*($G$7:$G$78))+SUMPRODUCT(($H$7:$H$78=AE38)*($U$7:$U$78)*($F$7:$F$78))</f>
        <v>2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50.666666666666664</v>
      </c>
      <c r="BA38" s="126">
        <f>AZ38/AZ42</f>
        <v>0.98064516129032253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2</v>
      </c>
      <c r="BE38" s="126" cm="1">
        <f t="array" ref="BE38">SUMPRODUCT(($E$7:$E$78=AE38)*($X$7:$X$78)*($G$7:$G$78))+SUMPRODUCT(($H$7:$H$78=AE38)*($X$7:$X$78)*($F$7:$F$78))</f>
        <v>2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50.666666666666664</v>
      </c>
      <c r="BI38" s="126">
        <f>BH38/BH42</f>
        <v>0.98064516129032253</v>
      </c>
      <c r="BK38" s="141">
        <v>82</v>
      </c>
      <c r="BL38" s="24" t="str">
        <f>AS44</f>
        <v>Egypt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England</v>
      </c>
      <c r="CO38" s="62">
        <v>1</v>
      </c>
      <c r="CP38" s="64">
        <v>2</v>
      </c>
      <c r="CQ38" s="27"/>
      <c r="CR38" s="111">
        <f>IF(CR37="","",CO38*1000+CP38*10+CQ38)</f>
        <v>1020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7 - 4</v>
      </c>
      <c r="P39" s="32">
        <f>L39*3+M39</f>
        <v>7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3</v>
      </c>
      <c r="AL39" s="123">
        <f>AI39-AJ39</f>
        <v>2</v>
      </c>
      <c r="AM39" s="123">
        <f>AL39-AL42</f>
        <v>6</v>
      </c>
      <c r="AN39" s="123">
        <f>AF39*3+AG39</f>
        <v>7</v>
      </c>
      <c r="AO39" s="123">
        <f>AN39/AN42*10+BA39</f>
        <v>9.7306451612903224</v>
      </c>
      <c r="AP39" s="123">
        <f>AO39*10000000+BI39*100+AM39/AM42*10+AI39/AI42*1++IF(AQ39=0,ROW(),AQ39)/2000000</f>
        <v>97306557.803249568</v>
      </c>
      <c r="AQ39" s="126">
        <f>VLOOKUP(AE39,db_fifarank,2,FALSE)</f>
        <v>1660.43</v>
      </c>
      <c r="AR39" s="125">
        <f>AP39/AP42</f>
        <v>0.99999997430750087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2</v>
      </c>
      <c r="AW39" s="126" cm="1">
        <f t="array" ref="AW39">SUMPRODUCT(($E$7:$E$78=AE39)*($U$7:$U$78)*($G$7:$G$78))+SUMPRODUCT(($H$7:$H$78=AE39)*($U$7:$U$78)*($F$7:$F$78))</f>
        <v>2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50.666666666666664</v>
      </c>
      <c r="BA39" s="126">
        <f>AZ39/AZ42</f>
        <v>0.98064516129032253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2</v>
      </c>
      <c r="BE39" s="126" cm="1">
        <f t="array" ref="BE39">SUMPRODUCT(($E$7:$E$78=AE39)*($X$7:$X$78)*($G$7:$G$78))+SUMPRODUCT(($H$7:$H$78=AE39)*($X$7:$X$78)*($F$7:$F$78))</f>
        <v>2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50.666666666666664</v>
      </c>
      <c r="BI39" s="126">
        <f>BH39/BH42</f>
        <v>0.98064516129032253</v>
      </c>
      <c r="BK39" s="142"/>
      <c r="BL39" s="26" t="str">
        <f>IF(group_round_completed,VLOOKUP('3rd places'!H3,AK80:AS91,9,FALSE),"3rd Group A/E/H/I/J")</f>
        <v>Korea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4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5 - 3</v>
      </c>
      <c r="P40" s="34">
        <f>L40*3+M40</f>
        <v>7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5</v>
      </c>
      <c r="AJ40" s="123">
        <f>SUMIF($E$7:$E$78,$AE40,$G$7:$G$78) + SUMIF($H$7:$H$78,$AE40,$F$7:$F$78)</f>
        <v>6</v>
      </c>
      <c r="AL40" s="123">
        <f>AI40-AJ40</f>
        <v>-1</v>
      </c>
      <c r="AM40" s="123">
        <f>AL40-AL42</f>
        <v>3</v>
      </c>
      <c r="AN40" s="123">
        <f>AF40*3+AG40</f>
        <v>3</v>
      </c>
      <c r="AO40" s="123">
        <f>AN40/AN42*10+BA40</f>
        <v>3.75</v>
      </c>
      <c r="AP40" s="123">
        <f>AO40*10000000+BI40*100+AM40/AM42*10+AI40/AI42*1++IF(AQ40=0,ROW(),AQ40)/2000000</f>
        <v>37500004.375757381</v>
      </c>
      <c r="AQ40" s="126">
        <f>VLOOKUP(AE40,db_fifarank,2,FALSE)</f>
        <v>1514.77</v>
      </c>
      <c r="AR40" s="125">
        <f>AP40/AP42</f>
        <v>0.38538002226029039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3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5 - 6</v>
      </c>
      <c r="P41" s="34">
        <f>L41*3+M41</f>
        <v>3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6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0.25074152500000002</v>
      </c>
      <c r="AQ41" s="126">
        <f>VLOOKUP(AE41,db_fifarank,2,FALSE)</f>
        <v>1483.05</v>
      </c>
      <c r="AR41" s="125">
        <f>AP41/AP42</f>
        <v>2.5768203522810265E-9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2 - 6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8</v>
      </c>
      <c r="AL42" s="123">
        <f>MIN(AL38:AL41)</f>
        <v>-4</v>
      </c>
      <c r="AM42" s="123">
        <f>MAX(AM38:AM41)+1</f>
        <v>8</v>
      </c>
      <c r="AN42" s="123">
        <f>MAX(AN38:AN41)+1</f>
        <v>8</v>
      </c>
      <c r="AO42" s="123">
        <f>MAX(AO38:AO41)+1</f>
        <v>10.730645161290322</v>
      </c>
      <c r="AP42" s="123">
        <f>MAX(AP38:AP41)+1</f>
        <v>97306560.30329828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3</v>
      </c>
      <c r="AW42" s="126">
        <f>MAX(AW38:AW41)-MIN(AW38:AW41)+1</f>
        <v>3</v>
      </c>
      <c r="AY42" s="126">
        <f>MAX(AY38:AY41)-MIN(AY38:AY41)+1</f>
        <v>1</v>
      </c>
      <c r="AZ42" s="126">
        <f>MAX(AZ38:AZ41)+1</f>
        <v>51.666666666666664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3</v>
      </c>
      <c r="BE42" s="126">
        <f>MAX(BE38:BE41)-MIN(BE38:BE41)+1</f>
        <v>3</v>
      </c>
      <c r="BG42" s="126">
        <f>MAX(BG38:BG41)-MIN(BG38:BG41)+1</f>
        <v>1</v>
      </c>
      <c r="BH42" s="126">
        <f>MAX(BH38:BH41)+1</f>
        <v>51.666666666666664</v>
      </c>
      <c r="BK42" s="141">
        <v>76</v>
      </c>
      <c r="BL42" s="24" t="str">
        <f>AS20</f>
        <v>Morocco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5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4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2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0</v>
      </c>
      <c r="AH44" s="123">
        <f>COUNTIF($S$7:$T$78,"=" &amp; AE44 &amp; "_lose")</f>
        <v>1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3</v>
      </c>
      <c r="AL44" s="123">
        <f>AI44-AJ44</f>
        <v>3</v>
      </c>
      <c r="AM44" s="123">
        <f>AL44-AL48</f>
        <v>6</v>
      </c>
      <c r="AN44" s="123">
        <f>AF44*3+AG44</f>
        <v>6</v>
      </c>
      <c r="AO44" s="123">
        <f>AN44/AN48*10+BA44</f>
        <v>6</v>
      </c>
      <c r="AP44" s="123">
        <f>AO44*10000000+BI44*100+AM44/AM48*10+AI44/AI48*1++IF(AQ44=0,ROW(),AQ44)/2000000</f>
        <v>60000009.429438785</v>
      </c>
      <c r="AQ44" s="126">
        <f>VLOOKUP(AE44,db_fifarank,2,FALSE)</f>
        <v>1734.71</v>
      </c>
      <c r="AR44" s="125">
        <f>AP44/AP48</f>
        <v>0.66666669418373858</v>
      </c>
      <c r="AS44" s="125" t="str">
        <f>IF(SUM(AF44:AH47)=12,J45,"1G")</f>
        <v>Egypt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Morocco</v>
      </c>
      <c r="BT44" s="61">
        <v>1</v>
      </c>
      <c r="BU44" s="63">
        <v>2</v>
      </c>
      <c r="BV44" s="25"/>
      <c r="BW44" s="112">
        <f>IF(OR(BT44="",BT45="",AND(BU44="",BU45&lt;&gt;""),AND(BU45="",BU44&lt;&gt;""),AND(BV44="",BV45&lt;&gt;""),AND(BV45="",BV44&lt;&gt;"")),"",BT44*1000+BU44*10+BV44)</f>
        <v>1020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3</v>
      </c>
      <c r="G45" s="20">
        <v>1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6 - 3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3</v>
      </c>
      <c r="AG45" s="123">
        <f>COUNTIF($S$7:$T$78,"=" &amp; AE45 &amp; "_draw")</f>
        <v>0</v>
      </c>
      <c r="AH45" s="123">
        <f>COUNTIF($S$7:$T$78,"=" &amp; AE45 &amp; "_lose")</f>
        <v>0</v>
      </c>
      <c r="AI45" s="123">
        <f>SUMIF($E$7:$E$78,$AE45,$F$7:$F$78) + SUMIF($H$7:$H$78,$AE45,$G$7:$G$78)</f>
        <v>6</v>
      </c>
      <c r="AJ45" s="123">
        <f>SUMIF($E$7:$E$78,$AE45,$G$7:$G$78) + SUMIF($H$7:$H$78,$AE45,$F$7:$F$78)</f>
        <v>3</v>
      </c>
      <c r="AL45" s="123">
        <f>AI45-AJ45</f>
        <v>3</v>
      </c>
      <c r="AM45" s="123">
        <f>AL45-AL48</f>
        <v>6</v>
      </c>
      <c r="AN45" s="123">
        <f>AF45*3+AG45</f>
        <v>9</v>
      </c>
      <c r="AO45" s="123">
        <f>AN45/AN48*10+BA45</f>
        <v>9</v>
      </c>
      <c r="AP45" s="123">
        <f>AO45*10000000+BI45*100+AM45/AM48*10+AI45/AI48*1++IF(AQ45=0,ROW(),AQ45)/2000000</f>
        <v>90000009.429353043</v>
      </c>
      <c r="AQ45" s="126">
        <f>VLOOKUP(AE45,db_fifarank,2,FALSE)</f>
        <v>1563.24</v>
      </c>
      <c r="AR45" s="125">
        <f>AP45/AP48</f>
        <v>0.99999998888889019</v>
      </c>
      <c r="AS45" s="125" t="str">
        <f>IF(SUM(AF44:AH47)=12,J46,"2G")</f>
        <v>Belgium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1</v>
      </c>
      <c r="BU45" s="64">
        <v>1</v>
      </c>
      <c r="BV45" s="27"/>
      <c r="BW45" s="113">
        <f>IF(BW44="","",BT45*1000+BU45*10+BV45)</f>
        <v>1010</v>
      </c>
      <c r="CK45" s="114"/>
      <c r="CM45" s="147"/>
      <c r="CN45" s="148"/>
      <c r="CO45" s="148"/>
      <c r="CP45" s="148"/>
      <c r="CQ45" s="149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1</v>
      </c>
      <c r="G46" s="20">
        <v>2</v>
      </c>
      <c r="H46" s="80" t="str">
        <f>AE45</f>
        <v>Egypt</v>
      </c>
      <c r="J46" s="33" t="str">
        <f>VLOOKUP(2,AD44:AN47,2,FALSE)</f>
        <v>Belgium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6 - 3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6</v>
      </c>
      <c r="AL46" s="123">
        <f>AI46-AJ46</f>
        <v>-3</v>
      </c>
      <c r="AM46" s="123">
        <f>AL46-AL48</f>
        <v>0</v>
      </c>
      <c r="AN46" s="123">
        <f>AF46*3+AG46</f>
        <v>1</v>
      </c>
      <c r="AO46" s="123">
        <f>AN46/AN48*10+BA46</f>
        <v>1.9805825242718447</v>
      </c>
      <c r="AP46" s="123">
        <f>AO46*10000000+BI46*100+AM46/AM48*10+AI46/AI48*1++IF(AQ46=0,ROW(),AQ46)/2000000</f>
        <v>19805923.730349954</v>
      </c>
      <c r="AQ46" s="126">
        <f>VLOOKUP(AE46,db_fifarank,2,FALSE)</f>
        <v>1615.3</v>
      </c>
      <c r="AR46" s="125">
        <f>AP46/AP48</f>
        <v>0.22006579372451221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41">
        <v>78</v>
      </c>
      <c r="BL46" s="24" t="str">
        <f>AS33</f>
        <v>Ivory Coast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3 - 6</v>
      </c>
      <c r="P47" s="34">
        <f>L47*3+M47</f>
        <v>1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2</v>
      </c>
      <c r="W47" s="123">
        <f t="shared" ref="W47:W78" si="22">U47*G47</f>
        <v>2</v>
      </c>
      <c r="X47" s="123">
        <f t="shared" si="9"/>
        <v>1</v>
      </c>
      <c r="Y47" s="123">
        <f t="shared" si="10"/>
        <v>2</v>
      </c>
      <c r="Z47" s="123">
        <f t="shared" si="11"/>
        <v>2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5</v>
      </c>
      <c r="AL47" s="123">
        <f>AI47-AJ47</f>
        <v>-3</v>
      </c>
      <c r="AM47" s="123">
        <f>AL47-AL48</f>
        <v>0</v>
      </c>
      <c r="AN47" s="123">
        <f>AF47*3+AG47</f>
        <v>1</v>
      </c>
      <c r="AO47" s="123">
        <f>AN47/AN48*10+BA47</f>
        <v>1.9805825242718447</v>
      </c>
      <c r="AP47" s="123">
        <f>AO47*10000000+BI47*100+AM47/AM48*10+AI47/AI48*1++IF(AQ47=0,ROW(),AQ47)/2000000</f>
        <v>19805923.587325945</v>
      </c>
      <c r="AQ47" s="126">
        <f>VLOOKUP(AE47,db_fifarank,2,FALSE)</f>
        <v>1281.57</v>
      </c>
      <c r="AR47" s="125">
        <f>AP47/AP48</f>
        <v>0.22006579213535674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50.5</v>
      </c>
      <c r="BA47" s="126">
        <f>AZ47/AZ48</f>
        <v>0.98058252427184467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50.5</v>
      </c>
      <c r="BI47" s="126">
        <f>BH47/BH48</f>
        <v>0.98058252427184467</v>
      </c>
      <c r="BK47" s="14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4</v>
      </c>
      <c r="G48" s="20">
        <v>1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2 - 5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7</v>
      </c>
      <c r="AL48" s="123">
        <f>MIN(AL44:AL47)</f>
        <v>-3</v>
      </c>
      <c r="AM48" s="123">
        <f>MAX(AM44:AM47)+1</f>
        <v>7</v>
      </c>
      <c r="AN48" s="123">
        <f>MAX(AN44:AN47)+1</f>
        <v>10</v>
      </c>
      <c r="AO48" s="123">
        <f>MAX(AO44:AO47)+1</f>
        <v>10</v>
      </c>
      <c r="AP48" s="123">
        <f>MAX(AP44:AP47)+1</f>
        <v>90000010.429353043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Morocco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41">
        <v>103</v>
      </c>
      <c r="CN48" s="24" t="str">
        <f>IF(CK23&gt;CK24,CG24,IF(CK23&lt;CK24,CG23,""))</f>
        <v>Brazil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2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Argentina_draw</v>
      </c>
      <c r="T49" s="127" t="str">
        <f t="shared" si="20"/>
        <v>Austria_draw</v>
      </c>
      <c r="U49" s="123">
        <f t="shared" si="8"/>
        <v>1</v>
      </c>
      <c r="V49" s="123">
        <f t="shared" si="21"/>
        <v>2</v>
      </c>
      <c r="W49" s="123">
        <f t="shared" si="22"/>
        <v>2</v>
      </c>
      <c r="X49" s="123">
        <f t="shared" si="9"/>
        <v>1</v>
      </c>
      <c r="Y49" s="123">
        <f t="shared" si="10"/>
        <v>2</v>
      </c>
      <c r="Z49" s="123">
        <f t="shared" si="11"/>
        <v>2</v>
      </c>
      <c r="AA49" s="123">
        <f t="shared" si="17"/>
        <v>0</v>
      </c>
      <c r="AB49" s="123">
        <f t="shared" si="23"/>
        <v>0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3</v>
      </c>
      <c r="CB49" s="64"/>
      <c r="CC49" s="27"/>
      <c r="CD49" s="113">
        <f>IF(CD48="","",CA49*1000+CB49*10+CC49)</f>
        <v>3000</v>
      </c>
      <c r="CK49" s="114"/>
      <c r="CL49" s="115"/>
      <c r="CM49" s="142"/>
      <c r="CN49" s="26" t="str">
        <f>IF(CK55&gt;CK56,CG56,IF(CK55&lt;CK56,CG55,""))</f>
        <v>Argentina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1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11</v>
      </c>
      <c r="AJ50" s="123">
        <f>SUMIF($E$7:$E$78,$AE50,$G$7:$G$78) + SUMIF($H$7:$H$78,$AE50,$F$7:$F$78)</f>
        <v>0</v>
      </c>
      <c r="AL50" s="123">
        <f>AI50-AJ50</f>
        <v>11</v>
      </c>
      <c r="AM50" s="123">
        <f>AL50-AL54</f>
        <v>21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90000010.463059425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1</v>
      </c>
      <c r="BN50" s="63">
        <v>1</v>
      </c>
      <c r="BO50" s="25">
        <v>4</v>
      </c>
      <c r="BP50" s="112">
        <f>IF(OR(BM50="",BM51="",AND(BN50="",BN51&lt;&gt;""),AND(BN51="",BN50&lt;&gt;""),AND(BO50="",BO51&lt;&gt;""),AND(BO51="",BO50&lt;&gt;"")),"",BM50*1000+BN50*10+BO50)</f>
        <v>1014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11 - 0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11</v>
      </c>
      <c r="AL51" s="123">
        <f>AI51-AJ51</f>
        <v>-10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19805923.384987272</v>
      </c>
      <c r="AQ51" s="126">
        <f>VLOOKUP(AE51,db_fifarank,2,FALSE)</f>
        <v>1366.13</v>
      </c>
      <c r="AR51" s="125">
        <f>AP51/AP54</f>
        <v>0.22006578735955637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42"/>
      <c r="BL51" s="26" t="str">
        <f>IF(group_round_completed,VLOOKUP('3rd places'!D3,AK80:AS91,9,FALSE),"3rd Group C/E/F/H/I")</f>
        <v>Ecuador</v>
      </c>
      <c r="BM51" s="62">
        <v>1</v>
      </c>
      <c r="BN51" s="64">
        <v>1</v>
      </c>
      <c r="BO51" s="27">
        <v>3</v>
      </c>
      <c r="BP51" s="113">
        <f>IF(BP50="","",BM51*1000+BN51*10+BO51)</f>
        <v>1013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1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8 - 3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Panama_draw</v>
      </c>
      <c r="T52" s="127" t="str">
        <f t="shared" si="20"/>
        <v>Croatia_draw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0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8</v>
      </c>
      <c r="AL52" s="123">
        <f>AI52-AJ52</f>
        <v>-6</v>
      </c>
      <c r="AM52" s="123">
        <f>AL52-AL54</f>
        <v>4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19805925.286530074</v>
      </c>
      <c r="AQ52" s="126">
        <f>VLOOKUP(AE52,db_fifarank,2,FALSE)</f>
        <v>1421.43</v>
      </c>
      <c r="AR52" s="125">
        <f>AP52/AP54</f>
        <v>0.22006580848780705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2 - 8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8</v>
      </c>
      <c r="AJ53" s="123">
        <f>SUMIF($E$7:$E$78,$AE53,$G$7:$G$78) + SUMIF($H$7:$H$78,$AE53,$F$7:$F$78)</f>
        <v>3</v>
      </c>
      <c r="AL53" s="123">
        <f>AI53-AJ53</f>
        <v>5</v>
      </c>
      <c r="AM53" s="123">
        <f>AL53-AL54</f>
        <v>15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60000007.485685021</v>
      </c>
      <c r="AQ53" s="126">
        <f>VLOOKUP(AE53,db_fifarank,2,FALSE)</f>
        <v>1673.07</v>
      </c>
      <c r="AR53" s="125">
        <f>AP53/AP54</f>
        <v>0.66666666492939364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1 - 11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12</v>
      </c>
      <c r="AL54" s="123">
        <f>MIN(AL50:AL53)</f>
        <v>-10</v>
      </c>
      <c r="AM54" s="123">
        <f>MAX(AM50:AM53)+1</f>
        <v>22</v>
      </c>
      <c r="AN54" s="123">
        <f>MAX(AN50:AN53)+1</f>
        <v>10</v>
      </c>
      <c r="AO54" s="123">
        <f>MAX(AO50:AO53)+1</f>
        <v>10</v>
      </c>
      <c r="AP54" s="123">
        <f>MAX(AP50:AP53)+1</f>
        <v>90000011.463059425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4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DR Congo</v>
      </c>
      <c r="BM55" s="62">
        <v>2</v>
      </c>
      <c r="BN55" s="64"/>
      <c r="BO55" s="27"/>
      <c r="BP55" s="112">
        <f>IF(BP54="","",BM55*1000+BN55*10+BO55)</f>
        <v>2000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1</v>
      </c>
      <c r="CI55" s="63">
        <v>2</v>
      </c>
      <c r="CJ55" s="25"/>
      <c r="CK55" s="116">
        <f>IF(OR(CH55="",CH56="",AND(CI55="",CI56&lt;&gt;""),AND(CI56="",CI55&lt;&gt;""),AND(CJ55="",CJ56&lt;&gt;""),AND(CJ56="",CJ55&lt;&gt;"")),"",CH55*1000+CI55*10+CJ55)</f>
        <v>1020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4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2</v>
      </c>
      <c r="AL56" s="123">
        <f>AI56-AJ56</f>
        <v>6</v>
      </c>
      <c r="AM56" s="123">
        <f>AL56-AL60</f>
        <v>13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90000010.175541833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1</v>
      </c>
      <c r="CI56" s="64">
        <v>1</v>
      </c>
      <c r="CJ56" s="27"/>
      <c r="CK56" s="112">
        <f>IF(CK55="","",CH56*1000+CI56*10+CJ56)</f>
        <v>1010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5</v>
      </c>
      <c r="AL57" s="123">
        <f>AI57-AJ57</f>
        <v>0</v>
      </c>
      <c r="AM57" s="123">
        <f>AL57-AL60</f>
        <v>7</v>
      </c>
      <c r="AN57" s="123">
        <f>AF57*3+AG57</f>
        <v>4</v>
      </c>
      <c r="AO57" s="123">
        <f>AN57/AN60*10+BA57</f>
        <v>4.9806451612903224</v>
      </c>
      <c r="AP57" s="123">
        <f>AO57*10000000+BI57*100+AM57/AM60*10+AI57/AI60*1++IF(AQ57=0,ROW(),AQ57)/2000000</f>
        <v>49806555.233819395</v>
      </c>
      <c r="AQ57" s="126">
        <f>VLOOKUP(AE57,db_fifarank,2,FALSE)</f>
        <v>1688.99</v>
      </c>
      <c r="AR57" s="125">
        <f>AP57/AP60</f>
        <v>0.55340610054673745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2</v>
      </c>
      <c r="AW57" s="126" cm="1">
        <f t="array" ref="AW57">SUMPRODUCT(($E$7:$E$78=AE57)*($U$7:$U$78)*($G$7:$G$78))+SUMPRODUCT(($H$7:$H$78=AE57)*($U$7:$U$78)*($F$7:$F$78))</f>
        <v>2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50.666666666666664</v>
      </c>
      <c r="BA57" s="126">
        <f>AZ57/AZ60</f>
        <v>0.98064516129032253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2</v>
      </c>
      <c r="BE57" s="126" cm="1">
        <f t="array" ref="BE57">SUMPRODUCT(($E$7:$E$78=AE57)*($X$7:$X$78)*($G$7:$G$78))+SUMPRODUCT(($H$7:$H$78=AE57)*($X$7:$X$78)*($F$7:$F$78))</f>
        <v>2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50.666666666666664</v>
      </c>
      <c r="BI57" s="126">
        <f>BH57/BH60</f>
        <v>0.98064516129032253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3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6 - 5</v>
      </c>
      <c r="P58" s="34">
        <f>L58*3+M58</f>
        <v>4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3</v>
      </c>
      <c r="AJ58" s="123">
        <f>SUMIF($E$7:$E$78,$AE58,$G$7:$G$78) + SUMIF($H$7:$H$78,$AE58,$F$7:$F$78)</f>
        <v>10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0.33405690333333332</v>
      </c>
      <c r="AQ58" s="126">
        <f>VLOOKUP(AE58,db_fifarank,2,FALSE)</f>
        <v>1447.14</v>
      </c>
      <c r="AR58" s="125">
        <f>AP58/AP60</f>
        <v>3.7117429094732797E-9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5 - 5</v>
      </c>
      <c r="P59" s="34">
        <f>L59*3+M59</f>
        <v>4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5</v>
      </c>
      <c r="AL59" s="123">
        <f>AI59-AJ59</f>
        <v>1</v>
      </c>
      <c r="AM59" s="123">
        <f>AL59-AL60</f>
        <v>8</v>
      </c>
      <c r="AN59" s="123">
        <f>AF59*3+AG59</f>
        <v>4</v>
      </c>
      <c r="AO59" s="123">
        <f>AN59/AN60*10+BA59</f>
        <v>4.9806451612903224</v>
      </c>
      <c r="AP59" s="123">
        <f>AO59*10000000+BI59*100+AM59/AM60*10+AI59/AI60*1++IF(AQ59=0,ROW(),AQ59)/2000000</f>
        <v>49806556.059147201</v>
      </c>
      <c r="AQ59" s="126">
        <f>VLOOKUP(AE59,db_fifarank,2,FALSE)</f>
        <v>1550.94</v>
      </c>
      <c r="AR59" s="125">
        <f>AP59/AP60</f>
        <v>0.55340610971704529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2</v>
      </c>
      <c r="AW59" s="126" cm="1">
        <f t="array" ref="AW59">SUMPRODUCT(($E$7:$E$78=AE59)*($U$7:$U$78)*($G$7:$G$78))+SUMPRODUCT(($H$7:$H$78=AE59)*($U$7:$U$78)*($F$7:$F$78))</f>
        <v>2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50.666666666666664</v>
      </c>
      <c r="BA59" s="126">
        <f>AZ59/AZ60</f>
        <v>0.98064516129032253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2</v>
      </c>
      <c r="BE59" s="126" cm="1">
        <f t="array" ref="BE59">SUMPRODUCT(($E$7:$E$78=AE59)*($X$7:$X$78)*($G$7:$G$78))+SUMPRODUCT(($H$7:$H$78=AE59)*($X$7:$X$78)*($F$7:$F$78))</f>
        <v>2</v>
      </c>
      <c r="BF59" s="126">
        <f>BD59-BE59</f>
        <v>0</v>
      </c>
      <c r="BG59" s="126">
        <f>BF59-MIN(BF56:BF59)</f>
        <v>0</v>
      </c>
      <c r="BH59" s="126">
        <f t="shared" si="26"/>
        <v>50.666666666666664</v>
      </c>
      <c r="BI59" s="126">
        <f>BH59/BH60</f>
        <v>0.98064516129032253</v>
      </c>
      <c r="BK59" s="14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3 - 10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9</v>
      </c>
      <c r="AL60" s="123">
        <f>MIN(AL56:AL59)</f>
        <v>-7</v>
      </c>
      <c r="AM60" s="123">
        <f>MAX(AM56:AM59)+1</f>
        <v>14</v>
      </c>
      <c r="AN60" s="123">
        <f>MAX(AN56:AN59)+1</f>
        <v>10</v>
      </c>
      <c r="AO60" s="123">
        <f>MAX(AO56:AO59)+1</f>
        <v>10</v>
      </c>
      <c r="AP60" s="123">
        <f>MAX(AP56:AP59)+1</f>
        <v>90000011.175541833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1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Belgium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2</v>
      </c>
      <c r="AL62" s="123">
        <f>AI62-AJ62</f>
        <v>5</v>
      </c>
      <c r="AM62" s="123">
        <f>AL62-AL66</f>
        <v>9</v>
      </c>
      <c r="AN62" s="123">
        <f>AF62*3+AG62</f>
        <v>7</v>
      </c>
      <c r="AO62" s="123">
        <f>AN62/AN66*10+BA62</f>
        <v>9.7306451612903224</v>
      </c>
      <c r="AP62" s="123">
        <f>AO62*10000000+BI62*100+AM62/AM66*10+AI62/AI66*1++IF(AQ62=0,ROW(),AQ62)/2000000</f>
        <v>97306559.553356767</v>
      </c>
      <c r="AQ62" s="126">
        <f>VLOOKUP(AE62,db_fifarank,2,FALSE)</f>
        <v>1874.82</v>
      </c>
      <c r="AR62" s="125">
        <f>AP62/AP66</f>
        <v>0.99999998972320059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1</v>
      </c>
      <c r="AV62" s="126" cm="1">
        <f t="array" ref="AV62">SUMPRODUCT(($E$7:$E$78=AE62)*($U$7:$U$78)*($F$7:$F$78))+SUMPRODUCT(($H$7:$H$78=AE62)*($U$7:$U$78)*($G$7:$G$78))</f>
        <v>2</v>
      </c>
      <c r="AW62" s="126" cm="1">
        <f t="array" ref="AW62">SUMPRODUCT(($E$7:$E$78=AE62)*($U$7:$U$78)*($G$7:$G$78))+SUMPRODUCT(($H$7:$H$78=AE62)*($U$7:$U$78)*($F$7:$F$78))</f>
        <v>2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50.666666666666664</v>
      </c>
      <c r="BA62" s="126">
        <f>AZ62/AZ66</f>
        <v>0.98064516129032253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1</v>
      </c>
      <c r="BD62" s="126" cm="1">
        <f t="array" ref="BD62">SUMPRODUCT(($E$7:$E$78=AE62)*($X$7:$X$78)*($F$7:$F$78))+SUMPRODUCT(($H$7:$H$78=AE62)*($X$7:$X$78)*($G$7:$G$78))</f>
        <v>2</v>
      </c>
      <c r="BE62" s="126" cm="1">
        <f t="array" ref="BE62">SUMPRODUCT(($E$7:$E$78=AE62)*($X$7:$X$78)*($G$7:$G$78))+SUMPRODUCT(($H$7:$H$78=AE62)*($X$7:$X$78)*($F$7:$F$78))</f>
        <v>2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50.666666666666664</v>
      </c>
      <c r="BI62" s="126">
        <f>BH62/BH66</f>
        <v>0.98064516129032253</v>
      </c>
      <c r="BK62" s="141">
        <v>88</v>
      </c>
      <c r="BL62" s="24" t="str">
        <f>AS27</f>
        <v>Turkey</v>
      </c>
      <c r="BM62" s="61">
        <v>1</v>
      </c>
      <c r="BN62" s="63">
        <v>1</v>
      </c>
      <c r="BO62" s="25"/>
      <c r="BP62" s="116">
        <f>IF(OR(BM62="",BM63="",AND(BN62="",BN63&lt;&gt;""),AND(BN63="",BN62&lt;&gt;""),AND(BO62="",BO63&lt;&gt;""),AND(BO63="",BO62&lt;&gt;"")),"",BM62*1000+BN62*10+BO62)</f>
        <v>1010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7 - 2</v>
      </c>
      <c r="P63" s="32">
        <f>L63*3+M63</f>
        <v>7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6</v>
      </c>
      <c r="AL63" s="123">
        <f>AI63-AJ63</f>
        <v>-3</v>
      </c>
      <c r="AM63" s="123">
        <f>AL63-AL66</f>
        <v>1</v>
      </c>
      <c r="AN63" s="123">
        <f>AF63*3+AG63</f>
        <v>3</v>
      </c>
      <c r="AO63" s="123">
        <f>AN63/AN66*10+BA63</f>
        <v>3.75</v>
      </c>
      <c r="AP63" s="123">
        <f>AO63*10000000+BI63*100+AM63/AM66*10+AI63/AI66*1++IF(AQ63=0,ROW(),AQ63)/2000000</f>
        <v>37500001.375782132</v>
      </c>
      <c r="AQ63" s="126">
        <f>VLOOKUP(AE63,db_fifarank,2,FALSE)</f>
        <v>1564.26</v>
      </c>
      <c r="AR63" s="125">
        <f>AP63/AP66</f>
        <v>0.3853799904397967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Belgium</v>
      </c>
      <c r="BM63" s="62">
        <v>1</v>
      </c>
      <c r="BN63" s="64">
        <v>2</v>
      </c>
      <c r="BO63" s="27"/>
      <c r="BP63" s="112">
        <f>IF(BP62="","",BM63*1000+BN63*10+BO63)</f>
        <v>1020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1</v>
      </c>
      <c r="N64" s="23">
        <f>VLOOKUP(2,AD62:AN65,5,FALSE)</f>
        <v>0</v>
      </c>
      <c r="O64" s="23" t="str">
        <f>VLOOKUP(2,AD62:AN65,6,FALSE) &amp; " - " &amp; VLOOKUP(2,AD62:AN65,7,FALSE)</f>
        <v>6 - 4</v>
      </c>
      <c r="P64" s="34">
        <f>L64*3+M64</f>
        <v>7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1</v>
      </c>
      <c r="AH64" s="123">
        <f>COUNTIF($S$7:$T$78,"=" &amp; AE64 &amp; "_lose")</f>
        <v>0</v>
      </c>
      <c r="AI64" s="123">
        <f>SUMIF($E$7:$E$78,$AE64,$F$7:$F$78) + SUMIF($H$7:$H$78,$AE64,$G$7:$G$78)</f>
        <v>6</v>
      </c>
      <c r="AJ64" s="123">
        <f>SUMIF($E$7:$E$78,$AE64,$G$7:$G$78) + SUMIF($H$7:$H$78,$AE64,$F$7:$F$78)</f>
        <v>4</v>
      </c>
      <c r="AL64" s="123">
        <f>AI64-AJ64</f>
        <v>2</v>
      </c>
      <c r="AM64" s="123">
        <f>AL64-AL66</f>
        <v>6</v>
      </c>
      <c r="AN64" s="123">
        <f>AF64*3+AG64</f>
        <v>7</v>
      </c>
      <c r="AO64" s="123">
        <f>AN64/AN66*10+BA64</f>
        <v>9.7306451612903224</v>
      </c>
      <c r="AP64" s="123">
        <f>AO64*10000000+BI64*100+AM64/AM66*10+AI64/AI66*1++IF(AQ64=0,ROW(),AQ64)/2000000</f>
        <v>97306556.42821607</v>
      </c>
      <c r="AQ64" s="126">
        <f>VLOOKUP(AE64,db_fifarank,2,FALSE)</f>
        <v>1593.45</v>
      </c>
      <c r="AR64" s="125">
        <f>AP64/AP66</f>
        <v>0.99999995760675664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2</v>
      </c>
      <c r="AW64" s="126" cm="1">
        <f t="array" ref="AW64">SUMPRODUCT(($E$7:$E$78=AE64)*($U$7:$U$78)*($G$7:$G$78))+SUMPRODUCT(($H$7:$H$78=AE64)*($U$7:$U$78)*($F$7:$F$78))</f>
        <v>2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50.666666666666664</v>
      </c>
      <c r="BA64" s="126">
        <f>AZ64/AZ66</f>
        <v>0.98064516129032253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2</v>
      </c>
      <c r="BE64" s="126" cm="1">
        <f t="array" ref="BE64">SUMPRODUCT(($E$7:$E$78=AE64)*($X$7:$X$78)*($G$7:$G$78))+SUMPRODUCT(($H$7:$H$78=AE64)*($X$7:$X$78)*($F$7:$F$78))</f>
        <v>2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50.666666666666664</v>
      </c>
      <c r="BI64" s="126">
        <f>BH64/BH66</f>
        <v>0.98064516129032253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2</v>
      </c>
      <c r="CB64" s="63">
        <v>3</v>
      </c>
      <c r="CC64" s="25"/>
      <c r="CD64" s="116">
        <f>IF(OR(CA64="",CA65="",AND(CB64="",CB65&lt;&gt;""),AND(CB65="",CB64&lt;&gt;""),AND(CC64="",CC65&lt;&gt;""),AND(CC65="",CC64&lt;&gt;"")),"",CA64*1000+CB64*10+CC64)</f>
        <v>2030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3 - 6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6</v>
      </c>
      <c r="AL65" s="123">
        <f>AI65-AJ65</f>
        <v>-4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0.25069572499999998</v>
      </c>
      <c r="AQ65" s="126">
        <f>VLOOKUP(AE65,db_fifarank,2,FALSE)</f>
        <v>1391.45</v>
      </c>
      <c r="AR65" s="125">
        <f>AP65/AP66</f>
        <v>2.5763496682480551E-9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2</v>
      </c>
      <c r="CB65" s="64">
        <v>2</v>
      </c>
      <c r="CC65" s="27"/>
      <c r="CD65" s="112">
        <f>IF(CD64="","",CA65*1000+CB65*10+CC65)</f>
        <v>2020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2</v>
      </c>
      <c r="G66" s="20">
        <v>2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2 - 6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3</v>
      </c>
      <c r="AG66" s="123">
        <f t="shared" si="28"/>
        <v>2</v>
      </c>
      <c r="AH66" s="123">
        <f t="shared" si="28"/>
        <v>4</v>
      </c>
      <c r="AI66" s="123">
        <f>MAX(AI62:AI65)+1</f>
        <v>8</v>
      </c>
      <c r="AL66" s="123">
        <f>MIN(AL62:AL65)</f>
        <v>-4</v>
      </c>
      <c r="AM66" s="123">
        <f>MAX(AM62:AM65)+1</f>
        <v>10</v>
      </c>
      <c r="AN66" s="123">
        <f>MAX(AN62:AN65)+1</f>
        <v>8</v>
      </c>
      <c r="AO66" s="123">
        <f>MAX(AO62:AO65)+1</f>
        <v>10.730645161290322</v>
      </c>
      <c r="AP66" s="123">
        <f>MAX(AP62:AP65)+1</f>
        <v>97306560.553356767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3</v>
      </c>
      <c r="AW66" s="126">
        <f>MAX(AW62:AW65)-MIN(AW62:AW65)+1</f>
        <v>3</v>
      </c>
      <c r="AY66" s="126">
        <f>MAX(AY62:AY65)-MIN(AY62:AY65)+1</f>
        <v>1</v>
      </c>
      <c r="AZ66" s="126">
        <f>MAX(AZ62:AZ65)+1</f>
        <v>51.666666666666664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3</v>
      </c>
      <c r="BE66" s="126">
        <f>MAX(BE62:BE65)-MIN(BE62:BE65)+1</f>
        <v>3</v>
      </c>
      <c r="BG66" s="126">
        <f>MAX(BG62:BG65)-MIN(BG62:BG65)+1</f>
        <v>1</v>
      </c>
      <c r="BH66" s="126">
        <f>MAX(BH62:BH65)+1</f>
        <v>51.666666666666664</v>
      </c>
      <c r="BK66" s="141">
        <v>85</v>
      </c>
      <c r="BL66" s="24" t="str">
        <f>AS14</f>
        <v>Switzerland</v>
      </c>
      <c r="BM66" s="61">
        <v>3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3000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0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3</v>
      </c>
      <c r="AL68" s="123">
        <f>AI68-AJ68</f>
        <v>5</v>
      </c>
      <c r="AM68" s="123">
        <f>AL68-AL72</f>
        <v>12</v>
      </c>
      <c r="AN68" s="123">
        <f>AF68*3+AG68</f>
        <v>7</v>
      </c>
      <c r="AO68" s="123">
        <f>AN68/AN72*10+BA68</f>
        <v>9.7305825242718456</v>
      </c>
      <c r="AP68" s="123">
        <f>AO68*10000000+BI68*100+AM68/AM72*10+AI68/AI72*1++IF(AQ68=0,ROW(),AQ68)/2000000</f>
        <v>97305933.42151092</v>
      </c>
      <c r="AQ68" s="126">
        <f>VLOOKUP(AE68,db_fifarank,2,FALSE)</f>
        <v>1763.83</v>
      </c>
      <c r="AR68" s="125">
        <f>AP68/AP72</f>
        <v>0.99999998972313453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50.5</v>
      </c>
      <c r="BA68" s="126">
        <f>AZ68/AZ72</f>
        <v>0.98058252427184467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50.5</v>
      </c>
      <c r="BI68" s="126">
        <f>BH68/BH72</f>
        <v>0.98058252427184467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1</v>
      </c>
      <c r="BU68" s="63">
        <v>1</v>
      </c>
      <c r="BV68" s="25">
        <v>3</v>
      </c>
      <c r="BW68" s="116">
        <f>IF(OR(BT68="",BT69="",AND(BU68="",BU69&lt;&gt;""),AND(BU69="",BU68&lt;&gt;""),AND(BV68="",BV69&lt;&gt;""),AND(BV69="",BV68&lt;&gt;"")),"",BT68*1000+BU68*10+BV68)</f>
        <v>1013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England</v>
      </c>
      <c r="CL68" s="131"/>
      <c r="CM68" s="131"/>
      <c r="CN68" s="131"/>
      <c r="CO68" s="131"/>
      <c r="CP68" s="131"/>
      <c r="CQ68" s="131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8 - 3</v>
      </c>
      <c r="P69" s="32">
        <f>L69*3+M69</f>
        <v>7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4</v>
      </c>
      <c r="AJ69" s="123">
        <f>SUMIF($E$7:$E$78,$AE69,$G$7:$G$78) + SUMIF($H$7:$H$78,$AE69,$F$7:$F$78)</f>
        <v>6</v>
      </c>
      <c r="AL69" s="123">
        <f>AI69-AJ69</f>
        <v>-2</v>
      </c>
      <c r="AM69" s="123">
        <f>AL69-AL72</f>
        <v>5</v>
      </c>
      <c r="AN69" s="123">
        <f>AF69*3+AG69</f>
        <v>3</v>
      </c>
      <c r="AO69" s="123">
        <f>AN69/AN72*10+BA69</f>
        <v>3.75</v>
      </c>
      <c r="AP69" s="123">
        <f>AO69*10000000+BI69*100+AM69/AM72*10+AI69/AI72*1++IF(AQ69=0,ROW(),AQ69)/2000000</f>
        <v>37500004.291337468</v>
      </c>
      <c r="AQ69" s="126">
        <f>VLOOKUP(AE69,db_fifarank,2,FALSE)</f>
        <v>1478.35</v>
      </c>
      <c r="AR69" s="125">
        <f>AP69/AP72</f>
        <v>0.38538250019669446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1</v>
      </c>
      <c r="BU69" s="64">
        <v>1</v>
      </c>
      <c r="BV69" s="27">
        <v>4</v>
      </c>
      <c r="BW69" s="112">
        <f>IF(BW68="","",BT69*1000+BU69*10+BV69)</f>
        <v>1014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5 - 1</v>
      </c>
      <c r="P70" s="34">
        <f>L70*3+M70</f>
        <v>7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7</v>
      </c>
      <c r="AL70" s="123">
        <f>AI70-AJ70</f>
        <v>-7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7.5295510428604682E-12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4 - 6</v>
      </c>
      <c r="P71" s="34">
        <f>L71*3+M71</f>
        <v>3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1</v>
      </c>
      <c r="AL71" s="123">
        <f>AI71-AJ71</f>
        <v>4</v>
      </c>
      <c r="AM71" s="123">
        <f>AL71-AL72</f>
        <v>11</v>
      </c>
      <c r="AN71" s="123">
        <f>AF71*3+AG71</f>
        <v>7</v>
      </c>
      <c r="AO71" s="123">
        <f>AN71/AN72*10+BA71</f>
        <v>9.7305825242718456</v>
      </c>
      <c r="AP71" s="123">
        <f>AO71*10000000+BI71*100+AM71/AM72*10+AI71/AI72*1++IF(AQ71=0,ROW(),AQ71)/2000000</f>
        <v>97305932.318911448</v>
      </c>
      <c r="AQ71" s="126">
        <f>VLOOKUP(AE71,db_fifarank,2,FALSE)</f>
        <v>1693.09</v>
      </c>
      <c r="AR71" s="125">
        <f>AP71/AP72</f>
        <v>0.99999997839186805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50.5</v>
      </c>
      <c r="BA71" s="126">
        <f>AZ71/AZ72</f>
        <v>0.98058252427184467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50.5</v>
      </c>
      <c r="BI71" s="126">
        <f>BH71/BH72</f>
        <v>0.98058252427184467</v>
      </c>
      <c r="BK71" s="142"/>
      <c r="BL71" s="26" t="str">
        <f>IF(group_round_completed,VLOOKUP('3rd places'!J3,AK80:AS91,9,FALSE),"3rd Group D/E/I/J/L")</f>
        <v>Senegal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0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0 - 7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4</v>
      </c>
      <c r="AI72" s="123">
        <f>MAX(AI68:AI71)+1</f>
        <v>9</v>
      </c>
      <c r="AL72" s="123">
        <f>MIN(AL68:AL71)</f>
        <v>-7</v>
      </c>
      <c r="AM72" s="123">
        <f>MAX(AM68:AM71)+1</f>
        <v>13</v>
      </c>
      <c r="AN72" s="123">
        <f>MAX(AN68:AN71)+1</f>
        <v>8</v>
      </c>
      <c r="AO72" s="123">
        <f>MAX(AO68:AO71)+1</f>
        <v>10.730582524271846</v>
      </c>
      <c r="AP72" s="123">
        <f>MAX(AP68:AP71)+1</f>
        <v>97305934.42151092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1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1</v>
      </c>
      <c r="AL74" s="123">
        <f>AI74-AJ74</f>
        <v>4</v>
      </c>
      <c r="AM74" s="123">
        <f>AL74-AL78</f>
        <v>7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90000009.584246308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5 - 1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0</v>
      </c>
      <c r="AG75" s="123">
        <f>COUNTIF($S$7:$T$78,"=" &amp; AE75 &amp; "_draw")</f>
        <v>2</v>
      </c>
      <c r="AH75" s="123">
        <f>COUNTIF($S$7:$T$78,"=" &amp; AE75 &amp; "_lose")</f>
        <v>1</v>
      </c>
      <c r="AI75" s="123">
        <f>SUMIF($E$7:$E$78,$AE75,$F$7:$F$78) + SUMIF($H$7:$H$78,$AE75,$G$7:$G$78)</f>
        <v>3</v>
      </c>
      <c r="AJ75" s="123">
        <f>SUMIF($E$7:$E$78,$AE75,$G$7:$G$78) + SUMIF($H$7:$H$78,$AE75,$F$7:$F$78)</f>
        <v>4</v>
      </c>
      <c r="AL75" s="123">
        <f>AI75-AJ75</f>
        <v>-1</v>
      </c>
      <c r="AM75" s="123">
        <f>AL75-AL78</f>
        <v>2</v>
      </c>
      <c r="AN75" s="123">
        <f>AF75*3+AG75</f>
        <v>2</v>
      </c>
      <c r="AO75" s="123">
        <f>AN75/AN78*10+BA75</f>
        <v>2</v>
      </c>
      <c r="AP75" s="123">
        <f>AO75*10000000+BI75*100+AM75/AM78*10+AI75/AI78*1++IF(AQ75=0,ROW(),AQ75)/2000000</f>
        <v>20000003.000858534</v>
      </c>
      <c r="AQ75" s="126">
        <f>VLOOKUP(AE75,db_fifarank,2,FALSE)</f>
        <v>1717.07</v>
      </c>
      <c r="AR75" s="125">
        <f>AP75/AP78</f>
        <v>0.22222222943115247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4 - 4</v>
      </c>
      <c r="P76" s="34">
        <f>L76*3+M76</f>
        <v>4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4</v>
      </c>
      <c r="AL76" s="123">
        <f>AI76-AJ76</f>
        <v>0</v>
      </c>
      <c r="AM76" s="123">
        <f>AL76-AL78</f>
        <v>3</v>
      </c>
      <c r="AN76" s="123">
        <f>AF76*3+AG76</f>
        <v>4</v>
      </c>
      <c r="AO76" s="123">
        <f>AN76/AN78*10+BA76</f>
        <v>4</v>
      </c>
      <c r="AP76" s="123">
        <f>AO76*10000000+BI76*100+AM76/AM78*10+AI76/AI78*1++IF(AQ76=0,ROW(),AQ76)/2000000</f>
        <v>40000004.417339817</v>
      </c>
      <c r="AQ76" s="126">
        <f>VLOOKUP(AE76,db_fifarank,2,FALSE)</f>
        <v>1346.31</v>
      </c>
      <c r="AR76" s="125">
        <f>AP76/AP78</f>
        <v>0.44444444125811533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0</v>
      </c>
      <c r="M77" s="23">
        <f>VLOOKUP(3,AD74:AN77,4,FALSE)</f>
        <v>2</v>
      </c>
      <c r="N77" s="23">
        <f>VLOOKUP(3,AD74:AN77,5,FALSE)</f>
        <v>1</v>
      </c>
      <c r="O77" s="23" t="str">
        <f>VLOOKUP(3,AD74:AN77,6,FALSE) &amp; " - " &amp; VLOOKUP(3,AD74:AN77,7,FALSE)</f>
        <v>3 - 4</v>
      </c>
      <c r="P77" s="34">
        <f>L77*3+M77</f>
        <v>2</v>
      </c>
      <c r="R77" s="123">
        <f>DATE(2026,6,27)+TIME(12,30,0)+gmt_delta</f>
        <v>46200.979166666672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5</v>
      </c>
      <c r="AL77" s="123">
        <f>AI77-AJ77</f>
        <v>-3</v>
      </c>
      <c r="AM77" s="123">
        <f>AL77-AL78</f>
        <v>0</v>
      </c>
      <c r="AN77" s="123">
        <f>AF77*3+AG77</f>
        <v>1</v>
      </c>
      <c r="AO77" s="123">
        <f>AN77/AN78*10+BA77</f>
        <v>1</v>
      </c>
      <c r="AP77" s="123">
        <f>AO77*10000000+BI77*100+AM77/AM78*10+AI77/AI78*1++IF(AQ77=0,ROW(),AQ77)/2000000</f>
        <v>10000000.334103653</v>
      </c>
      <c r="AQ77" s="126">
        <f>VLOOKUP(AE77,db_fifarank,2,FALSE)</f>
        <v>1540.64</v>
      </c>
      <c r="AR77" s="125">
        <f>AP77/AP78</f>
        <v>0.11111110175640428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2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2 - 5</v>
      </c>
      <c r="P78" s="37">
        <f>L78*3+M78</f>
        <v>1</v>
      </c>
      <c r="R78" s="123">
        <f>DATE(2026,6,27)+TIME(12,30,0)+gmt_delta</f>
        <v>46200.979166666672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4</v>
      </c>
      <c r="AG78" s="123">
        <f t="shared" si="36"/>
        <v>3</v>
      </c>
      <c r="AH78" s="123">
        <f t="shared" si="36"/>
        <v>3</v>
      </c>
      <c r="AI78" s="123">
        <f>MAX(AI74:AI77)+1</f>
        <v>6</v>
      </c>
      <c r="AL78" s="123">
        <f>MIN(AL74:AL77)</f>
        <v>-3</v>
      </c>
      <c r="AM78" s="123">
        <f>MAX(AM74:AM77)+1</f>
        <v>8</v>
      </c>
      <c r="AN78" s="123">
        <f>MAX(AN74:AN77)+1</f>
        <v>10</v>
      </c>
      <c r="AO78" s="123">
        <f>MAX(AO74:AO77)+1</f>
        <v>10</v>
      </c>
      <c r="AP78" s="123">
        <f>MAX(AP74:AP77)+1</f>
        <v>90000010.584246308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6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3</v>
      </c>
      <c r="AJ80" s="123">
        <f>VLOOKUP($AE80,$AE$8:$AQ$78,6,FALSE)</f>
        <v>4</v>
      </c>
      <c r="AK80" s="123" t="s">
        <v>3180</v>
      </c>
      <c r="AL80" s="123">
        <f>VLOOKUP($AE80,$AE$8:$AQ$78,8,FALSE)</f>
        <v>-1</v>
      </c>
      <c r="AM80" s="123">
        <f>AL80-$AL$92</f>
        <v>5</v>
      </c>
      <c r="AN80" s="123">
        <f>VLOOKUP($AE80,$AE$8:$AQ$78,10,FALSE)</f>
        <v>3</v>
      </c>
      <c r="AP80" s="123">
        <f>AN80/AN92*10000+AM80/AM92*1000+AI80/AI92*100+IF(AQ80=0,ROW(),AQ80)/2000000</f>
        <v>6598.4134927426985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Ⓑ Bosnia and Herzegovina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5 - 3</v>
      </c>
      <c r="P81" s="98">
        <f>L81*3+M81</f>
        <v>4</v>
      </c>
      <c r="AD81" s="123">
        <f t="shared" ref="AD81:AD91" si="38">COUNTIF($AP$80:$AP$91,CONCATENATE("&gt;=",AP81))</f>
        <v>1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5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2</v>
      </c>
      <c r="AM81" s="123">
        <f t="shared" ref="AM81:AM91" si="44">AL81-$AL$92</f>
        <v>8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8960.3181532374601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Senegal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5 - 5</v>
      </c>
      <c r="P82" s="101">
        <f t="shared" ref="P82:P92" si="48">L82*3+M82</f>
        <v>4</v>
      </c>
      <c r="AD82" s="123">
        <f t="shared" si="38"/>
        <v>4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4</v>
      </c>
      <c r="AK82" s="123" t="s">
        <v>3182</v>
      </c>
      <c r="AL82" s="123">
        <f t="shared" si="43"/>
        <v>0</v>
      </c>
      <c r="AM82" s="123">
        <f t="shared" si="44"/>
        <v>6</v>
      </c>
      <c r="AN82" s="123">
        <f t="shared" si="45"/>
        <v>3</v>
      </c>
      <c r="AP82" s="123">
        <f>AN82/AN92*10000+AM82/AM92*1000+AI82/AI92*100+IF(AQ82=0,ROW(),AQ82)/2000000</f>
        <v>6723.8102729845241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Ⓔ Ecuador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6 - 5</v>
      </c>
      <c r="P83" s="101">
        <f t="shared" si="48"/>
        <v>3</v>
      </c>
      <c r="AD83" s="123">
        <f t="shared" si="38"/>
        <v>10</v>
      </c>
      <c r="AE83" s="124" t="str">
        <f>J29</f>
        <v>Australia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4</v>
      </c>
      <c r="AJ83" s="123">
        <f t="shared" si="42"/>
        <v>6</v>
      </c>
      <c r="AK83" s="123" t="s">
        <v>3184</v>
      </c>
      <c r="AL83" s="123">
        <f t="shared" si="43"/>
        <v>-2</v>
      </c>
      <c r="AM83" s="123">
        <f t="shared" si="44"/>
        <v>4</v>
      </c>
      <c r="AN83" s="123">
        <f t="shared" si="45"/>
        <v>2</v>
      </c>
      <c r="AP83" s="123">
        <f>AN83/AN92*10000+AM83/AM92*1000+AI83/AI92*100+IF(AQ83=0,ROW(),AQ83)/2000000</f>
        <v>4501.5880919223009</v>
      </c>
      <c r="AQ83" s="126">
        <f t="shared" si="37"/>
        <v>1580.67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Australia</v>
      </c>
    </row>
    <row r="84" spans="1:46" ht="15" customHeight="1" x14ac:dyDescent="0.2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Ⓒ Scotland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4 - 4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3</v>
      </c>
      <c r="AE84" s="124" t="str">
        <f>J35</f>
        <v>Ecuador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6</v>
      </c>
      <c r="AJ84" s="123">
        <f t="shared" si="42"/>
        <v>5</v>
      </c>
      <c r="AK84" s="123" t="s">
        <v>3185</v>
      </c>
      <c r="AL84" s="123">
        <f t="shared" si="43"/>
        <v>1</v>
      </c>
      <c r="AM84" s="123">
        <f t="shared" si="44"/>
        <v>7</v>
      </c>
      <c r="AN84" s="123">
        <f t="shared" si="45"/>
        <v>3</v>
      </c>
      <c r="AP84" s="123">
        <f>AN84/AN92*10000+AM84/AM92*1000+AI84/AI92*100+IF(AQ84=0,ROW(),AQ84)/2000000</f>
        <v>6863.4928608820628</v>
      </c>
      <c r="AQ84" s="126">
        <f t="shared" si="37"/>
        <v>1594.78</v>
      </c>
      <c r="AR84" s="125" t="str">
        <f t="shared" si="50"/>
        <v>ABCE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2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Ⓕ Sweden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5 - 6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5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5</v>
      </c>
      <c r="AJ85" s="123">
        <f t="shared" si="42"/>
        <v>6</v>
      </c>
      <c r="AK85" s="123" t="s">
        <v>3186</v>
      </c>
      <c r="AL85" s="123">
        <f t="shared" si="43"/>
        <v>-1</v>
      </c>
      <c r="AM85" s="123">
        <f t="shared" si="44"/>
        <v>5</v>
      </c>
      <c r="AN85" s="123">
        <f t="shared" si="45"/>
        <v>3</v>
      </c>
      <c r="AP85" s="123">
        <f>AN85/AN92*10000+AM85/AM92*1000+AI85/AI92*100+IF(AQ85=0,ROW(),AQ85)/2000000</f>
        <v>6626.984884369127</v>
      </c>
      <c r="AQ85" s="126">
        <f t="shared" si="37"/>
        <v>1514.77</v>
      </c>
      <c r="AR85" s="125" t="str">
        <f t="shared" si="50"/>
        <v>ABCEF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Ⓐ Korea Republic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3 - 4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11</v>
      </c>
      <c r="AE86" s="124" t="str">
        <f>J47</f>
        <v>Iran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3</v>
      </c>
      <c r="AJ86" s="123">
        <f t="shared" si="42"/>
        <v>6</v>
      </c>
      <c r="AK86" s="123" t="s">
        <v>3187</v>
      </c>
      <c r="AL86" s="123">
        <f t="shared" si="43"/>
        <v>-3</v>
      </c>
      <c r="AM86" s="123">
        <f t="shared" si="44"/>
        <v>3</v>
      </c>
      <c r="AN86" s="123">
        <f t="shared" si="45"/>
        <v>1</v>
      </c>
      <c r="AP86" s="123">
        <f>AN86/AN92*10000+AM86/AM92*1000+AI86/AI92*100+IF(AQ86=0,ROW(),AQ86)/2000000</f>
        <v>2376.191283840476</v>
      </c>
      <c r="AQ86" s="126">
        <f t="shared" si="37"/>
        <v>1615.3</v>
      </c>
      <c r="AR86" s="125" t="str">
        <f t="shared" si="50"/>
        <v>ABCEF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2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Ⓚ DR Congo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4 - 6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2</v>
      </c>
      <c r="AJ87" s="123">
        <f t="shared" si="42"/>
        <v>8</v>
      </c>
      <c r="AK87" s="123" t="s">
        <v>3188</v>
      </c>
      <c r="AL87" s="123">
        <f t="shared" si="43"/>
        <v>-6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2028.5721392864286</v>
      </c>
      <c r="AQ87" s="126">
        <f t="shared" si="37"/>
        <v>1421.43</v>
      </c>
      <c r="AR87" s="125" t="str">
        <f t="shared" si="50"/>
        <v>ABCEF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Ⓙ Algeria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3 - 6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2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5</v>
      </c>
      <c r="AJ88" s="123">
        <f t="shared" si="42"/>
        <v>5</v>
      </c>
      <c r="AK88" s="123" t="s">
        <v>3189</v>
      </c>
      <c r="AL88" s="123">
        <f t="shared" si="43"/>
        <v>0</v>
      </c>
      <c r="AM88" s="123">
        <f t="shared" si="44"/>
        <v>6</v>
      </c>
      <c r="AN88" s="123">
        <f t="shared" si="45"/>
        <v>4</v>
      </c>
      <c r="AP88" s="123">
        <f>AN88/AN92*10000+AM88/AM92*1000+AI88/AI92*100+IF(AQ88=0,ROW(),AQ88)/2000000</f>
        <v>8738.0960825902366</v>
      </c>
      <c r="AQ88" s="126">
        <f t="shared" si="37"/>
        <v>1688.99</v>
      </c>
      <c r="AR88" s="125" t="str">
        <f t="shared" si="50"/>
        <v>ABCEFI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Ⓛ Croatia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3 - 4</v>
      </c>
      <c r="P89" s="104">
        <f t="shared" si="48"/>
        <v>2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Brazil</v>
      </c>
      <c r="T89" s="127" t="str" cm="1">
        <f t="array" ref="T89">IF(OR(S89="",S89="draw"),INDEX(T,91,lang),S89)</f>
        <v>Brazil</v>
      </c>
      <c r="AD89" s="123">
        <f t="shared" si="38"/>
        <v>8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3</v>
      </c>
      <c r="AJ89" s="123">
        <f t="shared" si="42"/>
        <v>6</v>
      </c>
      <c r="AK89" s="123" t="s">
        <v>3190</v>
      </c>
      <c r="AL89" s="123">
        <f t="shared" si="43"/>
        <v>-3</v>
      </c>
      <c r="AM89" s="123">
        <f t="shared" si="44"/>
        <v>3</v>
      </c>
      <c r="AN89" s="123">
        <f t="shared" si="45"/>
        <v>3</v>
      </c>
      <c r="AP89" s="123">
        <f>AN89/AN92*10000+AM89/AM92*1000+AI89/AI92*100+IF(AQ89=0,ROW(),AQ89)/2000000</f>
        <v>6376.1912583204758</v>
      </c>
      <c r="AQ89" s="126">
        <f t="shared" si="37"/>
        <v>1564.26</v>
      </c>
      <c r="AR89" s="125" t="str">
        <f t="shared" si="50"/>
        <v>ABCEFIJ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Ⓓ Australia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4 - 6</v>
      </c>
      <c r="P90" s="104">
        <f t="shared" si="48"/>
        <v>2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7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4</v>
      </c>
      <c r="AJ90" s="123">
        <f t="shared" si="42"/>
        <v>6</v>
      </c>
      <c r="AK90" s="123" t="s">
        <v>3191</v>
      </c>
      <c r="AL90" s="123">
        <f t="shared" si="43"/>
        <v>-2</v>
      </c>
      <c r="AM90" s="123">
        <f t="shared" si="44"/>
        <v>4</v>
      </c>
      <c r="AN90" s="123">
        <f t="shared" si="45"/>
        <v>3</v>
      </c>
      <c r="AP90" s="123">
        <f>AN90/AN92*10000+AM90/AM92*1000+AI90/AI92*100+IF(AQ90=0,ROW(),AQ90)/2000000</f>
        <v>6501.5880407623008</v>
      </c>
      <c r="AQ90" s="126">
        <f t="shared" si="37"/>
        <v>1478.35</v>
      </c>
      <c r="AR90" s="125" t="str">
        <f t="shared" si="50"/>
        <v>ABCEFIJK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Ⓖ Iran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3 - 6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Egypt</v>
      </c>
      <c r="T91" s="127" t="str" cm="1">
        <f t="array" ref="T91">IF(OR(S91="",S91="draw"),INDEX(T,93,lang),S91)</f>
        <v>Egypt</v>
      </c>
      <c r="AD91" s="123">
        <f t="shared" si="38"/>
        <v>9</v>
      </c>
      <c r="AE91" s="124" t="str">
        <f>J77</f>
        <v>Croatia</v>
      </c>
      <c r="AF91" s="123">
        <f t="shared" si="39"/>
        <v>0</v>
      </c>
      <c r="AG91" s="123">
        <f t="shared" si="49"/>
        <v>2</v>
      </c>
      <c r="AH91" s="123">
        <f>VLOOKUP($AE91,$AE$8:$AQ$78,4,FALSE)</f>
        <v>1</v>
      </c>
      <c r="AI91" s="123">
        <f>VLOOKUP($AE91,$AE$8:$AQ$78,5,FALSE)</f>
        <v>3</v>
      </c>
      <c r="AJ91" s="123">
        <f>VLOOKUP($AE91,$AE$8:$AQ$78,6,FALSE)</f>
        <v>4</v>
      </c>
      <c r="AK91" s="123" t="s">
        <v>3192</v>
      </c>
      <c r="AL91" s="123">
        <f>VLOOKUP($AE91,$AE$8:$AQ$78,8,FALSE)</f>
        <v>-1</v>
      </c>
      <c r="AM91" s="123">
        <f t="shared" si="44"/>
        <v>5</v>
      </c>
      <c r="AN91" s="123">
        <f>VLOOKUP($AE91,$AE$8:$AQ$78,10,FALSE)</f>
        <v>2</v>
      </c>
      <c r="AP91" s="123">
        <f>AN91/AN92*10000+AM91/AM92*1000+AI91/AI92*100+IF(AQ91=0,ROW(),AQ91)/2000000</f>
        <v>4598.4135569476985</v>
      </c>
      <c r="AQ91" s="126">
        <f t="shared" si="37"/>
        <v>1717.07</v>
      </c>
      <c r="AR91" s="125" t="str">
        <f t="shared" si="50"/>
        <v>ABCEFIJK</v>
      </c>
      <c r="AS91" s="129" t="str">
        <f t="shared" si="46"/>
        <v/>
      </c>
      <c r="AT91" s="130" t="str">
        <f>"Ⓛ "&amp;AE91</f>
        <v>Ⓛ Croatia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2 - 8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7</v>
      </c>
      <c r="AJ92" s="123">
        <f>MAX(AJ80:AJ91)+1</f>
        <v>9</v>
      </c>
      <c r="AL92" s="123">
        <f>MIN(AL80:AL91)</f>
        <v>-6</v>
      </c>
      <c r="AM92" s="123">
        <f>MAX(AM80:AM91)+1</f>
        <v>9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Brazil</v>
      </c>
      <c r="T96" s="127" t="str" cm="1">
        <f t="array" ref="T96">IF(OR(S96="",S96="draw"),INDEX(T,95,lang),S96)</f>
        <v>Brazil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Egypt</v>
      </c>
      <c r="T98" s="127" t="str" cm="1">
        <f t="array" ref="T98">IF(OR(S98="",S98="draw"),INDEX(T,97,lang),S98)</f>
        <v>Egypt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Brazil</v>
      </c>
      <c r="T102" s="127" t="str" cm="1">
        <f t="array" ref="T102">IF(OR(S102="",S102="draw"),INDEX(T,98,lang),S102)</f>
        <v>Brazil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France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France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Egypt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Egypt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409</v>
      </c>
      <c r="C3" s="121" t="str">
        <f>'2026 World Cup'!AR91</f>
        <v>ABCEFIJK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3I</v>
      </c>
      <c r="K3" s="122" t="str">
        <f>VLOOKUP($C3,$C$6:$K$500,9,FALSE)</f>
        <v>3K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Christian Lehne</cp:lastModifiedBy>
  <cp:revision/>
  <dcterms:created xsi:type="dcterms:W3CDTF">2017-12-27T19:32:51Z</dcterms:created>
  <dcterms:modified xsi:type="dcterms:W3CDTF">2026-06-10T12:24:54Z</dcterms:modified>
  <cp:category>Sports</cp:category>
  <cp:contentStatus/>
</cp:coreProperties>
</file>
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ivindbratberg/Downloads/"/>
    </mc:Choice>
  </mc:AlternateContent>
  <xr:revisionPtr revIDLastSave="0" documentId="8_{A24BBE1F-0844-4944-B39F-E89AD1A019FC}" xr6:coauthVersionLast="47" xr6:coauthVersionMax="47" xr10:uidLastSave="{00000000-0000-0000-0000-000000000000}"/>
  <bookViews>
    <workbookView xWindow="0" yWindow="500" windowWidth="25180" windowHeight="160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75" i="3"/>
  <c r="S47" i="3"/>
  <c r="S67" i="3"/>
  <c r="S72" i="3"/>
  <c r="T44" i="3"/>
  <c r="T46" i="3"/>
  <c r="S70" i="3"/>
  <c r="S42" i="3"/>
  <c r="S64" i="3"/>
  <c r="T41" i="3"/>
  <c r="S40" i="3"/>
  <c r="S62" i="3"/>
  <c r="T61" i="3"/>
  <c r="S38" i="3"/>
  <c r="S65" i="3"/>
  <c r="S55" i="3"/>
  <c r="T56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N39" i="3" s="1"/>
  <c r="AD50" i="3"/>
  <c r="N59" i="3"/>
  <c r="AD17" i="3"/>
  <c r="O6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N69" i="3"/>
  <c r="J21" i="3"/>
  <c r="AS20" i="3" s="1"/>
  <c r="BL42" i="3" s="1"/>
  <c r="BS44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AF91" i="3"/>
  <c r="BS61" i="3" l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BS69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BS68" i="3" s="1"/>
  <c r="BZ65" i="3" s="1"/>
  <c r="CG56" i="3" s="1"/>
  <c r="CN38" i="3" s="1"/>
  <c r="CK68" i="3" s="1"/>
  <c r="D3" i="4"/>
  <c r="BL51" i="3" s="1"/>
  <c r="BS52" i="3" s="1"/>
  <c r="BZ49" i="3" s="1"/>
  <c r="CG55" i="3" s="1"/>
  <c r="CN49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<sst xmlns="http://schemas.openxmlformats.org/spreadsheetml/2006/main" count="9786" uniqueCount="3698">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</sst>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T35" zoomScaleNormal="100" workbookViewId="0">
      <selection activeCell="CF38" sqref="CF38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1</v>
      </c>
      <c r="V7" s="123">
        <f t="shared" ref="V7:V46" si="3">U7*F7</f>
        <v>2</v>
      </c>
      <c r="W7" s="123">
        <f t="shared" ref="W7:W46" si="4">U7*G7</f>
        <v>1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4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0</v>
      </c>
      <c r="AH8" s="123">
        <f>COUNTIF($S$7:$T$78,"=" &amp; AE8 &amp; "_lose")</f>
        <v>2</v>
      </c>
      <c r="AI8" s="123">
        <f>SUMIF($E$7:$E$78,$AE8,$F$7:$F$78) + SUMIF($H$7:$H$78,$AE8,$G$7:$G$78)</f>
        <v>3</v>
      </c>
      <c r="AJ8" s="123">
        <f>SUMIF($E$7:$E$78,$AE8,$G$7:$G$78) + SUMIF($H$7:$H$78,$AE8,$F$7:$F$78)</f>
        <v>4</v>
      </c>
      <c r="AL8" s="123">
        <f>AI8-AJ8</f>
        <v>-1</v>
      </c>
      <c r="AM8" s="123">
        <f>AL8-AL12</f>
        <v>0</v>
      </c>
      <c r="AN8" s="123">
        <f>AF8*3+AG8</f>
        <v>3</v>
      </c>
      <c r="AO8" s="123">
        <f>AN8/AN12*10+BA8</f>
        <v>3.9975087194818135</v>
      </c>
      <c r="AP8" s="123">
        <f>AO8*10000000+BI8*100+AM8/AM12*10+AI8/AI12*1++IF(AQ8=0,ROW(),AQ8)/2000000</f>
        <v>39975087.695658647</v>
      </c>
      <c r="AQ8" s="126">
        <f>VLOOKUP(AE8,db_fifarank,2,FALSE)</f>
        <v>1681.03</v>
      </c>
      <c r="AR8" s="125">
        <f>AP8/AP12</f>
        <v>0.44416758929249217</v>
      </c>
      <c r="AS8" s="125" t="str">
        <f>IF(SUM(AF8:AH11)=12,J9,"1A")</f>
        <v>Czech Republic</v>
      </c>
      <c r="AT8" s="126" cm="1">
        <f t="array" ref="AT8">SUMPRODUCT(($S$7:$S$78=AE8&amp;"_win")*($U$7:$U$78))+SUMPRODUCT(($T$7:$T$78=AE8&amp;"_win")*($U$7:$U$78))</f>
        <v>1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2</v>
      </c>
      <c r="AW8" s="126" cm="1">
        <f t="array" ref="AW8">SUMPRODUCT(($E$7:$E$78=AE8)*($U$7:$U$78)*($G$7:$G$78))+SUMPRODUCT(($H$7:$H$78=AE8)*($U$7:$U$78)*($F$7:$F$78))</f>
        <v>2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500.5</v>
      </c>
      <c r="BA8" s="126">
        <f>AZ8/AZ12</f>
        <v>0.99750871948181363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-1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Czech Republic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4</v>
      </c>
      <c r="AL9" s="123">
        <f>AI9-AJ9</f>
        <v>-1</v>
      </c>
      <c r="AM9" s="123">
        <f>AL9-AL12</f>
        <v>0</v>
      </c>
      <c r="AN9" s="123">
        <f>AF9*3+AG9</f>
        <v>3</v>
      </c>
      <c r="AO9" s="123">
        <f>AN9/AN12*10+BA9</f>
        <v>3.9980069755854508</v>
      </c>
      <c r="AP9" s="123">
        <f>AO9*10000000+BI9*100+AM9/AM12*10+AI9/AI12*1++IF(AQ9=0,ROW(),AQ9)/2000000</f>
        <v>39980070.912522152</v>
      </c>
      <c r="AQ9" s="126">
        <f>VLOOKUP(AE9,db_fifarank,2,FALSE)</f>
        <v>1429.73</v>
      </c>
      <c r="AR9" s="125">
        <f>AP9/AP12</f>
        <v>0.44422295836229975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1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3</v>
      </c>
      <c r="AW9" s="126" cm="1">
        <f t="array" ref="AW9">SUMPRODUCT(($E$7:$E$78=AE9)*($U$7:$U$78)*($G$7:$G$78))+SUMPRODUCT(($H$7:$H$78=AE9)*($U$7:$U$78)*($F$7:$F$78))</f>
        <v>3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500.75</v>
      </c>
      <c r="BA9" s="126">
        <f>AZ9/AZ12</f>
        <v>0.99800697558545093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1</v>
      </c>
      <c r="BH9" s="126">
        <f>BB9/BB12*1000+BC9/BC12*100+BG9/BG12*10+BD9/BD12</f>
        <v>3.333333333333333</v>
      </c>
      <c r="BI9" s="126">
        <f>BH9/BH12</f>
        <v>6.5595277140045906E-3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0</v>
      </c>
      <c r="N10" s="23">
        <f>VLOOKUP(2,AD8:AN11,5,FALSE)</f>
        <v>2</v>
      </c>
      <c r="O10" s="23" t="str">
        <f>VLOOKUP(2,AD8:AN11,6,FALSE) &amp; " - " &amp; VLOOKUP(2,AD8:AN11,7,FALSE)</f>
        <v>3 - 4</v>
      </c>
      <c r="P10" s="34">
        <f>L10*3+M10</f>
        <v>3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4</v>
      </c>
      <c r="AL10" s="123">
        <f>AI10-AJ10</f>
        <v>-1</v>
      </c>
      <c r="AM10" s="123">
        <f>AL10-AL12</f>
        <v>0</v>
      </c>
      <c r="AN10" s="123">
        <f>AF10*3+AG10</f>
        <v>3</v>
      </c>
      <c r="AO10" s="123">
        <f>AN10/AN12*10+BA10</f>
        <v>3.9975087194818135</v>
      </c>
      <c r="AP10" s="123">
        <f>AO10*10000000+BI10*100+AM10/AM12*10+AI10/AI12*1++IF(AQ10=0,ROW(),AQ10)/2000000</f>
        <v>39975187.49882663</v>
      </c>
      <c r="AQ10" s="126">
        <f>VLOOKUP(AE10,db_fifarank,2,FALSE)</f>
        <v>1588.66</v>
      </c>
      <c r="AR10" s="125">
        <f>AP10/AP12</f>
        <v>0.44416869821645161</v>
      </c>
      <c r="AT10" s="126" cm="1">
        <f t="array" ref="AT10">SUMPRODUCT(($S$7:$S$78=AE10&amp;"_win")*($U$7:$U$78))+SUMPRODUCT(($T$7:$T$78=AE10&amp;"_win")*($U$7:$U$78))</f>
        <v>1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500.5</v>
      </c>
      <c r="BA10" s="126">
        <f>AZ10/AZ12</f>
        <v>0.99750871948181363</v>
      </c>
      <c r="BB10" s="126" cm="1">
        <f t="array" ref="BB10">SUMPRODUCT(($S$7:$S$78=AE10&amp;"_win")*($X$7:$X$78))+SUMPRODUCT(($T$7:$T$78=AE10&amp;"_win")*($X$7:$X$78))</f>
        <v>1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1</v>
      </c>
      <c r="BG10" s="126">
        <f>BF10-MIN(BF8:BF11)</f>
        <v>2</v>
      </c>
      <c r="BH10" s="126">
        <f>BB10/BB12*1000+BC10/BC12*100+BG10/BG12*10+BD10/BD12</f>
        <v>507.16666666666669</v>
      </c>
      <c r="BI10" s="126">
        <f>BH10/BH12</f>
        <v>0.99803214168579857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3 - 4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1</v>
      </c>
      <c r="AE11" s="124" t="str">
        <f>VLOOKUP("Czech Republic",T,lang,FALSE)</f>
        <v>Czech Republic</v>
      </c>
      <c r="AF11" s="123">
        <f>COUNTIF($S$7:$T$78,"=" &amp; AE11 &amp; "_win")</f>
        <v>3</v>
      </c>
      <c r="AG11" s="123">
        <f>COUNTIF($S$7:$T$78,"=" &amp; AE11 &amp; "_draw")</f>
        <v>0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2</v>
      </c>
      <c r="AL11" s="123">
        <f>AI11-AJ11</f>
        <v>3</v>
      </c>
      <c r="AM11" s="123">
        <f>AL11-AL12</f>
        <v>4</v>
      </c>
      <c r="AN11" s="123">
        <f>AF11*3+AG11</f>
        <v>9</v>
      </c>
      <c r="AO11" s="123">
        <f>AN11/AN12*10+BA11</f>
        <v>9</v>
      </c>
      <c r="AP11" s="123">
        <f>AO11*10000000+BI11*100+AM11/AM12*10+AI11/AI12*1++IF(AQ11=0,ROW(),AQ11)/2000000</f>
        <v>90000009.490036786</v>
      </c>
      <c r="AQ11" s="126">
        <f>VLOOKUP(AE11,db_fifarank,2,FALSE)</f>
        <v>1501.38</v>
      </c>
      <c r="AR11" s="125">
        <f>AP11/AP12</f>
        <v>0.99999998888889019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1</v>
      </c>
      <c r="BH11" s="126">
        <f>BB11/BB12*1000+BC11/BC12*100+BG11/BG12*10+BD11/BD12</f>
        <v>3.333333333333333</v>
      </c>
      <c r="BI11" s="126">
        <f>BH11/BH12</f>
        <v>6.5595277140045906E-3</v>
      </c>
      <c r="BK11" s="14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Mexico</v>
      </c>
      <c r="K12" s="36">
        <f>L12+M12+N12</f>
        <v>3</v>
      </c>
      <c r="L12" s="36">
        <f>VLOOKUP(4,AD8:AN11,3,FALSE)</f>
        <v>1</v>
      </c>
      <c r="M12" s="36">
        <f>VLOOKUP(4,AD8:AN11,4,FALSE)</f>
        <v>0</v>
      </c>
      <c r="N12" s="36">
        <f>VLOOKUP(4,AD8:AN11,5,FALSE)</f>
        <v>2</v>
      </c>
      <c r="O12" s="36" t="str">
        <f>VLOOKUP(4,AD8:AN11,6,FALSE) &amp; " - " &amp; VLOOKUP(4,AD8:AN11,7,FALSE)</f>
        <v>3 - 4</v>
      </c>
      <c r="P12" s="37">
        <f>L12*3+M12</f>
        <v>3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1</v>
      </c>
      <c r="AH12" s="123">
        <f t="shared" si="12"/>
        <v>3</v>
      </c>
      <c r="AI12" s="123">
        <f>MAX(AI8:AI11)+1</f>
        <v>6</v>
      </c>
      <c r="AL12" s="123">
        <f>MIN(AL8:AL11)</f>
        <v>-1</v>
      </c>
      <c r="AM12" s="123">
        <f>MAX(AM8:AM11)+1</f>
        <v>5</v>
      </c>
      <c r="AN12" s="123">
        <f>MAX(AN8:AN11)+1</f>
        <v>10</v>
      </c>
      <c r="AO12" s="123">
        <f>MAX(AO8:AO11)+1</f>
        <v>10</v>
      </c>
      <c r="AP12" s="123">
        <f>MAX(AP8:AP11)+1</f>
        <v>90000010.490036786</v>
      </c>
      <c r="AT12" s="126">
        <f>MAX(AT8:AT11)-MIN(AT8:AT11)+1</f>
        <v>2</v>
      </c>
      <c r="AU12" s="126">
        <f>MAX(AU8:AU11)-MIN(AU8:AU11)+1</f>
        <v>1</v>
      </c>
      <c r="AV12" s="126">
        <f>MAX(AV8:AV11)-MIN(AV8:AV11)+1</f>
        <v>4</v>
      </c>
      <c r="AW12" s="126">
        <f>MAX(AW8:AW11)-MIN(AW8:AW11)+1</f>
        <v>4</v>
      </c>
      <c r="AY12" s="126">
        <f>MAX(AY8:AY11)-MIN(AY8:AY11)+1</f>
        <v>1</v>
      </c>
      <c r="AZ12" s="126">
        <f>MAX(AZ8:AZ11)+1</f>
        <v>501.75</v>
      </c>
      <c r="BB12" s="126">
        <f>MAX(BB8:BB11)-MIN(BB8:BB11)+1</f>
        <v>2</v>
      </c>
      <c r="BC12" s="126">
        <f>MAX(BC8:BC11)-MIN(BC8:BC11)+1</f>
        <v>1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3</v>
      </c>
      <c r="BH12" s="126">
        <f>MAX(BH8:BH11)+1</f>
        <v>508.16666666666669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2</v>
      </c>
      <c r="BU12" s="63">
        <v>2</v>
      </c>
      <c r="BV12" s="25"/>
      <c r="BW12" s="112">
        <f>IF(OR(BT12="",BT13="",AND(BU12="",BU13&lt;&gt;""),AND(BU13="",BU12&lt;&gt;""),AND(BV12="",BV13&lt;&gt;""),AND(BV13="",BV12&lt;&gt;"")),"",BT12*1000+BU12*10+BV12)</f>
        <v>2020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>
        <v>3</v>
      </c>
      <c r="BV13" s="27"/>
      <c r="BW13" s="113">
        <f>IF(BW12="","",BT13*1000+BU13*10+BV13)</f>
        <v>2030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1</v>
      </c>
      <c r="AL14" s="123">
        <f>AI14-AJ14</f>
        <v>2</v>
      </c>
      <c r="AM14" s="123">
        <f>AL14-AL18</f>
        <v>5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87500009.084111571</v>
      </c>
      <c r="AQ14" s="126">
        <f>VLOOKUP(AE14,db_fifarank,2,FALSE)</f>
        <v>1556.48</v>
      </c>
      <c r="AR14" s="125">
        <f>AP14/AP18</f>
        <v>0.99999998857142991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3 - 1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2</v>
      </c>
      <c r="AL15" s="123">
        <f>AI15-AJ15</f>
        <v>0</v>
      </c>
      <c r="AM15" s="123">
        <f>AL15-AL18</f>
        <v>3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50000005.500692919</v>
      </c>
      <c r="AQ15" s="126">
        <f>VLOOKUP(AE15,db_fifarank,2,FALSE)</f>
        <v>1385.84</v>
      </c>
      <c r="AR15" s="125">
        <f>AP15/AP18</f>
        <v>0.57142856843821122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3 - 2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3</v>
      </c>
      <c r="AL16" s="123">
        <f>AI16-AJ16</f>
        <v>-3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8.3140561846871974E-12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2 - 2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2</v>
      </c>
      <c r="AL17" s="123">
        <f>AI17-AJ17</f>
        <v>1</v>
      </c>
      <c r="AM17" s="123">
        <f>AL17-AL18</f>
        <v>4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62500007.417491361</v>
      </c>
      <c r="AQ17" s="126">
        <f>VLOOKUP(AE17,db_fifarank,2,FALSE)</f>
        <v>1649.4</v>
      </c>
      <c r="AR17" s="125">
        <f>AP17/AP18</f>
        <v>0.71428571673776575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0 - 3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4</v>
      </c>
      <c r="AL18" s="123">
        <f>MIN(AL14:AL17)</f>
        <v>-3</v>
      </c>
      <c r="AM18" s="123">
        <f>MAX(AM14:AM17)+1</f>
        <v>6</v>
      </c>
      <c r="AN18" s="123">
        <f>MAX(AN14:AN17)+1</f>
        <v>8</v>
      </c>
      <c r="AO18" s="123">
        <f>MAX(AO14:AO17)+1</f>
        <v>9.75</v>
      </c>
      <c r="AP18" s="123">
        <f>MAX(AP14:AP17)+1</f>
        <v>87500010.084111571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South Africa</v>
      </c>
      <c r="BM18" s="61">
        <v>1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Switzerland</v>
      </c>
      <c r="BM19" s="62">
        <v>1</v>
      </c>
      <c r="BN19" s="64">
        <v>2</v>
      </c>
      <c r="BO19" s="27"/>
      <c r="BP19" s="113">
        <f>IF(BP18="","",BM19*1000+BN19*10+BO19)</f>
        <v>1020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13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90000010.175483763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3</v>
      </c>
      <c r="AL21" s="123">
        <f>AI21-AJ21</f>
        <v>1</v>
      </c>
      <c r="AM21" s="123">
        <f>AL21-AL24</f>
        <v>8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49805929.460578963</v>
      </c>
      <c r="AQ21" s="126">
        <f>VLOOKUP(AE21,db_fifarank,2,FALSE)</f>
        <v>1755.87</v>
      </c>
      <c r="AR21" s="125">
        <f>AP21/AP24</f>
        <v>0.55339914751195307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0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4 - 3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Belgium_lose</v>
      </c>
      <c r="T22" s="127" t="str">
        <f t="shared" si="2"/>
        <v>Egypt_win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-1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7.1761657755875096E-12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>
        <v>2</v>
      </c>
      <c r="BO22" s="25">
        <v>6</v>
      </c>
      <c r="BP22" s="116">
        <f>IF(OR(BM22="",BM23="",AND(BN22="",BN23&lt;&gt;""),AND(BN23="",BN22&lt;&gt;""),AND(BO22="",BO23&lt;&gt;""),AND(BO23="",BO22&lt;&gt;"")),"",BM22*1000+BN22*10+BO22)</f>
        <v>1026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4 - 4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4</v>
      </c>
      <c r="AL23" s="123">
        <f>AI23-AJ23</f>
        <v>0</v>
      </c>
      <c r="AM23" s="123">
        <f>AL23-AL24</f>
        <v>7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49805928.746164493</v>
      </c>
      <c r="AQ23" s="126">
        <f>VLOOKUP(AE23,db_fifarank,2,FALSE)</f>
        <v>1498.35</v>
      </c>
      <c r="AR23" s="125">
        <f>AP23/AP24</f>
        <v>0.55339913957401554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42"/>
      <c r="BL23" s="26" t="str">
        <f>AS21</f>
        <v>Morocco</v>
      </c>
      <c r="BM23" s="62">
        <v>1</v>
      </c>
      <c r="BN23" s="64">
        <v>2</v>
      </c>
      <c r="BO23" s="27">
        <v>7</v>
      </c>
      <c r="BP23" s="112">
        <f>IF(BP22="","",BM23*1000+BN23*10+BO23)</f>
        <v>1027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>
        <v>2</v>
      </c>
      <c r="CJ23" s="25">
        <v>7</v>
      </c>
      <c r="CK23" s="112">
        <f>IF(OR(CH23="",CH24="",AND(CI23="",CI24&lt;&gt;""),AND(CI24="",CI23&lt;&gt;""),AND(CJ23="",CJ24&lt;&gt;""),AND(CJ24="",CJ23&lt;&gt;"")),"",CH23*1000+CI23*10+CJ23)</f>
        <v>2027</v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9</v>
      </c>
      <c r="AL24" s="123">
        <f>MIN(AL20:AL23)</f>
        <v>-7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90000011.175483763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>
        <v>2</v>
      </c>
      <c r="CJ24" s="27">
        <v>5</v>
      </c>
      <c r="CK24" s="113">
        <f>IF(CK23="","",CH24*1000+CI24*10+CJ24)</f>
        <v>2025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0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6</v>
      </c>
      <c r="AN26" s="123">
        <f>AF26*3+AG26</f>
        <v>7</v>
      </c>
      <c r="AO26" s="123">
        <f>AN26/AN30*10+BA26</f>
        <v>9.7305825242718456</v>
      </c>
      <c r="AP26" s="123">
        <f>AO26*10000000+BI26*100+AM26/AM30*10+AI26/AI30*1++IF(AQ26=0,ROW(),AQ26)/2000000</f>
        <v>97305931.601807445</v>
      </c>
      <c r="AQ26" s="126">
        <f>VLOOKUP(AE26,db_fifarank,2,FALSE)</f>
        <v>1673.13</v>
      </c>
      <c r="AR26" s="125">
        <f>AP26/AP30</f>
        <v>0.99999997687743325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4 - 1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0</v>
      </c>
      <c r="AJ27" s="123">
        <f>SUMIF($E$7:$E$78,$AE27,$G$7:$G$78) + SUMIF($H$7:$H$78,$AE27,$F$7:$F$78)</f>
        <v>4</v>
      </c>
      <c r="AL27" s="123">
        <f>AI27-AJ27</f>
        <v>-4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7.5175000000000003E-4</v>
      </c>
      <c r="AQ27" s="126">
        <f>VLOOKUP(AE27,db_fifarank,2,FALSE)</f>
        <v>1503.5</v>
      </c>
      <c r="AR27" s="125">
        <f>AP27/AP30</f>
        <v>7.7256336817564235E-12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3</v>
      </c>
      <c r="AL28" s="123">
        <f>AI28-AJ28</f>
        <v>-1</v>
      </c>
      <c r="AM28" s="123">
        <f>AL28-AL30</f>
        <v>3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37500004.150790334</v>
      </c>
      <c r="AQ28" s="126">
        <f>VLOOKUP(AE28,db_fifarank,2,FALSE)</f>
        <v>1580.67</v>
      </c>
      <c r="AR28" s="125">
        <f>AP28/AP30</f>
        <v>0.38538250100878152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2 - 3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1</v>
      </c>
      <c r="AL29" s="123">
        <f>AI29-AJ29</f>
        <v>3</v>
      </c>
      <c r="AM29" s="123">
        <f>AL29-AL30</f>
        <v>7</v>
      </c>
      <c r="AN29" s="123">
        <f>AF29*3+AG29</f>
        <v>7</v>
      </c>
      <c r="AO29" s="123">
        <f>AN29/AN30*10+BA29</f>
        <v>9.7305825242718456</v>
      </c>
      <c r="AP29" s="123">
        <f>AO29*10000000+BI29*100+AM29/AM30*10+AI29/AI30*1++IF(AQ29=0,ROW(),AQ29)/2000000</f>
        <v>97305932.851770401</v>
      </c>
      <c r="AQ29" s="126">
        <f>VLOOKUP(AE29,db_fifarank,2,FALSE)</f>
        <v>1599.04</v>
      </c>
      <c r="AR29" s="125">
        <f>AP29/AP30</f>
        <v>0.99999998972313442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0 - 4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5</v>
      </c>
      <c r="AL30" s="123">
        <f>MIN(AL26:AL29)</f>
        <v>-4</v>
      </c>
      <c r="AM30" s="123">
        <f>MAX(AM26:AM29)+1</f>
        <v>8</v>
      </c>
      <c r="AN30" s="123">
        <f>MAX(AN26:AN29)+1</f>
        <v>8</v>
      </c>
      <c r="AO30" s="123">
        <f>MAX(AO26:AO29)+1</f>
        <v>10.730582524271846</v>
      </c>
      <c r="AP30" s="123">
        <f>MAX(AP26:AP29)+1</f>
        <v>97305933.851770401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0</v>
      </c>
      <c r="AL32" s="123">
        <f>AI32-AJ32</f>
        <v>9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90000010.275865197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1</v>
      </c>
      <c r="AG33" s="123">
        <f>COUNTIF($S$7:$T$78,"=" &amp; AE33 &amp; "_draw")</f>
        <v>0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4</v>
      </c>
      <c r="AL33" s="123">
        <f>AI33-AJ33</f>
        <v>-3</v>
      </c>
      <c r="AM33" s="123">
        <f>AL33-AL36</f>
        <v>3</v>
      </c>
      <c r="AN33" s="123">
        <f>AF33*3+AG33</f>
        <v>3</v>
      </c>
      <c r="AO33" s="123">
        <f>AN33/AN36*10+BA33</f>
        <v>3</v>
      </c>
      <c r="AP33" s="123">
        <f>AO33*10000000+BI33*100+AM33/AM36*10+AI33/AI36*1++IF(AQ33=0,ROW(),AQ33)/2000000</f>
        <v>30000001.975647327</v>
      </c>
      <c r="AQ33" s="126">
        <f>VLOOKUP(AE33,db_fifarank,2,FALSE)</f>
        <v>1294.6500000000001</v>
      </c>
      <c r="AR33" s="125">
        <f>AP33/AP36</f>
        <v>0.33333331352250911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Egypt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0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3 - 3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1</v>
      </c>
      <c r="V34" s="123">
        <f t="shared" si="3"/>
        <v>0</v>
      </c>
      <c r="W34" s="123">
        <f t="shared" si="4"/>
        <v>1</v>
      </c>
      <c r="X34" s="123">
        <f t="shared" si="9"/>
        <v>1</v>
      </c>
      <c r="Y34" s="123">
        <f t="shared" si="10"/>
        <v>0</v>
      </c>
      <c r="Z34" s="123">
        <f t="shared" si="11"/>
        <v>1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0</v>
      </c>
      <c r="AH34" s="123">
        <f>COUNTIF($S$7:$T$78,"=" &amp; AE34 &amp; "_lose")</f>
        <v>3</v>
      </c>
      <c r="AI34" s="123">
        <f>SUMIF($E$7:$E$78,$AE34,$F$7:$F$78) + SUMIF($H$7:$H$78,$AE34,$G$7:$G$78)</f>
        <v>0</v>
      </c>
      <c r="AJ34" s="123">
        <f>SUMIF($E$7:$E$78,$AE34,$G$7:$G$78) + SUMIF($H$7:$H$78,$AE34,$F$7:$F$78)</f>
        <v>6</v>
      </c>
      <c r="AL34" s="123">
        <f>AI34-AJ34</f>
        <v>-6</v>
      </c>
      <c r="AM34" s="123">
        <f>AL34-AL36</f>
        <v>0</v>
      </c>
      <c r="AN34" s="123">
        <f>AF34*3+AG34</f>
        <v>0</v>
      </c>
      <c r="AO34" s="123">
        <f>AN34/AN36*10+BA34</f>
        <v>0</v>
      </c>
      <c r="AP34" s="123">
        <f>AO34*10000000+BI34*100+AM34/AM36*10+AI34/AI36*1++IF(AQ34=0,ROW(),AQ34)/2000000</f>
        <v>7.6648999999999999E-4</v>
      </c>
      <c r="AQ34" s="126">
        <f>VLOOKUP(AE34,db_fifarank,2,FALSE)</f>
        <v>1532.98</v>
      </c>
      <c r="AR34" s="125">
        <f>AP34/AP36</f>
        <v>8.5165544885386628E-12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1 - 4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3</v>
      </c>
      <c r="AL35" s="123">
        <f>AI35-AJ35</f>
        <v>0</v>
      </c>
      <c r="AM35" s="123">
        <f>AL35-AL36</f>
        <v>6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60000004.050797388</v>
      </c>
      <c r="AQ35" s="126">
        <f>VLOOKUP(AE35,db_fifarank,2,FALSE)</f>
        <v>1594.78</v>
      </c>
      <c r="AR35" s="125">
        <f>AP35/AP36</f>
        <v>0.66666662815060396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10</v>
      </c>
      <c r="AL36" s="123">
        <f>MIN(AL32:AL35)</f>
        <v>-6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90000011.275865197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0</v>
      </c>
      <c r="BU36" s="63">
        <v>0</v>
      </c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Egypt</v>
      </c>
      <c r="BT37" s="62">
        <v>0</v>
      </c>
      <c r="BU37" s="64">
        <v>1</v>
      </c>
      <c r="BV37" s="27"/>
      <c r="BW37" s="112">
        <f>IF(BW36="","",BT37*1000+BU37*10+BV37)</f>
        <v>10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>
        <v>2</v>
      </c>
      <c r="CQ37" s="25">
        <v>7</v>
      </c>
      <c r="CR37" s="111">
        <f>IF(OR(CO37="",CO38="",AND(CP37="",CP38&lt;&gt;""),AND(CP38="",CP37&lt;&gt;""),AND(CQ37="",CQ38&lt;&gt;""),AND(CQ38="",CQ37&lt;&gt;"")),"",CO37*1000+CP37*10+CQ37)</f>
        <v>2027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90000009.858021781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Egypt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2</v>
      </c>
      <c r="CP38" s="64">
        <v>2</v>
      </c>
      <c r="CQ38" s="27">
        <v>8</v>
      </c>
      <c r="CR38" s="111">
        <f>IF(CR37="","",CO38*1000+CP38*10+CQ38)</f>
        <v>2028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3</v>
      </c>
      <c r="AN39" s="123">
        <f>AF39*3+AG39</f>
        <v>3</v>
      </c>
      <c r="AO39" s="123">
        <f>AN39/AN42*10+BA39</f>
        <v>3</v>
      </c>
      <c r="AP39" s="123">
        <f>AO39*10000000+BI39*100+AM39/AM42*10+AI39/AI42*1++IF(AQ39=0,ROW(),AQ39)/2000000</f>
        <v>30000003.429401644</v>
      </c>
      <c r="AQ39" s="126">
        <f>VLOOKUP(AE39,db_fifarank,2,FALSE)</f>
        <v>1660.43</v>
      </c>
      <c r="AR39" s="125">
        <f>AP39/AP42</f>
        <v>0.33333333122290082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Korea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3 - 3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4</v>
      </c>
      <c r="AN40" s="123">
        <f>AF40*3+AG40</f>
        <v>6</v>
      </c>
      <c r="AO40" s="123">
        <f>AN40/AN42*10+BA40</f>
        <v>6</v>
      </c>
      <c r="AP40" s="123">
        <f>AO40*10000000+BI40*100+AM40/AM42*10+AI40/AI42*1++IF(AQ40=0,ROW(),AQ40)/2000000</f>
        <v>60000004.429328807</v>
      </c>
      <c r="AQ40" s="126">
        <f>VLOOKUP(AE40,db_fifarank,2,FALSE)</f>
        <v>1514.77</v>
      </c>
      <c r="AR40" s="125">
        <f>AP40/AP42</f>
        <v>0.66666663545164395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3 - 4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4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8.2391656726551072E-12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0 - 4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7</v>
      </c>
      <c r="AL42" s="123">
        <f>MIN(AL38:AL41)</f>
        <v>-4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90000010.858021781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2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0</v>
      </c>
      <c r="AH44" s="123">
        <f>COUNTIF($S$7:$T$78,"=" &amp; AE44 &amp; "_lose")</f>
        <v>1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2</v>
      </c>
      <c r="AL44" s="123">
        <f>AI44-AJ44</f>
        <v>2</v>
      </c>
      <c r="AM44" s="123">
        <f>AL44-AL48</f>
        <v>7</v>
      </c>
      <c r="AN44" s="123">
        <f>AF44*3+AG44</f>
        <v>6</v>
      </c>
      <c r="AO44" s="123">
        <f>AN44/AN48*10+BA44</f>
        <v>6</v>
      </c>
      <c r="AP44" s="123">
        <f>AO44*10000000+BI44*100+AM44/AM48*10+AI44/AI48*1++IF(AQ44=0,ROW(),AQ44)/2000000</f>
        <v>60000007.031170383</v>
      </c>
      <c r="AQ44" s="126">
        <f>VLOOKUP(AE44,db_fifarank,2,FALSE)</f>
        <v>1734.71</v>
      </c>
      <c r="AR44" s="125">
        <f>AP44/AP48</f>
        <v>0.66666666386467832</v>
      </c>
      <c r="AS44" s="125" t="str">
        <f>IF(SUM(AF44:AH47)=12,J45,"1G")</f>
        <v>Egypt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>
        <v>1</v>
      </c>
      <c r="BV44" s="25">
        <v>6</v>
      </c>
      <c r="BW44" s="112">
        <f>IF(OR(BT44="",BT45="",AND(BU44="",BU45&lt;&gt;""),AND(BU45="",BU44&lt;&gt;""),AND(BV44="",BV45&lt;&gt;""),AND(BV45="",BV44&lt;&gt;"")),"",BT44*1000+BU44*10+BV44)</f>
        <v>1016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Egypt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5 - 0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1</v>
      </c>
      <c r="AE45" s="124" t="str">
        <f>VLOOKUP("Egypt",T,lang,FALSE)</f>
        <v>Egypt</v>
      </c>
      <c r="AF45" s="123">
        <f>COUNTIF($S$7:$T$78,"=" &amp; AE45 &amp; "_win")</f>
        <v>3</v>
      </c>
      <c r="AG45" s="123">
        <f>COUNTIF($S$7:$T$78,"=" &amp; AE45 &amp; "_draw")</f>
        <v>0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0</v>
      </c>
      <c r="AL45" s="123">
        <f>AI45-AJ45</f>
        <v>5</v>
      </c>
      <c r="AM45" s="123">
        <f>AL45-AL48</f>
        <v>10</v>
      </c>
      <c r="AN45" s="123">
        <f>AF45*3+AG45</f>
        <v>9</v>
      </c>
      <c r="AO45" s="123">
        <f>AN45/AN48*10+BA45</f>
        <v>9</v>
      </c>
      <c r="AP45" s="123">
        <f>AO45*10000000+BI45*100+AM45/AM48*10+AI45/AI48*1++IF(AQ45=0,ROW(),AQ45)/2000000</f>
        <v>90000009.925024047</v>
      </c>
      <c r="AQ45" s="126">
        <f>VLOOKUP(AE45,db_fifarank,2,FALSE)</f>
        <v>1563.24</v>
      </c>
      <c r="AR45" s="125">
        <f>AP45/AP48</f>
        <v>0.99999998888889019</v>
      </c>
      <c r="AS45" s="125" t="str">
        <f>IF(SUM(AF44:AH47)=12,J46,"2G")</f>
        <v>Belgium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>
        <v>1</v>
      </c>
      <c r="BV45" s="27">
        <v>7</v>
      </c>
      <c r="BW45" s="113">
        <f>IF(BW44="","",BT45*1000+BU45*10+BV45)</f>
        <v>1017</v>
      </c>
      <c r="CK45" s="114"/>
      <c r="CM45" s="147"/>
      <c r="CN45" s="148"/>
      <c r="CO45" s="148"/>
      <c r="CP45" s="148"/>
      <c r="CQ45" s="149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Belgium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3</v>
      </c>
      <c r="AL46" s="123">
        <f>AI46-AJ46</f>
        <v>-2</v>
      </c>
      <c r="AM46" s="123">
        <f>AL46-AL48</f>
        <v>3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30000002.894747045</v>
      </c>
      <c r="AQ46" s="126">
        <f>VLOOKUP(AE46,db_fifarank,2,FALSE)</f>
        <v>1615.3</v>
      </c>
      <c r="AR46" s="125">
        <f>AP46/AP48</f>
        <v>0.33333332503413837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1 - 3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7.1198324690628778E-12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1</v>
      </c>
      <c r="BN47" s="64">
        <v>3</v>
      </c>
      <c r="BO47" s="27"/>
      <c r="BP47" s="112">
        <f>IF(BP46="","",BM47*1000+BN47*10+BO47)</f>
        <v>1030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0 - 5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6</v>
      </c>
      <c r="AL48" s="123">
        <f>MIN(AL44:AL47)</f>
        <v>-5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90000010.925024047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2</v>
      </c>
      <c r="AL50" s="123">
        <f>AI50-AJ50</f>
        <v>6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90000010.120596334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Czech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7.5896101733223227E-12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2</v>
      </c>
      <c r="BN51" s="64"/>
      <c r="BO51" s="27"/>
      <c r="BP51" s="113">
        <f>IF(BP50="","",BM51*1000+BN51*10+BO51)</f>
        <v>2000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30000002.530625246</v>
      </c>
      <c r="AQ52" s="126">
        <f>VLOOKUP(AE52,db_fifarank,2,FALSE)</f>
        <v>1421.43</v>
      </c>
      <c r="AR52" s="125">
        <f>AP52/AP54</f>
        <v>0.33333332026399942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Scotland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2 - 5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60000007.479469009</v>
      </c>
      <c r="AQ53" s="126">
        <f>VLOOKUP(AE53,db_fifarank,2,FALSE)</f>
        <v>1673.07</v>
      </c>
      <c r="AR53" s="125">
        <f>AP53/AP54</f>
        <v>0.66666666739709013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0 - 6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-6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90000011.120596334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Uzbekistan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90000010.175541833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6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30000004.731003225</v>
      </c>
      <c r="AQ57" s="126">
        <f>VLOOKUP(AE57,db_fifarank,2,FALSE)</f>
        <v>1688.99</v>
      </c>
      <c r="AR57" s="125">
        <f>AP57/AP60</f>
        <v>0.33333334450913876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8.0396656683597791E-12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2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Republic_win</v>
      </c>
      <c r="T59" s="127" t="str">
        <f t="shared" si="20"/>
        <v>Mexico_lose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60000006.984902449</v>
      </c>
      <c r="AQ59" s="126">
        <f>VLOOKUP(AE59,db_fifarank,2,FALSE)</f>
        <v>1550.94</v>
      </c>
      <c r="AR59" s="125">
        <f>AP59/AP60</f>
        <v>0.66666666149490317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2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1</v>
      </c>
      <c r="V60" s="123">
        <f t="shared" si="21"/>
        <v>2</v>
      </c>
      <c r="W60" s="123">
        <f t="shared" si="22"/>
        <v>1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-7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90000011.175541833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Curaçao_win</v>
      </c>
      <c r="T61" s="127" t="str">
        <f t="shared" si="20"/>
        <v>Ivory Coast_lose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Belgium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0</v>
      </c>
      <c r="AL62" s="123">
        <f>AI62-AJ62</f>
        <v>8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2</v>
      </c>
      <c r="AN63" s="123">
        <f>AF63*3+AG63</f>
        <v>4</v>
      </c>
      <c r="AO63" s="123">
        <f>AN63/AN66*10+BA63</f>
        <v>4</v>
      </c>
      <c r="AP63" s="123">
        <f>AO63*10000000+BI63*100+AM63/AM66*10+AI63/AI66*1++IF(AQ63=0,ROW(),AQ63)/2000000</f>
        <v>40000001.761465892</v>
      </c>
      <c r="AQ63" s="126">
        <f>VLOOKUP(AE63,db_fifarank,2,FALSE)</f>
        <v>1564.26</v>
      </c>
      <c r="AR63" s="125">
        <f>AP63/AP66</f>
        <v>0.44444440909977084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Belgium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2 - 4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0</v>
      </c>
      <c r="AG64" s="123">
        <f>COUNTIF($S$7:$T$78,"=" &amp; AE64 &amp; "_draw")</f>
        <v>2</v>
      </c>
      <c r="AH64" s="123">
        <f>COUNTIF($S$7:$T$78,"=" &amp; AE64 &amp; "_lose")</f>
        <v>1</v>
      </c>
      <c r="AI64" s="123">
        <f>SUMIF($E$7:$E$78,$AE64,$F$7:$F$78) + SUMIF($H$7:$H$78,$AE64,$G$7:$G$78)</f>
        <v>1</v>
      </c>
      <c r="AJ64" s="123">
        <f>SUMIF($E$7:$E$78,$AE64,$G$7:$G$78) + SUMIF($H$7:$H$78,$AE64,$F$7:$F$78)</f>
        <v>3</v>
      </c>
      <c r="AL64" s="123">
        <f>AI64-AJ64</f>
        <v>-2</v>
      </c>
      <c r="AM64" s="123">
        <f>AL64-AL66</f>
        <v>2</v>
      </c>
      <c r="AN64" s="123">
        <f>AF64*3+AG64</f>
        <v>2</v>
      </c>
      <c r="AO64" s="123">
        <f>AN64/AN66*10+BA64</f>
        <v>2</v>
      </c>
      <c r="AP64" s="123">
        <f>AO64*10000000+BI64*100+AM64/AM66*10+AI64/AI66*1++IF(AQ64=0,ROW(),AQ64)/2000000</f>
        <v>20000001.650369376</v>
      </c>
      <c r="AQ64" s="126">
        <f>VLOOKUP(AE64,db_fifarank,2,FALSE)</f>
        <v>1593.45</v>
      </c>
      <c r="AR64" s="125">
        <f>AP64/AP66</f>
        <v>0.22222221310140025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2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10000000.000695726</v>
      </c>
      <c r="AQ65" s="126">
        <f>VLOOKUP(AE65,db_fifarank,2,FALSE)</f>
        <v>1391.45</v>
      </c>
      <c r="AR65" s="125">
        <f>AP65/AP66</f>
        <v>0.1111110973897128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Senegal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0 - 4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9</v>
      </c>
      <c r="AL66" s="123">
        <f>MIN(AL62:AL65)</f>
        <v>-4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Senegal</v>
      </c>
      <c r="BM67" s="62">
        <v>2</v>
      </c>
      <c r="BN67" s="64"/>
      <c r="BO67" s="27"/>
      <c r="BP67" s="113">
        <f>IF(BP66="","",BM67*1000+BN67*10+BO67)</f>
        <v>2000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10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90000009.948933855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Senegal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Argentina</v>
      </c>
      <c r="CL68" s="131"/>
      <c r="CM68" s="131"/>
      <c r="CN68" s="131"/>
      <c r="CO68" s="131"/>
      <c r="CP68" s="131"/>
      <c r="CQ68" s="131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7.391749999999999E-4</v>
      </c>
      <c r="AQ69" s="126">
        <f>VLOOKUP(AE69,db_fifarank,2,FALSE)</f>
        <v>1478.35</v>
      </c>
      <c r="AR69" s="125">
        <f>AP69/AP72</f>
        <v>8.2130545563978759E-12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Ghana</v>
      </c>
      <c r="BT69" s="62">
        <v>0</v>
      </c>
      <c r="BU69" s="64"/>
      <c r="BV69" s="27"/>
      <c r="BW69" s="112">
        <f>IF(BW68="","",BT69*1000+BU69*10+BV69)</f>
        <v>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4</v>
      </c>
      <c r="AL70" s="123">
        <f>AI70-AJ70</f>
        <v>-2</v>
      </c>
      <c r="AM70" s="123">
        <f>AL70-AL72</f>
        <v>3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30000003.013719685</v>
      </c>
      <c r="AQ70" s="126">
        <f>VLOOKUP(AE70,db_fifarank,2,FALSE)</f>
        <v>1465.34</v>
      </c>
      <c r="AR70" s="125">
        <f>AP70/AP72</f>
        <v>0.33333332626750162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2 - 4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60000007.078768626</v>
      </c>
      <c r="AQ71" s="126">
        <f>VLOOKUP(AE71,db_fifarank,2,FALSE)</f>
        <v>1693.09</v>
      </c>
      <c r="AR71" s="125">
        <f>AP71/AP72</f>
        <v>0.66666666421643794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2</v>
      </c>
      <c r="BN71" s="64"/>
      <c r="BO71" s="27"/>
      <c r="BP71" s="112">
        <f>IF(BP70="","",BM71*1000+BN71*10+BO71)</f>
        <v>2000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0 - 5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7</v>
      </c>
      <c r="AL72" s="123">
        <f>MIN(AL68:AL71)</f>
        <v>-5</v>
      </c>
      <c r="AM72" s="123">
        <f>MAX(AM68:AM71)+1</f>
        <v>11</v>
      </c>
      <c r="AN72" s="123">
        <f>MAX(AN68:AN71)+1</f>
        <v>10</v>
      </c>
      <c r="AO72" s="123">
        <f>MAX(AO68:AO71)+1</f>
        <v>10</v>
      </c>
      <c r="AP72" s="123">
        <f>MAX(AP68:AP71)+1</f>
        <v>90000010.948933855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97305933.047915608</v>
      </c>
      <c r="AQ74" s="126">
        <f>VLOOKUP(AE74,db_fifarank,2,FALSE)</f>
        <v>1825.97</v>
      </c>
      <c r="AR74" s="125">
        <f>AP74/AP78</f>
        <v>0.99999998972313442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6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97305930.539924651</v>
      </c>
      <c r="AQ75" s="126">
        <f>VLOOKUP(AE75,db_fifarank,2,FALSE)</f>
        <v>1717.07</v>
      </c>
      <c r="AR75" s="125">
        <f>AP75/AP78</f>
        <v>0.9999999639488486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4 - 2</v>
      </c>
      <c r="P76" s="34">
        <f>L76*3+M76</f>
        <v>7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2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37500002.50860966</v>
      </c>
      <c r="AQ76" s="126">
        <f>VLOOKUP(AE76,db_fifarank,2,FALSE)</f>
        <v>1346.31</v>
      </c>
      <c r="AR76" s="125">
        <f>AP76/AP78</f>
        <v>0.3853824833554737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1.476040122963287E-9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1 - 5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97305934.047915608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6560.0007943299997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8790.0006929200008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4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8830.0007491750002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4 - 5</v>
      </c>
      <c r="P83" s="101">
        <f t="shared" si="48"/>
        <v>3</v>
      </c>
      <c r="AD83" s="123">
        <f t="shared" si="38"/>
        <v>6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6540.0007903349997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Ⓕ Japan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Curaçao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4</v>
      </c>
      <c r="AK84" s="123" t="s">
        <v>3185</v>
      </c>
      <c r="AL84" s="123">
        <f t="shared" si="43"/>
        <v>-3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6020.0006473249996</v>
      </c>
      <c r="AQ84" s="126">
        <f t="shared" si="37"/>
        <v>1294.6500000000001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Curaçao</v>
      </c>
    </row>
    <row r="85" spans="1:46" ht="15" customHeight="1" x14ac:dyDescent="0.2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Ⓐ Korea Republic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4</v>
      </c>
      <c r="AE85" s="124" t="str">
        <f>J41</f>
        <v>Japan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6560.000830215</v>
      </c>
      <c r="AQ85" s="126">
        <f t="shared" si="37"/>
        <v>1660.43</v>
      </c>
      <c r="AR85" s="125" t="str">
        <f t="shared" si="50"/>
        <v>ABCDF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Ⓓ Australia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9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1</v>
      </c>
      <c r="AN86" s="123">
        <f t="shared" si="45"/>
        <v>3</v>
      </c>
      <c r="AP86" s="123">
        <f>AN86/AN92*10000+AM86/AM92*1000+AI86/AI92*100+IF(AQ86=0,ROW(),AQ86)/2000000</f>
        <v>6270.0008076499998</v>
      </c>
      <c r="AQ86" s="126">
        <f t="shared" si="37"/>
        <v>1615.3</v>
      </c>
      <c r="AR86" s="125" t="str">
        <f t="shared" si="50"/>
        <v>ABCDF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Ⓚ Uzbekistan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6040.0007107150004</v>
      </c>
      <c r="AQ87" s="126">
        <f t="shared" si="37"/>
        <v>1421.43</v>
      </c>
      <c r="AR87" s="125" t="str">
        <f t="shared" si="50"/>
        <v>ABCDF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Ⓛ Ghana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6580.0008444949999</v>
      </c>
      <c r="AQ88" s="126">
        <f t="shared" si="37"/>
        <v>1688.99</v>
      </c>
      <c r="AR88" s="125" t="str">
        <f t="shared" si="50"/>
        <v>ABCDFI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1 - 3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12</v>
      </c>
      <c r="AE89" s="124" t="str">
        <f>J65</f>
        <v>Austria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2</v>
      </c>
      <c r="AP89" s="123">
        <f>AN89/AN92*10000+AM89/AM92*1000+AI89/AI92*100+IF(AQ89=0,ROW(),AQ89)/2000000</f>
        <v>4270.0007967250003</v>
      </c>
      <c r="AQ89" s="126">
        <f t="shared" si="37"/>
        <v>1593.45</v>
      </c>
      <c r="AR89" s="125" t="str">
        <f t="shared" si="50"/>
        <v>ABCDFI</v>
      </c>
      <c r="AS89" s="129" t="str">
        <f t="shared" si="46"/>
        <v/>
      </c>
      <c r="AT89" s="130" t="str">
        <f>"Ⓙ "&amp;AE89</f>
        <v>Ⓙ Austria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2 - 5</v>
      </c>
      <c r="P90" s="104">
        <f t="shared" si="48"/>
        <v>3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7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4</v>
      </c>
      <c r="AK90" s="123" t="s">
        <v>3191</v>
      </c>
      <c r="AL90" s="123">
        <f t="shared" si="43"/>
        <v>-2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6290.0007326699997</v>
      </c>
      <c r="AQ90" s="126">
        <f t="shared" si="37"/>
        <v>1465.34</v>
      </c>
      <c r="AR90" s="125" t="str">
        <f t="shared" si="50"/>
        <v>ABCDFIK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Curaçao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3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Egypt</v>
      </c>
      <c r="T91" s="127" t="str" cm="1">
        <f t="array" ref="T91">IF(OR(S91="",S91="draw"),INDEX(T,93,lang),S91)</f>
        <v>Egypt</v>
      </c>
      <c r="AD91" s="123">
        <f t="shared" si="38"/>
        <v>8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6290.0006731550002</v>
      </c>
      <c r="AQ91" s="126">
        <f t="shared" si="37"/>
        <v>1346.31</v>
      </c>
      <c r="AR91" s="125" t="str">
        <f t="shared" si="50"/>
        <v>ABCDFIKL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Austria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1 - 3</v>
      </c>
      <c r="P92" s="107">
        <f t="shared" si="48"/>
        <v>2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Egypt</v>
      </c>
      <c r="T98" s="127" t="str" cm="1">
        <f t="array" ref="T98">IF(OR(S98="",S98="draw"),INDEX(T,97,lang),S98)</f>
        <v>Egypt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Egypt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Egypt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442</v>
      </c>
      <c r="C3" s="121" t="str">
        <f>'2026 World Cup'!AR91</f>
        <v>ABCDFIKL</v>
      </c>
      <c r="D3" s="121" t="str">
        <f>VLOOKUP($C3,$C$6:$K$500,2,FALSE)</f>
        <v>3C</v>
      </c>
      <c r="E3" s="121" t="str">
        <f>VLOOKUP($C3,$C$6:$K$500,3,FALSE)</f>
        <v>3I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Øivind Bratberg</cp:lastModifiedBy>
  <cp:revision/>
  <dcterms:created xsi:type="dcterms:W3CDTF">2017-12-27T19:32:51Z</dcterms:created>
  <dcterms:modified xsi:type="dcterms:W3CDTF">2026-06-07T19:41:06Z</dcterms:modified>
  <cp:category>Sports</cp:category>
  <cp:contentStatus/>
</cp:coreProperties>
</file>
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avas\git\VM2026\tmp\"/>
    </mc:Choice>
  </mc:AlternateContent>
  <xr:revisionPtr revIDLastSave="0" documentId="13_ncr:1_{D1AD6F2C-9E4B-482F-A637-7EC9CDAA82AA}" xr6:coauthVersionLast="47" xr6:coauthVersionMax="47" xr10:uidLastSave="{00000000-0000-0000-0000-000000000000}"/>
  <bookViews>
    <workbookView xWindow="5748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S74" i="3"/>
  <c r="S28" i="3"/>
  <c r="S51" i="3"/>
  <c r="S30" i="3"/>
  <c r="S78" i="3"/>
  <c r="S26" i="3"/>
  <c r="S75" i="3"/>
  <c r="S25" i="3"/>
  <c r="T25" i="3" s="1"/>
  <c r="S49" i="3"/>
  <c r="S68" i="3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S61" i="3"/>
  <c r="T61" i="3" s="1"/>
  <c r="S16" i="3"/>
  <c r="S39" i="3"/>
  <c r="S66" i="3"/>
  <c r="S10" i="3"/>
  <c r="T10" i="3" s="1"/>
  <c r="S37" i="3"/>
  <c r="S11" i="3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74" i="3"/>
  <c r="T28" i="3"/>
  <c r="T51" i="3"/>
  <c r="S54" i="3"/>
  <c r="S77" i="3"/>
  <c r="T30" i="3"/>
  <c r="T78" i="3"/>
  <c r="S50" i="3"/>
  <c r="S76" i="3"/>
  <c r="T26" i="3"/>
  <c r="T75" i="3"/>
  <c r="T49" i="3"/>
  <c r="S47" i="3"/>
  <c r="S67" i="3"/>
  <c r="T68" i="3"/>
  <c r="S72" i="3"/>
  <c r="S70" i="3"/>
  <c r="S42" i="3"/>
  <c r="S64" i="3"/>
  <c r="S40" i="3"/>
  <c r="S62" i="3"/>
  <c r="T15" i="3"/>
  <c r="T16" i="3"/>
  <c r="T39" i="3"/>
  <c r="S38" i="3"/>
  <c r="S65" i="3"/>
  <c r="T66" i="3"/>
  <c r="T37" i="3"/>
  <c r="S55" i="3"/>
  <c r="T11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/>
  <c r="BH10" i="3" l="1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/>
  <c r="AP26" i="3" s="1"/>
  <c r="BI69" i="3"/>
  <c r="AP69" i="3" s="1"/>
  <c r="BI22" i="3" l="1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AP72" i="3" s="1"/>
  <c r="AR68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9" i="3"/>
  <c r="AR28" i="3"/>
  <c r="AR27" i="3"/>
  <c r="AR35" i="3"/>
  <c r="AR34" i="3"/>
  <c r="AR33" i="3"/>
  <c r="AR71" i="3"/>
  <c r="AR70" i="3"/>
  <c r="AR69" i="3"/>
  <c r="AR76" i="3" l="1"/>
  <c r="AR75" i="3"/>
  <c r="AR77" i="3"/>
  <c r="AR41" i="3"/>
  <c r="AR65" i="3"/>
  <c r="AR40" i="3"/>
  <c r="AR23" i="3"/>
  <c r="AD22" i="3" s="1"/>
  <c r="AR51" i="3"/>
  <c r="AR52" i="3"/>
  <c r="AR53" i="3"/>
  <c r="AR46" i="3"/>
  <c r="AR15" i="3"/>
  <c r="AR45" i="3"/>
  <c r="AR63" i="3"/>
  <c r="AR47" i="3"/>
  <c r="AD44" i="3" s="1"/>
  <c r="AR64" i="3"/>
  <c r="AR39" i="3"/>
  <c r="AD39" i="3" s="1"/>
  <c r="AD56" i="3"/>
  <c r="AR16" i="3"/>
  <c r="AR17" i="3"/>
  <c r="AD59" i="3"/>
  <c r="AD75" i="3"/>
  <c r="AD74" i="3"/>
  <c r="AD76" i="3"/>
  <c r="AD69" i="3"/>
  <c r="AD68" i="3"/>
  <c r="AD70" i="3"/>
  <c r="AD71" i="3"/>
  <c r="AD33" i="3"/>
  <c r="AD32" i="3"/>
  <c r="AD34" i="3"/>
  <c r="AD35" i="3"/>
  <c r="AD27" i="3"/>
  <c r="AD26" i="3"/>
  <c r="AD28" i="3"/>
  <c r="AD29" i="3"/>
  <c r="AD21" i="3"/>
  <c r="AD20" i="3"/>
  <c r="AD9" i="3"/>
  <c r="AD8" i="3"/>
  <c r="AD10" i="3"/>
  <c r="AD11" i="3"/>
  <c r="AD77" i="3" l="1"/>
  <c r="AD53" i="3"/>
  <c r="M58" i="3"/>
  <c r="AD14" i="3"/>
  <c r="L59" i="3"/>
  <c r="O60" i="3"/>
  <c r="N58" i="3"/>
  <c r="AD15" i="3"/>
  <c r="AD63" i="3"/>
  <c r="AD62" i="3"/>
  <c r="M59" i="3"/>
  <c r="L58" i="3"/>
  <c r="P58" i="3" s="1"/>
  <c r="AD41" i="3"/>
  <c r="AD47" i="3"/>
  <c r="L57" i="3"/>
  <c r="AD64" i="3"/>
  <c r="L64" i="3" s="1"/>
  <c r="AD16" i="3"/>
  <c r="L60" i="3"/>
  <c r="J57" i="3"/>
  <c r="AS56" i="3" s="1"/>
  <c r="BL14" i="3" s="1"/>
  <c r="J59" i="3"/>
  <c r="AE88" i="3" s="1"/>
  <c r="AQ88" i="3" s="1"/>
  <c r="AD46" i="3"/>
  <c r="M46" i="3" s="1"/>
  <c r="M60" i="3"/>
  <c r="O57" i="3"/>
  <c r="N60" i="3"/>
  <c r="M57" i="3"/>
  <c r="AD23" i="3"/>
  <c r="L23" i="3" s="1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M41" i="3" s="1"/>
  <c r="AD50" i="3"/>
  <c r="N59" i="3"/>
  <c r="K59" i="3" s="1"/>
  <c r="AD17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22" i="3"/>
  <c r="AS21" i="3" s="1"/>
  <c r="BL23" i="3" s="1"/>
  <c r="J21" i="3"/>
  <c r="AS20" i="3" s="1"/>
  <c r="BL42" i="3" s="1"/>
  <c r="L21" i="3"/>
  <c r="M22" i="3"/>
  <c r="O21" i="3"/>
  <c r="L22" i="3"/>
  <c r="N21" i="3"/>
  <c r="O22" i="3"/>
  <c r="M21" i="3"/>
  <c r="N22" i="3"/>
  <c r="J30" i="3"/>
  <c r="J29" i="3"/>
  <c r="AE83" i="3" s="1"/>
  <c r="AQ83" i="3" s="1"/>
  <c r="J28" i="3"/>
  <c r="AS27" i="3" s="1"/>
  <c r="BL62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P57" i="3" l="1"/>
  <c r="K58" i="3"/>
  <c r="L42" i="3"/>
  <c r="M40" i="3"/>
  <c r="S89" i="3"/>
  <c r="T89" i="3" s="1" a="1"/>
  <c r="T89" i="3" s="1"/>
  <c r="BS21" i="3"/>
  <c r="M18" i="3"/>
  <c r="S86" i="3"/>
  <c r="T86" i="3" s="1" a="1"/>
  <c r="T86" i="3" s="1"/>
  <c r="BS28" i="3"/>
  <c r="L18" i="3"/>
  <c r="N18" i="3"/>
  <c r="O18" i="3"/>
  <c r="L45" i="3"/>
  <c r="J18" i="3"/>
  <c r="J63" i="3"/>
  <c r="AS62" i="3" s="1"/>
  <c r="BL58" i="3" s="1"/>
  <c r="O51" i="3"/>
  <c r="M17" i="3"/>
  <c r="J65" i="3"/>
  <c r="AE89" i="3" s="1"/>
  <c r="AQ89" i="3" s="1"/>
  <c r="N65" i="3"/>
  <c r="O65" i="3"/>
  <c r="M65" i="3"/>
  <c r="O63" i="3"/>
  <c r="M47" i="3"/>
  <c r="L65" i="3"/>
  <c r="O45" i="3"/>
  <c r="N45" i="3"/>
  <c r="M45" i="3"/>
  <c r="J64" i="3"/>
  <c r="AS63" i="3" s="1"/>
  <c r="BL31" i="3" s="1"/>
  <c r="J45" i="3"/>
  <c r="AS44" i="3" s="1"/>
  <c r="BL38" i="3" s="1"/>
  <c r="O40" i="3"/>
  <c r="M63" i="3"/>
  <c r="N63" i="3"/>
  <c r="L63" i="3"/>
  <c r="L16" i="3"/>
  <c r="O47" i="3"/>
  <c r="N47" i="3"/>
  <c r="L47" i="3"/>
  <c r="J47" i="3"/>
  <c r="AE86" i="3" s="1"/>
  <c r="AQ86" i="3" s="1"/>
  <c r="O41" i="3"/>
  <c r="O39" i="3"/>
  <c r="M39" i="3"/>
  <c r="N41" i="3"/>
  <c r="O42" i="3"/>
  <c r="L40" i="3"/>
  <c r="P40" i="3" s="1"/>
  <c r="M54" i="3"/>
  <c r="J24" i="3"/>
  <c r="O16" i="3"/>
  <c r="O64" i="3"/>
  <c r="L41" i="3"/>
  <c r="P41" i="3" s="1"/>
  <c r="O24" i="3"/>
  <c r="J40" i="3"/>
  <c r="AS39" i="3" s="1"/>
  <c r="BL43" i="3" s="1"/>
  <c r="BS44" i="3" s="1"/>
  <c r="N39" i="3"/>
  <c r="J39" i="3"/>
  <c r="AS38" i="3" s="1"/>
  <c r="BL22" i="3" s="1"/>
  <c r="J42" i="3"/>
  <c r="N24" i="3"/>
  <c r="M24" i="3"/>
  <c r="N16" i="3"/>
  <c r="J51" i="3"/>
  <c r="AS50" i="3" s="1"/>
  <c r="BL30" i="3" s="1"/>
  <c r="N51" i="3"/>
  <c r="L24" i="3"/>
  <c r="K57" i="3"/>
  <c r="J16" i="3"/>
  <c r="AS15" i="3" s="1"/>
  <c r="BL19" i="3" s="1"/>
  <c r="N64" i="3"/>
  <c r="N17" i="3"/>
  <c r="M64" i="3"/>
  <c r="P64" i="3" s="1"/>
  <c r="L17" i="3"/>
  <c r="P17" i="3" s="1"/>
  <c r="M16" i="3"/>
  <c r="O17" i="3"/>
  <c r="L51" i="3"/>
  <c r="L66" i="3"/>
  <c r="M51" i="3"/>
  <c r="J41" i="3"/>
  <c r="AE85" i="3" s="1"/>
  <c r="AQ85" i="3" s="1"/>
  <c r="J17" i="3"/>
  <c r="AE81" i="3" s="1"/>
  <c r="AQ81" i="3" s="1"/>
  <c r="O52" i="3"/>
  <c r="J66" i="3"/>
  <c r="O66" i="3"/>
  <c r="N66" i="3"/>
  <c r="L15" i="3"/>
  <c r="M66" i="3"/>
  <c r="O53" i="3"/>
  <c r="L46" i="3"/>
  <c r="P46" i="3" s="1"/>
  <c r="AL88" i="3"/>
  <c r="AT88" i="3"/>
  <c r="O48" i="3"/>
  <c r="N46" i="3"/>
  <c r="M23" i="3"/>
  <c r="P23" i="3" s="1"/>
  <c r="J54" i="3"/>
  <c r="J48" i="3"/>
  <c r="J46" i="3"/>
  <c r="AS45" i="3" s="1"/>
  <c r="BL63" i="3" s="1"/>
  <c r="BS61" i="3" s="1"/>
  <c r="N54" i="3"/>
  <c r="L53" i="3"/>
  <c r="J53" i="3"/>
  <c r="AE87" i="3" s="1"/>
  <c r="AQ87" i="3" s="1"/>
  <c r="M42" i="3"/>
  <c r="P42" i="3" s="1"/>
  <c r="O46" i="3"/>
  <c r="AN88" i="3"/>
  <c r="J52" i="3"/>
  <c r="AS51" i="3" s="1"/>
  <c r="BL59" i="3" s="1"/>
  <c r="N40" i="3"/>
  <c r="J23" i="3"/>
  <c r="AE82" i="3" s="1"/>
  <c r="AQ82" i="3" s="1"/>
  <c r="AG88" i="3"/>
  <c r="L48" i="3"/>
  <c r="M52" i="3"/>
  <c r="N15" i="3"/>
  <c r="N48" i="3"/>
  <c r="AJ88" i="3"/>
  <c r="M53" i="3"/>
  <c r="O54" i="3"/>
  <c r="AH88" i="3"/>
  <c r="M48" i="3"/>
  <c r="AF88" i="3"/>
  <c r="L52" i="3"/>
  <c r="L54" i="3"/>
  <c r="N52" i="3"/>
  <c r="L39" i="3"/>
  <c r="O23" i="3"/>
  <c r="N53" i="3"/>
  <c r="AI88" i="3"/>
  <c r="N23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2" i="3"/>
  <c r="K22" i="3"/>
  <c r="P21" i="3"/>
  <c r="K21" i="3"/>
  <c r="P18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K18" i="3" l="1"/>
  <c r="BZ17" i="3"/>
  <c r="S96" i="3"/>
  <c r="T96" i="3" s="1" a="1"/>
  <c r="T96" i="3" s="1"/>
  <c r="BS60" i="3"/>
  <c r="BZ64" i="3" s="1"/>
  <c r="AI81" i="3"/>
  <c r="K45" i="3"/>
  <c r="P65" i="3"/>
  <c r="S87" i="3"/>
  <c r="T87" i="3" s="1" a="1"/>
  <c r="T87" i="3" s="1"/>
  <c r="BS29" i="3"/>
  <c r="S88" i="3"/>
  <c r="T88" i="3" s="1" a="1"/>
  <c r="T88" i="3" s="1"/>
  <c r="BS20" i="3"/>
  <c r="AF89" i="3"/>
  <c r="P63" i="3"/>
  <c r="AG89" i="3"/>
  <c r="AT89" i="3"/>
  <c r="AN89" i="3"/>
  <c r="AI89" i="3"/>
  <c r="AL89" i="3"/>
  <c r="AJ89" i="3"/>
  <c r="AH89" i="3"/>
  <c r="K47" i="3"/>
  <c r="K65" i="3"/>
  <c r="P39" i="3"/>
  <c r="P45" i="3"/>
  <c r="P16" i="3"/>
  <c r="AG86" i="3"/>
  <c r="AF86" i="3"/>
  <c r="P47" i="3"/>
  <c r="K40" i="3"/>
  <c r="AN81" i="3"/>
  <c r="AL81" i="3"/>
  <c r="K63" i="3"/>
  <c r="AJ81" i="3"/>
  <c r="AL86" i="3"/>
  <c r="AI86" i="3"/>
  <c r="P66" i="3"/>
  <c r="AN86" i="3"/>
  <c r="AJ86" i="3"/>
  <c r="AT81" i="3"/>
  <c r="AH86" i="3"/>
  <c r="AT86" i="3"/>
  <c r="P54" i="3"/>
  <c r="K46" i="3"/>
  <c r="K41" i="3"/>
  <c r="P24" i="3"/>
  <c r="K51" i="3"/>
  <c r="K17" i="3"/>
  <c r="K16" i="3"/>
  <c r="K24" i="3"/>
  <c r="P51" i="3"/>
  <c r="K64" i="3"/>
  <c r="AT85" i="3"/>
  <c r="AH81" i="3"/>
  <c r="AG81" i="3"/>
  <c r="AJ85" i="3"/>
  <c r="AH85" i="3"/>
  <c r="AN85" i="3"/>
  <c r="AL85" i="3"/>
  <c r="AF81" i="3"/>
  <c r="AI85" i="3"/>
  <c r="AG85" i="3"/>
  <c r="AF85" i="3"/>
  <c r="K66" i="3"/>
  <c r="K23" i="3"/>
  <c r="P15" i="3"/>
  <c r="K42" i="3"/>
  <c r="AH87" i="3"/>
  <c r="AG87" i="3"/>
  <c r="AI87" i="3"/>
  <c r="AF87" i="3"/>
  <c r="P48" i="3"/>
  <c r="AJ87" i="3"/>
  <c r="AI82" i="3"/>
  <c r="K48" i="3"/>
  <c r="K52" i="3"/>
  <c r="AH82" i="3"/>
  <c r="AG82" i="3"/>
  <c r="AT82" i="3"/>
  <c r="AJ82" i="3"/>
  <c r="AL82" i="3"/>
  <c r="AF82" i="3"/>
  <c r="AT87" i="3"/>
  <c r="K53" i="3"/>
  <c r="AN82" i="3"/>
  <c r="AN87" i="3"/>
  <c r="K39" i="3"/>
  <c r="AL87" i="3"/>
  <c r="P53" i="3"/>
  <c r="K15" i="3"/>
  <c r="K54" i="3"/>
  <c r="P52" i="3"/>
  <c r="S102" i="3" l="1"/>
  <c r="T102" i="3" s="1" a="1"/>
  <c r="T102" i="3" s="1"/>
  <c r="CG23" i="3"/>
  <c r="S97" i="3"/>
  <c r="T97" i="3" s="1" a="1"/>
  <c r="T97" i="3" s="1"/>
  <c r="BZ32" i="3"/>
  <c r="U103" i="3" s="1"/>
  <c r="AC103" i="3" s="1" a="1"/>
  <c r="AC103" i="3" s="1"/>
  <c r="AI92" i="3"/>
  <c r="AJ92" i="3"/>
  <c r="AG92" i="3"/>
  <c r="AF92" i="3"/>
  <c r="AH92" i="3"/>
  <c r="AS92" i="3"/>
  <c r="AL92" i="3"/>
  <c r="AM88" i="3" s="1"/>
  <c r="AN92" i="3"/>
  <c r="CN48" i="3" l="1"/>
  <c r="AM84" i="3"/>
  <c r="AM85" i="3"/>
  <c r="AM86" i="3"/>
  <c r="AM87" i="3"/>
  <c r="AM81" i="3"/>
  <c r="AM89" i="3"/>
  <c r="AM80" i="3"/>
  <c r="AM90" i="3"/>
  <c r="AM82" i="3"/>
  <c r="AM91" i="3"/>
  <c r="AM83" i="3"/>
  <c r="AM92" i="3" l="1"/>
  <c r="AP87" i="3" s="1"/>
  <c r="AP86" i="3"/>
  <c r="AP89" i="3"/>
  <c r="AP90" i="3"/>
  <c r="AP88" i="3"/>
  <c r="AP82" i="3"/>
  <c r="AP83" i="3"/>
  <c r="AP91" i="3"/>
  <c r="AP85" i="3"/>
  <c r="AP80" i="3"/>
  <c r="AP84" i="3" l="1"/>
  <c r="AD85" i="3" s="1"/>
  <c r="AS85" i="3" s="1"/>
  <c r="AP81" i="3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AD89" i="3" l="1"/>
  <c r="AS89" i="3" s="1"/>
  <c r="J92" i="3"/>
  <c r="M88" i="3"/>
  <c r="O87" i="3"/>
  <c r="AS80" i="3"/>
  <c r="O83" i="3"/>
  <c r="L83" i="3"/>
  <c r="N84" i="3"/>
  <c r="M87" i="3"/>
  <c r="M85" i="3"/>
  <c r="L88" i="3"/>
  <c r="P88" i="3" s="1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S90" i="3" l="1"/>
  <c r="T90" i="3" s="1" a="1"/>
  <c r="T90" i="3" s="1"/>
  <c r="BS36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S91" i="3" l="1"/>
  <c r="T91" i="3" s="1" a="1"/>
  <c r="T91" i="3" s="1"/>
  <c r="BS37" i="3"/>
  <c r="S85" i="3"/>
  <c r="T85" i="3" s="1" a="1"/>
  <c r="T85" i="3" s="1"/>
  <c r="BS13" i="3"/>
  <c r="BS12" i="3"/>
  <c r="S84" i="3"/>
  <c r="T84" i="3" s="1" a="1"/>
  <c r="T84" i="3" s="1"/>
  <c r="BL55" i="3"/>
  <c r="BS53" i="3" s="1"/>
  <c r="BL51" i="3"/>
  <c r="BS52" i="3" s="1"/>
  <c r="BL71" i="3"/>
  <c r="BS69" i="3" s="1"/>
  <c r="BZ65" i="3" s="1"/>
  <c r="CG56" i="3" s="1"/>
  <c r="CN38" i="3" s="1"/>
  <c r="CK68" i="3" s="1"/>
  <c r="BL67" i="3"/>
  <c r="BS68" i="3" s="1"/>
  <c r="BZ49" i="3" l="1"/>
  <c r="CG55" i="3" s="1"/>
  <c r="CN49" i="3" s="1"/>
  <c r="S98" i="3"/>
  <c r="T98" i="3" s="1" a="1"/>
  <c r="T98" i="3" s="1"/>
  <c r="BZ33" i="3"/>
  <c r="BZ16" i="3"/>
  <c r="U102" i="3" s="1"/>
  <c r="AC102" i="3" s="1" a="1"/>
  <c r="AC102" i="3" s="1"/>
  <c r="S95" i="3"/>
  <c r="T95" i="3" s="1" a="1"/>
  <c r="T95" i="3" s="1"/>
  <c r="S103" i="3" l="1"/>
  <c r="T103" i="3" s="1" a="1"/>
  <c r="T103" i="3" s="1"/>
  <c r="CG24" i="3"/>
  <c r="S111" i="3" l="1"/>
  <c r="T111" i="3" s="1"/>
  <c r="CN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<sst xmlns="http://schemas.openxmlformats.org/spreadsheetml/2006/main" count="9786" uniqueCount="3698">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</sst>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1477104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1474394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1473929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1474394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1474550</xdr:colOff>
      <xdr:row>23</xdr:row>
      <xdr:rowOff>1415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160165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239475</xdr:colOff>
      <xdr:row>36</xdr:row>
      <xdr:rowOff>1526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28</xdr:row>
      <xdr:rowOff>1526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1474085</xdr:colOff>
      <xdr:row>15</xdr:row>
      <xdr:rowOff>160385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1474085</xdr:colOff>
      <xdr:row>19</xdr:row>
      <xdr:rowOff>160494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1474085</xdr:colOff>
      <xdr:row>21</xdr:row>
      <xdr:rowOff>160603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160713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1474085</xdr:colOff>
      <xdr:row>42</xdr:row>
      <xdr:rowOff>160823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239010</xdr:colOff>
      <xdr:row>76</xdr:row>
      <xdr:rowOff>160932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1474085</xdr:colOff>
      <xdr:row>12</xdr:row>
      <xdr:rowOff>161041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160381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37</xdr:row>
      <xdr:rowOff>1130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49</xdr:row>
      <xdr:rowOff>1566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1476048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217866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1477876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1456116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1456116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1476302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217474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239699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238852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158776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239317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239317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1496152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7" zoomScaleNormal="100" workbookViewId="0">
      <selection activeCell="CN56" sqref="CN56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2</v>
      </c>
      <c r="AI8" s="123">
        <f>SUMIF($E$7:$E$78,$AE8,$F$7:$F$78) + SUMIF($H$7:$H$78,$AE8,$G$7:$G$78)</f>
        <v>10</v>
      </c>
      <c r="AJ8" s="123">
        <f>SUMIF($E$7:$E$78,$AE8,$G$7:$G$78) + SUMIF($H$7:$H$78,$AE8,$F$7:$F$78)</f>
        <v>11</v>
      </c>
      <c r="AL8" s="123">
        <f>AI8-AJ8</f>
        <v>-1</v>
      </c>
      <c r="AM8" s="123">
        <f>AL8-AL12</f>
        <v>0</v>
      </c>
      <c r="AN8" s="123">
        <f>AF8*3+AG8</f>
        <v>3</v>
      </c>
      <c r="AO8" s="123">
        <f>AN8/AN12*10+BA8</f>
        <v>3.75</v>
      </c>
      <c r="AP8" s="123">
        <f>AO8*10000000+BI8*100+AM8/AM12*10+AI8/AI12*1++IF(AQ8=0,ROW(),AQ8)/2000000</f>
        <v>37500000.770071283</v>
      </c>
      <c r="AQ8" s="126">
        <f>VLOOKUP(AE8,db_fifarank,2,FALSE)</f>
        <v>1681.03</v>
      </c>
      <c r="AR8" s="125">
        <f>AP8/AP12</f>
        <v>0.42857138876553136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3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12 - 9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7</v>
      </c>
      <c r="AJ9" s="123">
        <f>SUMIF($E$7:$E$78,$AE9,$G$7:$G$78) + SUMIF($H$7:$H$78,$AE9,$F$7:$F$78)</f>
        <v>8</v>
      </c>
      <c r="AL9" s="123">
        <f>AI9-AJ9</f>
        <v>-1</v>
      </c>
      <c r="AM9" s="123">
        <f>AL9-AL12</f>
        <v>0</v>
      </c>
      <c r="AN9" s="123">
        <f>AF9*3+AG9</f>
        <v>2</v>
      </c>
      <c r="AO9" s="123">
        <f>AN9/AN12*10+BA9</f>
        <v>2.5</v>
      </c>
      <c r="AP9" s="123">
        <f>AO9*10000000+BI9*100+AM9/AM12*10+AI9/AI12*1++IF(AQ9=0,ROW(),AQ9)/2000000</f>
        <v>25000000.539176404</v>
      </c>
      <c r="AQ9" s="126">
        <f>VLOOKUP(AE9,db_fifarank,2,FALSE)</f>
        <v>1429.73</v>
      </c>
      <c r="AR9" s="125">
        <f>AP9/AP12</f>
        <v>0.28571425947182716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4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8 - 9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12</v>
      </c>
      <c r="AJ10" s="123">
        <f>SUMIF($E$7:$E$78,$AE10,$G$7:$G$78) + SUMIF($H$7:$H$78,$AE10,$F$7:$F$78)</f>
        <v>9</v>
      </c>
      <c r="AL10" s="123">
        <f>AI10-AJ10</f>
        <v>3</v>
      </c>
      <c r="AM10" s="123">
        <f>AL10-AL12</f>
        <v>4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87500008.923871264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5</v>
      </c>
      <c r="G11" s="20">
        <v>0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10 - 11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Haiti_win</v>
      </c>
      <c r="T11" s="127" t="str">
        <f t="shared" si="2"/>
        <v>Scotland_lose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8</v>
      </c>
      <c r="AJ11" s="123">
        <f>SUMIF($E$7:$E$78,$AE11,$G$7:$G$78) + SUMIF($H$7:$H$78,$AE11,$F$7:$F$78)</f>
        <v>9</v>
      </c>
      <c r="AL11" s="123">
        <f>AI11-AJ11</f>
        <v>-1</v>
      </c>
      <c r="AM11" s="123">
        <f>AL11-AL12</f>
        <v>0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50000000.616135307</v>
      </c>
      <c r="AQ11" s="126">
        <f>VLOOKUP(AE11,db_fifarank,2,FALSE)</f>
        <v>1501.38</v>
      </c>
      <c r="AR11" s="125">
        <f>AP11/AP12</f>
        <v>0.5714285136611692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Turkey</v>
      </c>
      <c r="BM11" s="62">
        <v>2</v>
      </c>
      <c r="BN11" s="64"/>
      <c r="BO11" s="27"/>
      <c r="BP11" s="113">
        <f>IF(BP10="","",BM11*1000+BN11*10+BO11)</f>
        <v>2000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5</v>
      </c>
      <c r="G12" s="20">
        <v>0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7 - 8</v>
      </c>
      <c r="P12" s="37">
        <f>L12*3+M12</f>
        <v>2</v>
      </c>
      <c r="R12" s="123">
        <f>DATE(2026,6,13)+TIME(17,0,0)+gmt_delta</f>
        <v>46187.166666666672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1</v>
      </c>
      <c r="V12" s="123">
        <f t="shared" si="3"/>
        <v>5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13</v>
      </c>
      <c r="AL12" s="123">
        <f>MIN(AL8:AL11)</f>
        <v>-1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87500009.923871264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Turkey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4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Netherlands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3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Qatar_win</v>
      </c>
      <c r="T14" s="127" t="str">
        <f t="shared" si="2"/>
        <v>Switzerland_lose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12</v>
      </c>
      <c r="AJ14" s="123">
        <f>SUMIF($E$7:$E$78,$AE14,$G$7:$G$78) + SUMIF($H$7:$H$78,$AE14,$F$7:$F$78)</f>
        <v>9</v>
      </c>
      <c r="AL14" s="123">
        <f>AI14-AJ14</f>
        <v>3</v>
      </c>
      <c r="AM14" s="123">
        <f>AL14-AL18</f>
        <v>5</v>
      </c>
      <c r="AN14" s="123">
        <f>AF14*3+AG14</f>
        <v>5</v>
      </c>
      <c r="AO14" s="123">
        <f>AN14/AN18*10+BA14</f>
        <v>8.3398896355788672</v>
      </c>
      <c r="AP14" s="123">
        <f>AO14*10000000+BI14*100+AM14/AM18*10+AI14/AI18*1++IF(AQ14=0,ROW(),AQ14)/2000000</f>
        <v>83398905.612977177</v>
      </c>
      <c r="AQ14" s="126">
        <f>VLOOKUP(AE14,db_fifarank,2,FALSE)</f>
        <v>1556.48</v>
      </c>
      <c r="AR14" s="125">
        <f>AP14/AP18</f>
        <v>0.99999998800943513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1</v>
      </c>
      <c r="AZ14" s="126">
        <f>AT14/AT18*1000+AU14/AU18*100+AY14/AY18*10+AV14/AV18</f>
        <v>3.333333333333333</v>
      </c>
      <c r="BA14" s="126">
        <f>AZ14/AZ18</f>
        <v>6.556302245533518E-3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Senegal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4</v>
      </c>
      <c r="G15" s="20">
        <v>3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12 - 9</v>
      </c>
      <c r="P15" s="32">
        <f>L15*3+M15</f>
        <v>5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7</v>
      </c>
      <c r="AJ15" s="123">
        <f>SUMIF($E$7:$E$78,$AE15,$G$7:$G$78) + SUMIF($H$7:$H$78,$AE15,$F$7:$F$78)</f>
        <v>9</v>
      </c>
      <c r="AL15" s="123">
        <f>AI15-AJ15</f>
        <v>-2</v>
      </c>
      <c r="AM15" s="123">
        <f>AL15-AL18</f>
        <v>0</v>
      </c>
      <c r="AN15" s="123">
        <f>AF15*3+AG15</f>
        <v>4</v>
      </c>
      <c r="AO15" s="123">
        <f>AN15/AN18*10+BA15</f>
        <v>7.6646997759930056</v>
      </c>
      <c r="AP15" s="123">
        <f>AO15*10000000+BI15*100+AM15/AM18*10+AI15/AI18*1++IF(AQ15=0,ROW(),AQ15)/2000000</f>
        <v>76646998.299084514</v>
      </c>
      <c r="AQ15" s="126">
        <f>VLOOKUP(AE15,db_fifarank,2,FALSE)</f>
        <v>1385.84</v>
      </c>
      <c r="AR15" s="125">
        <f>AP15/AP18</f>
        <v>0.91904080535221255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1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3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1</v>
      </c>
      <c r="AY15" s="126">
        <f>AX15-MIN(AX14:AX17)</f>
        <v>2</v>
      </c>
      <c r="AZ15" s="126">
        <f>AT15/AT18*1000+AU15/AU18*100+AY15/AY18*10+AV15/AV18</f>
        <v>507.41666666666669</v>
      </c>
      <c r="BA15" s="126">
        <f>AZ15/AZ18</f>
        <v>0.99803310932633993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Netherlands</v>
      </c>
      <c r="BM15" s="62">
        <v>2</v>
      </c>
      <c r="BN15" s="64"/>
      <c r="BO15" s="27"/>
      <c r="BP15" s="112">
        <f>IF(BP14="","",BM15*1000+BN15*10+BO15)</f>
        <v>2000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4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7 - 9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10</v>
      </c>
      <c r="AJ16" s="123">
        <f>SUMIF($E$7:$E$78,$AE16,$G$7:$G$78) + SUMIF($H$7:$H$78,$AE16,$F$7:$F$78)</f>
        <v>10</v>
      </c>
      <c r="AL16" s="123">
        <f>AI16-AJ16</f>
        <v>0</v>
      </c>
      <c r="AM16" s="123">
        <f>AL16-AL18</f>
        <v>2</v>
      </c>
      <c r="AN16" s="123">
        <f>AF16*3+AG16</f>
        <v>4</v>
      </c>
      <c r="AO16" s="123">
        <f>AN16/AN18*10+BA16</f>
        <v>6.6676501120034963</v>
      </c>
      <c r="AP16" s="123">
        <f>AO16*10000000+BI16*100+AM16/AM18*10+AI16/AI18*1++IF(AQ16=0,ROW(),AQ16)/2000000</f>
        <v>66676505.223326549</v>
      </c>
      <c r="AQ16" s="126">
        <f>VLOOKUP(AE16,db_fifarank,2,FALSE)</f>
        <v>1454.96</v>
      </c>
      <c r="AR16" s="125">
        <f>AP16/AP18</f>
        <v>0.79948896132112413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3</v>
      </c>
      <c r="AX16" s="126">
        <f>AV16-AW16</f>
        <v>-1</v>
      </c>
      <c r="AY16" s="126">
        <f>AX16-MIN(AX14:AX17)</f>
        <v>0</v>
      </c>
      <c r="AZ16" s="126">
        <f>AT16/AT18*1000+AU16/AU18*100+AY16/AY18*10+AV16/AV18</f>
        <v>0.5</v>
      </c>
      <c r="BA16" s="126">
        <f>AZ16/AZ18</f>
        <v>9.8344533683002774E-4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Netherlands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6</v>
      </c>
      <c r="G17" s="20">
        <v>5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10 - 10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4</v>
      </c>
      <c r="AE17" s="124" t="str">
        <f>VLOOKUP("Switzerland",T,lang,FALSE)</f>
        <v>Switzerland</v>
      </c>
      <c r="AF17" s="123">
        <f>COUNTIF($S$7:$T$78,"=" &amp; AE17 &amp; "_win")</f>
        <v>0</v>
      </c>
      <c r="AG17" s="123">
        <f>COUNTIF($S$7:$T$78,"=" &amp; AE17 &amp; "_draw")</f>
        <v>2</v>
      </c>
      <c r="AH17" s="123">
        <f>COUNTIF($S$7:$T$78,"=" &amp; AE17 &amp; "_lose")</f>
        <v>1</v>
      </c>
      <c r="AI17" s="123">
        <f>SUMIF($E$7:$E$78,$AE17,$F$7:$F$78) + SUMIF($H$7:$H$78,$AE17,$G$7:$G$78)</f>
        <v>10</v>
      </c>
      <c r="AJ17" s="123">
        <f>SUMIF($E$7:$E$78,$AE17,$G$7:$G$78) + SUMIF($H$7:$H$78,$AE17,$F$7:$F$78)</f>
        <v>11</v>
      </c>
      <c r="AL17" s="123">
        <f>AI17-AJ17</f>
        <v>-1</v>
      </c>
      <c r="AM17" s="123">
        <f>AL17-AL18</f>
        <v>1</v>
      </c>
      <c r="AN17" s="123">
        <f>AF17*3+AG17</f>
        <v>2</v>
      </c>
      <c r="AO17" s="123">
        <f>AN17/AN18*10+BA17</f>
        <v>3.3398896355788668</v>
      </c>
      <c r="AP17" s="123">
        <f>AO17*10000000+BI17*100+AM17/AM18*10+AI17/AI18*1++IF(AQ17=0,ROW(),AQ17)/2000000</f>
        <v>33398898.792510804</v>
      </c>
      <c r="AQ17" s="126">
        <f>VLOOKUP(AE17,db_fifarank,2,FALSE)</f>
        <v>1649.4</v>
      </c>
      <c r="AR17" s="125">
        <f>AP17/AP18</f>
        <v>0.40047166262625572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1</v>
      </c>
      <c r="AZ17" s="126">
        <f>AT17/AT18*1000+AU17/AU18*100+AY17/AY18*10+AV17/AV18</f>
        <v>3.333333333333333</v>
      </c>
      <c r="BA17" s="126">
        <f>AZ17/AZ18</f>
        <v>6.556302245533518E-3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Haiti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5</v>
      </c>
      <c r="H18" s="80" t="str">
        <f>AE41</f>
        <v>Tunisia</v>
      </c>
      <c r="J18" s="35" t="str">
        <f>VLOOKUP(4,AD14:AN17,2,FALSE)</f>
        <v>Switzerland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10 - 11</v>
      </c>
      <c r="P18" s="37">
        <f>L18*3+M18</f>
        <v>2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2</v>
      </c>
      <c r="AG18" s="123">
        <f t="shared" si="13"/>
        <v>2</v>
      </c>
      <c r="AH18" s="123">
        <f t="shared" si="13"/>
        <v>2</v>
      </c>
      <c r="AI18" s="123">
        <f>MAX(AI14:AI17)+1</f>
        <v>13</v>
      </c>
      <c r="AL18" s="123">
        <f>MIN(AL14:AL17)</f>
        <v>-2</v>
      </c>
      <c r="AM18" s="123">
        <f>MAX(AM14:AM17)+1</f>
        <v>6</v>
      </c>
      <c r="AN18" s="123">
        <f>MAX(AN14:AN17)+1</f>
        <v>6</v>
      </c>
      <c r="AO18" s="123">
        <f>MAX(AO14:AO17)+1</f>
        <v>9.3398896355788672</v>
      </c>
      <c r="AP18" s="123">
        <f>MAX(AP14:AP17)+1</f>
        <v>83398906.612977177</v>
      </c>
      <c r="AT18" s="126">
        <f>MAX(AT14:AT17)-MIN(AT14:AT17)+1</f>
        <v>2</v>
      </c>
      <c r="AU18" s="126">
        <f>MAX(AU14:AU17)-MIN(AU14:AU17)+1</f>
        <v>1</v>
      </c>
      <c r="AV18" s="126">
        <f>MAX(AV14:AV17)-MIN(AV14:AV17)+1</f>
        <v>4</v>
      </c>
      <c r="AW18" s="126">
        <f>MAX(AW14:AW17)-MIN(AW14:AW17)+1</f>
        <v>4</v>
      </c>
      <c r="AY18" s="126">
        <f>MAX(AY14:AY17)-MIN(AY14:AY17)+1</f>
        <v>3</v>
      </c>
      <c r="AZ18" s="126">
        <f>MAX(AZ14:AZ17)+1</f>
        <v>508.41666666666669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2</v>
      </c>
      <c r="G19" s="20">
        <v>4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3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Spain_draw</v>
      </c>
      <c r="T20" s="127" t="str">
        <f t="shared" si="2"/>
        <v>Cape Verde_draw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0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13</v>
      </c>
      <c r="AJ20" s="123">
        <f>SUMIF($E$7:$E$78,$AE20,$G$7:$G$78) + SUMIF($H$7:$H$78,$AE20,$F$7:$F$78)</f>
        <v>6</v>
      </c>
      <c r="AL20" s="123">
        <f>AI20-AJ20</f>
        <v>7</v>
      </c>
      <c r="AM20" s="123">
        <f>AL20-AL24</f>
        <v>13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87500010.215166301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Bosnia and Herzegovina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4</v>
      </c>
      <c r="G21" s="20">
        <v>4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13 - 6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4</v>
      </c>
      <c r="AE21" s="124" t="str">
        <f>VLOOKUP("Morocco",T,lang,FALSE)</f>
        <v>Morocco</v>
      </c>
      <c r="AF21" s="123">
        <f>COUNTIF($S$7:$T$78,"=" &amp; AE21 &amp; "_win")</f>
        <v>0</v>
      </c>
      <c r="AG21" s="123">
        <f>COUNTIF($S$7:$T$78,"=" &amp; AE21 &amp; "_draw")</f>
        <v>0</v>
      </c>
      <c r="AH21" s="123">
        <f>COUNTIF($S$7:$T$78,"=" &amp; AE21 &amp; "_lose")</f>
        <v>3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13</v>
      </c>
      <c r="AL21" s="123">
        <f>AI21-AJ21</f>
        <v>-6</v>
      </c>
      <c r="AM21" s="123">
        <f>AL21-AL24</f>
        <v>0</v>
      </c>
      <c r="AN21" s="123">
        <f>AF21*3+AG21</f>
        <v>0</v>
      </c>
      <c r="AO21" s="123">
        <f>AN21/AN24*10+BA21</f>
        <v>0</v>
      </c>
      <c r="AP21" s="123">
        <f>AO21*10000000+BI21*100+AM21/AM24*10+AI21/AI24*1++IF(AQ21=0,ROW(),AQ21)/2000000</f>
        <v>0.500877935</v>
      </c>
      <c r="AQ21" s="126">
        <f>VLOOKUP(AE21,db_fifarank,2,FALSE)</f>
        <v>1755.87</v>
      </c>
      <c r="AR21" s="125">
        <f>AP21/AP24</f>
        <v>5.7243185234378949E-9</v>
      </c>
      <c r="AS21" s="125" t="str">
        <f>IF(SUM(AF20:AH23)=12,J22,"2C")</f>
        <v>Haiti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Haiti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5</v>
      </c>
      <c r="G22" s="20">
        <v>5</v>
      </c>
      <c r="H22" s="80" t="str">
        <f>AE45</f>
        <v>Egypt</v>
      </c>
      <c r="J22" s="33" t="str">
        <f>VLOOKUP(2,AD20:AN23,2,FALSE)</f>
        <v>Haiti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12 - 9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2</v>
      </c>
      <c r="AE22" s="124" t="str">
        <f>VLOOKUP("Haiti",T,lang,FALSE)</f>
        <v>Haiti</v>
      </c>
      <c r="AF22" s="123">
        <f>COUNTIF($S$7:$T$78,"=" &amp; AE22 &amp; "_win")</f>
        <v>2</v>
      </c>
      <c r="AG22" s="123">
        <f>COUNTIF($S$7:$T$78,"=" &amp; AE22 &amp; "_draw")</f>
        <v>0</v>
      </c>
      <c r="AH22" s="123">
        <f>COUNTIF($S$7:$T$78,"=" &amp; AE22 &amp; "_lose")</f>
        <v>1</v>
      </c>
      <c r="AI22" s="123">
        <f>SUMIF($E$7:$E$78,$AE22,$F$7:$F$78) + SUMIF($H$7:$H$78,$AE22,$G$7:$G$78)</f>
        <v>12</v>
      </c>
      <c r="AJ22" s="123">
        <f>SUMIF($E$7:$E$78,$AE22,$G$7:$G$78) + SUMIF($H$7:$H$78,$AE22,$F$7:$F$78)</f>
        <v>9</v>
      </c>
      <c r="AL22" s="123">
        <f>AI22-AJ22</f>
        <v>3</v>
      </c>
      <c r="AM22" s="123">
        <f>AL22-AL24</f>
        <v>9</v>
      </c>
      <c r="AN22" s="123">
        <f>AF22*3+AG22</f>
        <v>6</v>
      </c>
      <c r="AO22" s="123">
        <f>AN22/AN24*10+BA22</f>
        <v>7.5</v>
      </c>
      <c r="AP22" s="123">
        <f>AO22*10000000+BI22*100+AM22/AM24*10+AI22/AI24*1++IF(AQ22=0,ROW(),AQ22)/2000000</f>
        <v>75000007.286360145</v>
      </c>
      <c r="AQ22" s="126">
        <f>VLOOKUP(AE22,db_fifarank,2,FALSE)</f>
        <v>1291.71</v>
      </c>
      <c r="AR22" s="125">
        <f>AP22/AP24</f>
        <v>0.85714283055269436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Sweden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5</v>
      </c>
      <c r="G23" s="20">
        <v>6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8 - 12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France_lose</v>
      </c>
      <c r="T23" s="127" t="str">
        <f t="shared" si="2"/>
        <v>Senegal_win</v>
      </c>
      <c r="U23" s="123">
        <f t="shared" si="8"/>
        <v>1</v>
      </c>
      <c r="V23" s="123">
        <f t="shared" si="3"/>
        <v>5</v>
      </c>
      <c r="W23" s="123">
        <f t="shared" si="4"/>
        <v>6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-1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8</v>
      </c>
      <c r="AJ23" s="123">
        <f>SUMIF($E$7:$E$78,$AE23,$G$7:$G$78) + SUMIF($H$7:$H$78,$AE23,$F$7:$F$78)</f>
        <v>12</v>
      </c>
      <c r="AL23" s="123">
        <f>AI23-AJ23</f>
        <v>-4</v>
      </c>
      <c r="AM23" s="123">
        <f>AL23-AL24</f>
        <v>2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50000002.000749178</v>
      </c>
      <c r="AQ23" s="126">
        <f>VLOOKUP(AE23,db_fifarank,2,FALSE)</f>
        <v>1498.35</v>
      </c>
      <c r="AR23" s="125">
        <f>AP23/AP24</f>
        <v>0.5714285210523804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Haiti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Haiti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4</v>
      </c>
      <c r="G24" s="20">
        <v>1</v>
      </c>
      <c r="H24" s="80" t="str">
        <f>AE59</f>
        <v>Norway</v>
      </c>
      <c r="J24" s="35" t="str">
        <f>VLOOKUP(4,AD20:AN23,2,FALSE)</f>
        <v>Morocco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7 - 13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1</v>
      </c>
      <c r="V24" s="123">
        <f t="shared" si="3"/>
        <v>4</v>
      </c>
      <c r="W24" s="123">
        <f t="shared" si="4"/>
        <v>1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14</v>
      </c>
      <c r="AL24" s="123">
        <f>MIN(AL20:AL23)</f>
        <v>-6</v>
      </c>
      <c r="AM24" s="123">
        <f>MAX(AM20:AM23)+1</f>
        <v>14</v>
      </c>
      <c r="AN24" s="123">
        <f>MAX(AN20:AN23)+1</f>
        <v>8</v>
      </c>
      <c r="AO24" s="123">
        <f>MAX(AO20:AO23)+1</f>
        <v>9.75</v>
      </c>
      <c r="AP24" s="123">
        <f>MAX(AP20:AP23)+1</f>
        <v>87500011.215166301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Mexico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2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4</v>
      </c>
      <c r="G26" s="20">
        <v>3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12</v>
      </c>
      <c r="AJ26" s="123">
        <f>SUMIF($E$7:$E$78,$AE26,$G$7:$G$78) + SUMIF($H$7:$H$78,$AE26,$F$7:$F$78)</f>
        <v>7</v>
      </c>
      <c r="AL26" s="123">
        <f>AI26-AJ26</f>
        <v>5</v>
      </c>
      <c r="AM26" s="123">
        <f>AL26-AL30</f>
        <v>10</v>
      </c>
      <c r="AN26" s="123">
        <f>AF26*3+AG26</f>
        <v>7</v>
      </c>
      <c r="AO26" s="123">
        <f>AN26/AN30*10+BA26</f>
        <v>8.7588965333175182</v>
      </c>
      <c r="AP26" s="123">
        <f>AO26*10000000+BI26*100+AM26/AM30*10+AI26/AI30*1++IF(AQ26=0,ROW(),AQ26)/2000000</f>
        <v>87588975.282063693</v>
      </c>
      <c r="AQ26" s="126">
        <f>VLOOKUP(AE26,db_fifarank,2,FALSE)</f>
        <v>1673.13</v>
      </c>
      <c r="AR26" s="125">
        <f>AP26/AP30</f>
        <v>0.99999998858303818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5</v>
      </c>
      <c r="AZ26" s="126">
        <f>AT26/AT30*1000+AU26/AU30*100+AY26/AY30*10+AV26/AV30</f>
        <v>4.545454545454545</v>
      </c>
      <c r="BA26" s="126">
        <f>AZ26/AZ30</f>
        <v>8.8965333175172745E-3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5</v>
      </c>
      <c r="G27" s="20">
        <v>4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12 - 7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9</v>
      </c>
      <c r="AJ27" s="123">
        <f>SUMIF($E$7:$E$78,$AE27,$G$7:$G$78) + SUMIF($H$7:$H$78,$AE27,$F$7:$F$78)</f>
        <v>14</v>
      </c>
      <c r="AL27" s="123">
        <f>AI27-AJ27</f>
        <v>-5</v>
      </c>
      <c r="AM27" s="123">
        <f>AL27-AL30</f>
        <v>0</v>
      </c>
      <c r="AN27" s="123">
        <f>AF27*3+AG27</f>
        <v>1</v>
      </c>
      <c r="AO27" s="123">
        <f>AN27/AN30*10+BA27</f>
        <v>1.2588965333175173</v>
      </c>
      <c r="AP27" s="123">
        <f>AO27*10000000+BI27*100+AM27/AM30*10+AI27/AI30*1++IF(AQ27=0,ROW(),AQ27)/2000000</f>
        <v>12588965.976784067</v>
      </c>
      <c r="AQ27" s="126">
        <f>VLOOKUP(AE27,db_fifarank,2,FALSE)</f>
        <v>1503.5</v>
      </c>
      <c r="AR27" s="125">
        <f>AP27/AP30</f>
        <v>0.14372774418830617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5</v>
      </c>
      <c r="AZ27" s="126">
        <f>AT27/AT30*1000+AU27/AU30*100+AY27/AY30*10+AV27/AV30</f>
        <v>4.545454545454545</v>
      </c>
      <c r="BA27" s="126">
        <f>AZ27/AZ30</f>
        <v>8.8965333175172745E-3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6</v>
      </c>
      <c r="G28" s="20">
        <v>5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13 - 9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13</v>
      </c>
      <c r="AJ28" s="123">
        <f>SUMIF($E$7:$E$78,$AE28,$G$7:$G$78) + SUMIF($H$7:$H$78,$AE28,$F$7:$F$78)</f>
        <v>9</v>
      </c>
      <c r="AL28" s="123">
        <f>AI28-AJ28</f>
        <v>4</v>
      </c>
      <c r="AM28" s="123">
        <f>AL28-AL30</f>
        <v>9</v>
      </c>
      <c r="AN28" s="123">
        <f>AF28*3+AG28</f>
        <v>4</v>
      </c>
      <c r="AO28" s="123">
        <f>AN28/AN30*10+BA28</f>
        <v>5.9980427626701465</v>
      </c>
      <c r="AP28" s="123">
        <f>AO28*10000000+BI28*100+AM28/AM30*10+AI28/AI30*1++IF(AQ28=0,ROW(),AQ28)/2000000</f>
        <v>59980436.737881407</v>
      </c>
      <c r="AQ28" s="126">
        <f>VLOOKUP(AE28,db_fifarank,2,FALSE)</f>
        <v>1580.67</v>
      </c>
      <c r="AR28" s="125">
        <f>AP28/AP30</f>
        <v>0.6847943575082529</v>
      </c>
      <c r="AT28" s="126" cm="1">
        <f t="array" ref="AT28">SUMPRODUCT(($S$7:$S$78=AE28&amp;"_win")*($U$7:$U$78))+SUMPRODUCT(($T$7:$T$78=AE28&amp;"_win")*($U$7:$U$78))</f>
        <v>1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5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5</v>
      </c>
      <c r="AY28" s="126">
        <f>AX28-MIN(AX26:AX29)</f>
        <v>10</v>
      </c>
      <c r="AZ28" s="126">
        <f>AT28/AT30*1000+AU28/AU30*100+AY28/AY30*10+AV28/AV30</f>
        <v>509.92424242424238</v>
      </c>
      <c r="BA28" s="126">
        <f>AZ28/AZ30</f>
        <v>0.99804276267014624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5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9 - 13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Portugal_lose</v>
      </c>
      <c r="T29" s="127" t="str">
        <f t="shared" si="2"/>
        <v>DR Congo_win</v>
      </c>
      <c r="U29" s="123">
        <f t="shared" si="8"/>
        <v>1</v>
      </c>
      <c r="V29" s="123">
        <f t="shared" si="3"/>
        <v>1</v>
      </c>
      <c r="W29" s="123">
        <f t="shared" si="4"/>
        <v>5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-1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9</v>
      </c>
      <c r="AJ29" s="123">
        <f>SUMIF($E$7:$E$78,$AE29,$G$7:$G$78) + SUMIF($H$7:$H$78,$AE29,$F$7:$F$78)</f>
        <v>13</v>
      </c>
      <c r="AL29" s="123">
        <f>AI29-AJ29</f>
        <v>-4</v>
      </c>
      <c r="AM29" s="123">
        <f>AL29-AL30</f>
        <v>1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50000001.55274757</v>
      </c>
      <c r="AQ29" s="126">
        <f>VLOOKUP(AE29,db_fifarank,2,FALSE)</f>
        <v>1599.04</v>
      </c>
      <c r="AR29" s="125">
        <f>AP29/AP30</f>
        <v>0.57084810983213286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5</v>
      </c>
      <c r="AX29" s="126">
        <f>AV29-AW29</f>
        <v>-5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Austria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2</v>
      </c>
      <c r="G30" s="20">
        <v>4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9 - 14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1</v>
      </c>
      <c r="V30" s="123">
        <f t="shared" si="3"/>
        <v>2</v>
      </c>
      <c r="W30" s="123">
        <f t="shared" si="4"/>
        <v>4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14</v>
      </c>
      <c r="AL30" s="123">
        <f>MIN(AL26:AL29)</f>
        <v>-5</v>
      </c>
      <c r="AM30" s="123">
        <f>MAX(AM26:AM29)+1</f>
        <v>11</v>
      </c>
      <c r="AN30" s="123">
        <f>MAX(AN26:AN29)+1</f>
        <v>8</v>
      </c>
      <c r="AO30" s="123">
        <f>MAX(AO26:AO29)+1</f>
        <v>9.7588965333175182</v>
      </c>
      <c r="AP30" s="123">
        <f>MAX(AP26:AP29)+1</f>
        <v>87588976.282063693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6</v>
      </c>
      <c r="AW30" s="126">
        <f>MAX(AW26:AW29)-MIN(AW26:AW29)+1</f>
        <v>6</v>
      </c>
      <c r="AY30" s="126">
        <f>MAX(AY26:AY29)-MIN(AY26:AY29)+1</f>
        <v>11</v>
      </c>
      <c r="AZ30" s="126">
        <f>MAX(AZ26:AZ29)+1</f>
        <v>510.92424242424238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Uruguay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3</v>
      </c>
      <c r="G31" s="20">
        <v>3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2</v>
      </c>
      <c r="BN31" s="64"/>
      <c r="BO31" s="27"/>
      <c r="BP31" s="112">
        <f>IF(BP30="","",BM31*1000+BN31*10+BO31)</f>
        <v>2000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4</v>
      </c>
      <c r="G32" s="20">
        <v>4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16</v>
      </c>
      <c r="AJ32" s="123">
        <f>SUMIF($E$7:$E$78,$AE32,$G$7:$G$78) + SUMIF($H$7:$H$78,$AE32,$F$7:$F$78)</f>
        <v>10</v>
      </c>
      <c r="AL32" s="123">
        <f>AI32-AJ32</f>
        <v>6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90000010.317041665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Austria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5</v>
      </c>
      <c r="G33" s="20">
        <v>5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16 - 10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2</v>
      </c>
      <c r="AE33" s="124" t="str">
        <f>VLOOKUP("Curaçao",T,lang,FALSE)</f>
        <v>Curaçao</v>
      </c>
      <c r="AF33" s="123">
        <f>COUNTIF($S$7:$T$78,"=" &amp; AE33 &amp; "_win")</f>
        <v>2</v>
      </c>
      <c r="AG33" s="123">
        <f>COUNTIF($S$7:$T$78,"=" &amp; AE33 &amp; "_draw")</f>
        <v>0</v>
      </c>
      <c r="AH33" s="123">
        <f>COUNTIF($S$7:$T$78,"=" &amp; AE33 &amp; "_lose")</f>
        <v>1</v>
      </c>
      <c r="AI33" s="123">
        <f>SUMIF($E$7:$E$78,$AE33,$F$7:$F$78) + SUMIF($H$7:$H$78,$AE33,$G$7:$G$78)</f>
        <v>15</v>
      </c>
      <c r="AJ33" s="123">
        <f>SUMIF($E$7:$E$78,$AE33,$G$7:$G$78) + SUMIF($H$7:$H$78,$AE33,$F$7:$F$78)</f>
        <v>11</v>
      </c>
      <c r="AL33" s="123">
        <f>AI33-AJ33</f>
        <v>4</v>
      </c>
      <c r="AM33" s="123">
        <f>AL33-AL36</f>
        <v>13</v>
      </c>
      <c r="AN33" s="123">
        <f>AF33*3+AG33</f>
        <v>6</v>
      </c>
      <c r="AO33" s="123">
        <f>AN33/AN36*10+BA33</f>
        <v>6</v>
      </c>
      <c r="AP33" s="123">
        <f>AO33*10000000+BI33*100+AM33/AM36*10+AI33/AI36*1++IF(AQ33=0,ROW(),AQ33)/2000000</f>
        <v>60000009.008000262</v>
      </c>
      <c r="AQ33" s="126">
        <f>VLOOKUP(AE33,db_fifarank,2,FALSE)</f>
        <v>1294.6500000000001</v>
      </c>
      <c r="AR33" s="125">
        <f>AP33/AP36</f>
        <v>0.66666668292561815</v>
      </c>
      <c r="AS33" s="125" t="str">
        <f>IF(SUM(AF32:AH35)=12,J34,"2E")</f>
        <v>Curaçao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Mexico</v>
      </c>
      <c r="CA33" s="62">
        <v>2</v>
      </c>
      <c r="CB33" s="64"/>
      <c r="CC33" s="27"/>
      <c r="CD33" s="112">
        <f>IF(CD32="","",CA33*1000+CB33*10+CC33)</f>
        <v>2000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5</v>
      </c>
      <c r="G34" s="20">
        <v>6</v>
      </c>
      <c r="H34" s="80" t="str">
        <f>AE10</f>
        <v>Korea Republic</v>
      </c>
      <c r="J34" s="33" t="str">
        <f>VLOOKUP(2,AD32:AN35,2,FALSE)</f>
        <v>Curaçao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15 - 11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14</v>
      </c>
      <c r="AJ34" s="123">
        <f>SUMIF($E$7:$E$78,$AE34,$G$7:$G$78) + SUMIF($H$7:$H$78,$AE34,$F$7:$F$78)</f>
        <v>15</v>
      </c>
      <c r="AL34" s="123">
        <f>AI34-AJ34</f>
        <v>-1</v>
      </c>
      <c r="AM34" s="123">
        <f>AL34-AL36</f>
        <v>8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30000005.824295901</v>
      </c>
      <c r="AQ34" s="126">
        <f>VLOOKUP(AE34,db_fifarank,2,FALSE)</f>
        <v>1532.98</v>
      </c>
      <c r="AR34" s="125">
        <f>AP34/AP36</f>
        <v>0.33333335613276022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14 - 15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4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0</v>
      </c>
      <c r="AH35" s="123">
        <f>COUNTIF($S$7:$T$78,"=" &amp; AE35 &amp; "_lose")</f>
        <v>3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14</v>
      </c>
      <c r="AL35" s="123">
        <f>AI35-AJ35</f>
        <v>-9</v>
      </c>
      <c r="AM35" s="123">
        <f>AL35-AL36</f>
        <v>0</v>
      </c>
      <c r="AN35" s="123">
        <f>AF35*3+AG35</f>
        <v>0</v>
      </c>
      <c r="AO35" s="123">
        <f>AN35/AN36*10+BA35</f>
        <v>0</v>
      </c>
      <c r="AP35" s="123">
        <f>AO35*10000000+BI35*100+AM35/AM36*10+AI35/AI36*1++IF(AQ35=0,ROW(),AQ35)/2000000</f>
        <v>0.29491503705882355</v>
      </c>
      <c r="AQ35" s="126">
        <f>VLOOKUP(AE35,db_fifarank,2,FALSE)</f>
        <v>1594.78</v>
      </c>
      <c r="AR35" s="125">
        <f>AP35/AP36</f>
        <v>3.2768333330529353E-9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2</v>
      </c>
      <c r="BN35" s="64"/>
      <c r="BO35" s="27"/>
      <c r="BP35" s="113">
        <f>IF(BP34="","",BM35*1000+BN35*10+BO35)</f>
        <v>2000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3</v>
      </c>
      <c r="G36" s="20">
        <v>2</v>
      </c>
      <c r="H36" s="80" t="str">
        <f>AE21</f>
        <v>Morocco</v>
      </c>
      <c r="J36" s="35" t="str">
        <f>VLOOKUP(4,AD32:AN35,2,FALSE)</f>
        <v>Ecuador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5 - 14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Scotland_win</v>
      </c>
      <c r="T36" s="127" t="str">
        <f t="shared" si="2"/>
        <v>Morocco_lose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17</v>
      </c>
      <c r="AL36" s="123">
        <f>MIN(AL32:AL35)</f>
        <v>-9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90000011.317041665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Qatar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4</v>
      </c>
      <c r="G37" s="20">
        <v>3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Mexico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Mexico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5</v>
      </c>
      <c r="G38" s="20">
        <v>4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3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1</v>
      </c>
      <c r="AH38" s="123">
        <f>COUNTIF($S$7:$T$78,"=" &amp; AE38 &amp; "_lose")</f>
        <v>1</v>
      </c>
      <c r="AI38" s="123">
        <f>SUMIF($E$7:$E$78,$AE38,$F$7:$F$78) + SUMIF($H$7:$H$78,$AE38,$G$7:$G$78)</f>
        <v>11</v>
      </c>
      <c r="AJ38" s="123">
        <f>SUMIF($E$7:$E$78,$AE38,$G$7:$G$78) + SUMIF($H$7:$H$78,$AE38,$F$7:$F$78)</f>
        <v>12</v>
      </c>
      <c r="AL38" s="123">
        <f>AI38-AJ38</f>
        <v>-1</v>
      </c>
      <c r="AM38" s="123">
        <f>AL38-AL42</f>
        <v>2</v>
      </c>
      <c r="AN38" s="123">
        <f>AF38*3+AG38</f>
        <v>4</v>
      </c>
      <c r="AO38" s="123">
        <f>AN38/AN42*10+BA38</f>
        <v>5.7142857142857135</v>
      </c>
      <c r="AP38" s="123">
        <f>AO38*10000000+BI38*100+AM38/AM42*10+AI38/AI42*1++IF(AQ38=0,ROW(),AQ38)/2000000</f>
        <v>57142860.560402736</v>
      </c>
      <c r="AQ38" s="126">
        <f>VLOOKUP(AE38,db_fifarank,2,FALSE)</f>
        <v>1757.87</v>
      </c>
      <c r="AR38" s="125">
        <f>AP38/AP42</f>
        <v>0.66666666375436356</v>
      </c>
      <c r="AS38" s="125" t="str">
        <f>IF(SUM(AF38:AH41)=12,J39,"1F")</f>
        <v>Sweden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New Zealand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Ivory Coast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6</v>
      </c>
      <c r="G39" s="20">
        <v>5</v>
      </c>
      <c r="H39" s="80" t="str">
        <f>AE34</f>
        <v>Ivory Coast</v>
      </c>
      <c r="J39" s="30" t="str">
        <f>VLOOKUP(1,AD38:AN41,2,FALSE)</f>
        <v>Sweden</v>
      </c>
      <c r="K39" s="31">
        <f>L39+M39+N39</f>
        <v>3</v>
      </c>
      <c r="L39" s="31">
        <f>VLOOKUP(1,AD38:AN41,3,FALSE)</f>
        <v>2</v>
      </c>
      <c r="M39" s="31">
        <f>VLOOKUP(1,AD38:AN41,4,FALSE)</f>
        <v>0</v>
      </c>
      <c r="N39" s="31">
        <f>VLOOKUP(1,AD38:AN41,5,FALSE)</f>
        <v>1</v>
      </c>
      <c r="O39" s="31" t="str">
        <f>VLOOKUP(1,AD38:AN41,6,FALSE) &amp; " - " &amp; VLOOKUP(1,AD38:AN41,7,FALSE)</f>
        <v>9 - 9</v>
      </c>
      <c r="P39" s="32">
        <f>L39*3+M39</f>
        <v>6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10</v>
      </c>
      <c r="AJ39" s="123">
        <f>SUMIF($E$7:$E$78,$AE39,$G$7:$G$78) + SUMIF($H$7:$H$78,$AE39,$F$7:$F$78)</f>
        <v>13</v>
      </c>
      <c r="AL39" s="123">
        <f>AI39-AJ39</f>
        <v>-3</v>
      </c>
      <c r="AM39" s="123">
        <f>AL39-AL42</f>
        <v>0</v>
      </c>
      <c r="AN39" s="123">
        <f>AF39*3+AG39</f>
        <v>1</v>
      </c>
      <c r="AO39" s="123">
        <f>AN39/AN42*10+BA39</f>
        <v>1.4285714285714284</v>
      </c>
      <c r="AP39" s="123">
        <f>AO39*10000000+BI39*100+AM39/AM42*10+AI39/AI42*1++IF(AQ39=0,ROW(),AQ39)/2000000</f>
        <v>14285715.119877832</v>
      </c>
      <c r="AQ39" s="126">
        <f>VLOOKUP(AE39,db_fifarank,2,FALSE)</f>
        <v>1660.43</v>
      </c>
      <c r="AR39" s="125">
        <f>AP39/AP42</f>
        <v>0.16666666570265765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Mexico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5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11 - 7</v>
      </c>
      <c r="P40" s="34">
        <f>L40*3+M40</f>
        <v>5</v>
      </c>
      <c r="R40" s="123">
        <f>DATE(2026,6,20)+TIME(13,0,0)+gmt_delta</f>
        <v>46194</v>
      </c>
      <c r="S40" s="127" t="str">
        <f t="shared" si="1"/>
        <v>Ecuador_lose</v>
      </c>
      <c r="T40" s="127" t="str">
        <f t="shared" si="2"/>
        <v>Curaçao_win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-1</v>
      </c>
      <c r="AD40" s="123">
        <f>COUNTIF(AR38:AR41,CONCATENATE("&gt;=",AR40))</f>
        <v>1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9</v>
      </c>
      <c r="AJ40" s="123">
        <f>SUMIF($E$7:$E$78,$AE40,$G$7:$G$78) + SUMIF($H$7:$H$78,$AE40,$F$7:$F$78)</f>
        <v>9</v>
      </c>
      <c r="AL40" s="123">
        <f>AI40-AJ40</f>
        <v>0</v>
      </c>
      <c r="AM40" s="123">
        <f>AL40-AL42</f>
        <v>3</v>
      </c>
      <c r="AN40" s="123">
        <f>AF40*3+AG40</f>
        <v>6</v>
      </c>
      <c r="AO40" s="123">
        <f>AN40/AN42*10+BA40</f>
        <v>8.5714285714285712</v>
      </c>
      <c r="AP40" s="123">
        <f>AO40*10000000+BI40*100+AM40/AM42*10+AI40/AI42*1++IF(AQ40=0,ROW(),AQ40)/2000000</f>
        <v>85714290.215043098</v>
      </c>
      <c r="AQ40" s="126">
        <f>VLOOKUP(AE40,db_fifarank,2,FALSE)</f>
        <v>1514.77</v>
      </c>
      <c r="AR40" s="125">
        <f>AP40/AP42</f>
        <v>0.99999998833333403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4</v>
      </c>
      <c r="H41" s="80" t="str">
        <f>AE40</f>
        <v>Sweden</v>
      </c>
      <c r="J41" s="33" t="str">
        <f>VLOOKUP(3,AD38:AN41,2,FALSE)</f>
        <v>Netherlands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11 - 12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Netherlands_lose</v>
      </c>
      <c r="T41" s="127" t="str">
        <f t="shared" si="2"/>
        <v>Sweden_win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-1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2</v>
      </c>
      <c r="AH41" s="123">
        <f>COUNTIF($S$7:$T$78,"=" &amp; AE41 &amp; "_lose")</f>
        <v>0</v>
      </c>
      <c r="AI41" s="123">
        <f>SUMIF($E$7:$E$78,$AE41,$F$7:$F$78) + SUMIF($H$7:$H$78,$AE41,$G$7:$G$78)</f>
        <v>11</v>
      </c>
      <c r="AJ41" s="123">
        <f>SUMIF($E$7:$E$78,$AE41,$G$7:$G$78) + SUMIF($H$7:$H$78,$AE41,$F$7:$F$78)</f>
        <v>7</v>
      </c>
      <c r="AL41" s="123">
        <f>AI41-AJ41</f>
        <v>4</v>
      </c>
      <c r="AM41" s="123">
        <f>AL41-AL42</f>
        <v>7</v>
      </c>
      <c r="AN41" s="123">
        <f>AF41*3+AG41</f>
        <v>5</v>
      </c>
      <c r="AO41" s="123">
        <f>AN41/AN42*10+BA41</f>
        <v>7.1428571428571432</v>
      </c>
      <c r="AP41" s="123">
        <f>AO41*10000000+BI41*100+AM41/AM42*10+AI41/AI42*1++IF(AQ41=0,ROW(),AQ41)/2000000</f>
        <v>71428581.095979631</v>
      </c>
      <c r="AQ41" s="126">
        <f>VLOOKUP(AE41,db_fifarank,2,FALSE)</f>
        <v>1483.05</v>
      </c>
      <c r="AR41" s="125">
        <f>AP41/AP42</f>
        <v>0.83333339264017292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3</v>
      </c>
      <c r="G42" s="20">
        <v>3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10 - 13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12</v>
      </c>
      <c r="AL42" s="123">
        <f>MIN(AL38:AL41)</f>
        <v>-3</v>
      </c>
      <c r="AM42" s="123">
        <f>MAX(AM38:AM41)+1</f>
        <v>8</v>
      </c>
      <c r="AN42" s="123">
        <f>MAX(AN38:AN41)+1</f>
        <v>7</v>
      </c>
      <c r="AO42" s="123">
        <f>MAX(AO38:AO41)+1</f>
        <v>9.5714285714285712</v>
      </c>
      <c r="AP42" s="123">
        <f>MAX(AP38:AP41)+1</f>
        <v>85714291.215043098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4</v>
      </c>
      <c r="G43" s="20">
        <v>4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0</v>
      </c>
      <c r="BK43" s="132"/>
      <c r="BL43" s="26" t="str">
        <f>AS39</f>
        <v>Tunisia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5</v>
      </c>
      <c r="G44" s="20">
        <v>5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Spain_draw</v>
      </c>
      <c r="T44" s="127" t="str">
        <f t="shared" si="2"/>
        <v>Saudi Arabia_draw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0</v>
      </c>
      <c r="AD44" s="123">
        <f>COUNTIF(AR44:AR47,CONCATENATE("&gt;=",AR44))</f>
        <v>4</v>
      </c>
      <c r="AE44" s="124" t="str">
        <f>VLOOKUP("Belgium",T,lang,FALSE)</f>
        <v>Belgium</v>
      </c>
      <c r="AF44" s="123">
        <f>COUNTIF($S$7:$T$78,"=" &amp; AE44 &amp; "_win")</f>
        <v>0</v>
      </c>
      <c r="AG44" s="123">
        <f>COUNTIF($S$7:$T$78,"=" &amp; AE44 &amp; "_draw")</f>
        <v>1</v>
      </c>
      <c r="AH44" s="123">
        <f>COUNTIF($S$7:$T$78,"=" &amp; AE44 &amp; "_lose")</f>
        <v>2</v>
      </c>
      <c r="AI44" s="123">
        <f>SUMIF($E$7:$E$78,$AE44,$F$7:$F$78) + SUMIF($H$7:$H$78,$AE44,$G$7:$G$78)</f>
        <v>13</v>
      </c>
      <c r="AJ44" s="123">
        <f>SUMIF($E$7:$E$78,$AE44,$G$7:$G$78) + SUMIF($H$7:$H$78,$AE44,$F$7:$F$78)</f>
        <v>15</v>
      </c>
      <c r="AL44" s="123">
        <f>AI44-AJ44</f>
        <v>-2</v>
      </c>
      <c r="AM44" s="123">
        <f>AL44-AL48</f>
        <v>0</v>
      </c>
      <c r="AN44" s="123">
        <f>AF44*3+AG44</f>
        <v>1</v>
      </c>
      <c r="AO44" s="123">
        <f>AN44/AN48*10+BA44</f>
        <v>1.2565563022455335</v>
      </c>
      <c r="AP44" s="123">
        <f>AO44*10000000+BI44*100+AM44/AM48*10+AI44/AI48*1++IF(AQ44=0,ROW(),AQ44)/2000000</f>
        <v>12565563.951894119</v>
      </c>
      <c r="AQ44" s="126">
        <f>VLOOKUP(AE44,db_fifarank,2,FALSE)</f>
        <v>1734.71</v>
      </c>
      <c r="AR44" s="125">
        <f>AP44/AP48</f>
        <v>0.1434989055239817</v>
      </c>
      <c r="AS44" s="125" t="str">
        <f>IF(SUM(AF44:AH47)=12,J45,"1G")</f>
        <v>New Zealand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1</v>
      </c>
      <c r="AZ44" s="126">
        <f>AT44/AT48*1000+AU44/AU48*100+AY44/AY48*10+AV44/AV48</f>
        <v>3.333333333333333</v>
      </c>
      <c r="BA44" s="126">
        <f>AZ44/AZ48</f>
        <v>6.556302245533518E-3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Tunisia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5</v>
      </c>
      <c r="G45" s="20">
        <v>6</v>
      </c>
      <c r="H45" s="80" t="str">
        <f>AE46</f>
        <v>Iran</v>
      </c>
      <c r="J45" s="30" t="str">
        <f>VLOOKUP(1,AD44:AN47,2,FALSE)</f>
        <v>New Zealand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12 - 8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Belgium_lose</v>
      </c>
      <c r="T45" s="127" t="str">
        <f t="shared" si="2"/>
        <v>Iran_win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-1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9</v>
      </c>
      <c r="AJ45" s="123">
        <f>SUMIF($E$7:$E$78,$AE45,$G$7:$G$78) + SUMIF($H$7:$H$78,$AE45,$F$7:$F$78)</f>
        <v>11</v>
      </c>
      <c r="AL45" s="123">
        <f>AI45-AJ45</f>
        <v>-2</v>
      </c>
      <c r="AM45" s="123">
        <f>AL45-AL48</f>
        <v>0</v>
      </c>
      <c r="AN45" s="123">
        <f>AF45*3+AG45</f>
        <v>4</v>
      </c>
      <c r="AO45" s="123">
        <f>AN45/AN48*10+BA45</f>
        <v>5.9980331093263395</v>
      </c>
      <c r="AP45" s="123">
        <f>AO45*10000000+BI45*100+AM45/AM48*10+AI45/AI48*1++IF(AQ45=0,ROW(),AQ45)/2000000</f>
        <v>59980331.736902155</v>
      </c>
      <c r="AQ45" s="126">
        <f>VLOOKUP(AE45,db_fifarank,2,FALSE)</f>
        <v>1563.24</v>
      </c>
      <c r="AR45" s="125">
        <f>AP45/AP48</f>
        <v>0.68497617696763835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1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3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1</v>
      </c>
      <c r="AY45" s="126">
        <f>AX45-MIN(AX44:AX47)</f>
        <v>2</v>
      </c>
      <c r="AZ45" s="126">
        <f>AT45/AT48*1000+AU45/AU48*100+AY45/AY48*10+AV45/AV48</f>
        <v>507.41666666666669</v>
      </c>
      <c r="BA45" s="126">
        <f>AZ45/AZ48</f>
        <v>0.99803310932633993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France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4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9 - 11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12</v>
      </c>
      <c r="AJ46" s="123">
        <f>SUMIF($E$7:$E$78,$AE46,$G$7:$G$78) + SUMIF($H$7:$H$78,$AE46,$F$7:$F$78)</f>
        <v>12</v>
      </c>
      <c r="AL46" s="123">
        <f>AI46-AJ46</f>
        <v>0</v>
      </c>
      <c r="AM46" s="123">
        <f>AL46-AL48</f>
        <v>2</v>
      </c>
      <c r="AN46" s="123">
        <f>AF46*3+AG46</f>
        <v>4</v>
      </c>
      <c r="AO46" s="123">
        <f>AN46/AN48*10+BA46</f>
        <v>5.0009834453368303</v>
      </c>
      <c r="AP46" s="123">
        <f>AO46*10000000+BI46*100+AM46/AM48*10+AI46/AI48*1++IF(AQ46=0,ROW(),AQ46)/2000000</f>
        <v>50009838.168461673</v>
      </c>
      <c r="AQ46" s="126">
        <f>VLOOKUP(AE46,db_fifarank,2,FALSE)</f>
        <v>1615.3</v>
      </c>
      <c r="AR46" s="125">
        <f>AP46/AP48</f>
        <v>0.57111300933882392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3</v>
      </c>
      <c r="AX46" s="126">
        <f>AV46-AW46</f>
        <v>-1</v>
      </c>
      <c r="AY46" s="126">
        <f>AX46-MIN(AX44:AX47)</f>
        <v>0</v>
      </c>
      <c r="AZ46" s="126">
        <f>AT46/AT48*1000+AU46/AU48*100+AY46/AY48*10+AV46/AV48</f>
        <v>0.5</v>
      </c>
      <c r="BA46" s="126">
        <f>AZ46/AZ48</f>
        <v>9.8344533683002774E-4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Curaçao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12 - 12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1</v>
      </c>
      <c r="AE47" s="124" t="str">
        <f>VLOOKUP("New Zealand",T,lang,FALSE)</f>
        <v>New Zealand</v>
      </c>
      <c r="AF47" s="123">
        <f>COUNTIF($S$7:$T$78,"=" &amp; AE47 &amp; "_win")</f>
        <v>2</v>
      </c>
      <c r="AG47" s="123">
        <f>COUNTIF($S$7:$T$78,"=" &amp; AE47 &amp; "_draw")</f>
        <v>1</v>
      </c>
      <c r="AH47" s="123">
        <f>COUNTIF($S$7:$T$78,"=" &amp; AE47 &amp; "_lose")</f>
        <v>0</v>
      </c>
      <c r="AI47" s="123">
        <f>SUMIF($E$7:$E$78,$AE47,$F$7:$F$78) + SUMIF($H$7:$H$78,$AE47,$G$7:$G$78)</f>
        <v>12</v>
      </c>
      <c r="AJ47" s="123">
        <f>SUMIF($E$7:$E$78,$AE47,$G$7:$G$78) + SUMIF($H$7:$H$78,$AE47,$F$7:$F$78)</f>
        <v>8</v>
      </c>
      <c r="AL47" s="123">
        <f>AI47-AJ47</f>
        <v>4</v>
      </c>
      <c r="AM47" s="123">
        <f>AL47-AL48</f>
        <v>6</v>
      </c>
      <c r="AN47" s="123">
        <f>AF47*3+AG47</f>
        <v>7</v>
      </c>
      <c r="AO47" s="123">
        <f>AN47/AN48*10+BA47</f>
        <v>8.7565563022455333</v>
      </c>
      <c r="AP47" s="123">
        <f>AO47*10000000+BI47*100+AM47/AM48*10+AI47/AI48*1++IF(AQ47=0,ROW(),AQ47)/2000000</f>
        <v>87565572.451667532</v>
      </c>
      <c r="AQ47" s="126">
        <f>VLOOKUP(AE47,db_fifarank,2,FALSE)</f>
        <v>1281.57</v>
      </c>
      <c r="AR47" s="125">
        <f>AP47/AP48</f>
        <v>0.99999998857998684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1</v>
      </c>
      <c r="AZ47" s="126">
        <f>AT47/AT48*1000+AU47/AU48*100+AY47/AY48*10+AV47/AV48</f>
        <v>3.333333333333333</v>
      </c>
      <c r="BA47" s="126">
        <f>AZ47/AZ48</f>
        <v>6.556302245533518E-3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France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3</v>
      </c>
      <c r="H48" s="80" t="str">
        <f>AE58</f>
        <v>Iraq</v>
      </c>
      <c r="J48" s="35" t="str">
        <f>VLOOKUP(4,AD44:AN47,2,FALSE)</f>
        <v>Belgium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13 - 15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14</v>
      </c>
      <c r="AL48" s="123">
        <f>MIN(AL44:AL47)</f>
        <v>-2</v>
      </c>
      <c r="AM48" s="123">
        <f>MAX(AM44:AM47)+1</f>
        <v>7</v>
      </c>
      <c r="AN48" s="123">
        <f>MAX(AN44:AN47)+1</f>
        <v>8</v>
      </c>
      <c r="AO48" s="123">
        <f>MAX(AO44:AO47)+1</f>
        <v>9.7565563022455333</v>
      </c>
      <c r="AP48" s="123">
        <f>MAX(AP44:AP47)+1</f>
        <v>87565573.451667532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4</v>
      </c>
      <c r="AW48" s="126">
        <f>MAX(AW44:AW47)-MIN(AW44:AW47)+1</f>
        <v>4</v>
      </c>
      <c r="AY48" s="126">
        <f>MAX(AY44:AY47)-MIN(AY44:AY47)+1</f>
        <v>3</v>
      </c>
      <c r="AZ48" s="126">
        <f>MAX(AZ44:AZ47)+1</f>
        <v>508.41666666666669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France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Haiti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5</v>
      </c>
      <c r="G49" s="20">
        <v>4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DR Congo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DR Congo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6</v>
      </c>
      <c r="G50" s="20">
        <v>5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Jordan_win</v>
      </c>
      <c r="T50" s="127" t="str">
        <f t="shared" si="20"/>
        <v>Algeria_lose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1</v>
      </c>
      <c r="AD50" s="123">
        <f>COUNTIF(AR50:AR53,CONCATENATE("&gt;=",AR50))</f>
        <v>3</v>
      </c>
      <c r="AE50" s="124" t="str">
        <f>VLOOKUP("Spain",T,lang,FALSE)</f>
        <v>Spain</v>
      </c>
      <c r="AF50" s="123">
        <f>COUNTIF($S$7:$T$78,"=" &amp; AE50 &amp; "_win")</f>
        <v>0</v>
      </c>
      <c r="AG50" s="123">
        <f>COUNTIF($S$7:$T$78,"=" &amp; AE50 &amp; "_draw")</f>
        <v>2</v>
      </c>
      <c r="AH50" s="123">
        <f>COUNTIF($S$7:$T$78,"=" &amp; AE50 &amp; "_lose")</f>
        <v>1</v>
      </c>
      <c r="AI50" s="123">
        <f>SUMIF($E$7:$E$78,$AE50,$F$7:$F$78) + SUMIF($H$7:$H$78,$AE50,$G$7:$G$78)</f>
        <v>13</v>
      </c>
      <c r="AJ50" s="123">
        <f>SUMIF($E$7:$E$78,$AE50,$G$7:$G$78) + SUMIF($H$7:$H$78,$AE50,$F$7:$F$78)</f>
        <v>14</v>
      </c>
      <c r="AL50" s="123">
        <f>AI50-AJ50</f>
        <v>-1</v>
      </c>
      <c r="AM50" s="123">
        <f>AL50-AL54</f>
        <v>2</v>
      </c>
      <c r="AN50" s="123">
        <f>AF50*3+AG50</f>
        <v>2</v>
      </c>
      <c r="AO50" s="123">
        <f>AN50/AN54*10+BA50</f>
        <v>2.5</v>
      </c>
      <c r="AP50" s="123">
        <f>AO50*10000000+BI50*100+AM50/AM54*10+AI50/AI54*1++IF(AQ50=0,ROW(),AQ50)/2000000</f>
        <v>25000003.724747725</v>
      </c>
      <c r="AQ50" s="126">
        <f>VLOOKUP(AE50,db_fifarank,2,FALSE)</f>
        <v>1876.4</v>
      </c>
      <c r="AR50" s="125">
        <f>AP50/AP54</f>
        <v>0.28571429397883524</v>
      </c>
      <c r="AS50" s="125" t="str">
        <f>IF(SUM(AF50:AH53)=12,J51,"1H")</f>
        <v>Uruguay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5</v>
      </c>
      <c r="H51" s="80" t="str">
        <f>AE76</f>
        <v>Ghana</v>
      </c>
      <c r="J51" s="30" t="str">
        <f>VLOOKUP(1,AD50:AN53,2,FALSE)</f>
        <v>Uruguay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14 - 11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England_lose</v>
      </c>
      <c r="T51" s="127" t="str">
        <f t="shared" si="20"/>
        <v>Ghana_win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-1</v>
      </c>
      <c r="AD51" s="123">
        <f>COUNTIF(AR50:AR53,CONCATENATE("&gt;=",AR51))</f>
        <v>2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2</v>
      </c>
      <c r="AH51" s="123">
        <f>COUNTIF($S$7:$T$78,"=" &amp; AE51 &amp; "_lose")</f>
        <v>0</v>
      </c>
      <c r="AI51" s="123">
        <f>SUMIF($E$7:$E$78,$AE51,$F$7:$F$78) + SUMIF($H$7:$H$78,$AE51,$G$7:$G$78)</f>
        <v>12</v>
      </c>
      <c r="AJ51" s="123">
        <f>SUMIF($E$7:$E$78,$AE51,$G$7:$G$78) + SUMIF($H$7:$H$78,$AE51,$F$7:$F$78)</f>
        <v>11</v>
      </c>
      <c r="AL51" s="123">
        <f>AI51-AJ51</f>
        <v>1</v>
      </c>
      <c r="AM51" s="123">
        <f>AL51-AL54</f>
        <v>4</v>
      </c>
      <c r="AN51" s="123">
        <f>AF51*3+AG51</f>
        <v>5</v>
      </c>
      <c r="AO51" s="123">
        <f>AN51/AN54*10+BA51</f>
        <v>6.25</v>
      </c>
      <c r="AP51" s="123">
        <f>AO51*10000000+BI51*100+AM51/AM54*10+AI51/AI54*1++IF(AQ51=0,ROW(),AQ51)/2000000</f>
        <v>62500006.514968775</v>
      </c>
      <c r="AQ51" s="126">
        <f>VLOOKUP(AE51,db_fifarank,2,FALSE)</f>
        <v>1366.13</v>
      </c>
      <c r="AR51" s="125">
        <f>AP51/AP54</f>
        <v>0.71428570298251437</v>
      </c>
      <c r="AS51" s="125" t="str">
        <f>IF(SUM(AF50:AH53)=12,J52,"2H")</f>
        <v>Cape Verde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2</v>
      </c>
      <c r="G52" s="20">
        <v>4</v>
      </c>
      <c r="H52" s="80" t="str">
        <f>AE75</f>
        <v>Croatia</v>
      </c>
      <c r="J52" s="33" t="str">
        <f>VLOOKUP(2,AD50:AN53,2,FALSE)</f>
        <v>Cape Verde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12 - 11</v>
      </c>
      <c r="P52" s="34">
        <f>L52*3+M52</f>
        <v>5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11</v>
      </c>
      <c r="AJ52" s="123">
        <f>SUMIF($E$7:$E$78,$AE52,$G$7:$G$78) + SUMIF($H$7:$H$78,$AE52,$F$7:$F$78)</f>
        <v>14</v>
      </c>
      <c r="AL52" s="123">
        <f>AI52-AJ52</f>
        <v>-3</v>
      </c>
      <c r="AM52" s="123">
        <f>AL52-AL54</f>
        <v>0</v>
      </c>
      <c r="AN52" s="123">
        <f>AF52*3+AG52</f>
        <v>1</v>
      </c>
      <c r="AO52" s="123">
        <f>AN52/AN54*10+BA52</f>
        <v>1.25</v>
      </c>
      <c r="AP52" s="123">
        <f>AO52*10000000+BI52*100+AM52/AM54*10+AI52/AI54*1++IF(AQ52=0,ROW(),AQ52)/2000000</f>
        <v>12500000.734044047</v>
      </c>
      <c r="AQ52" s="126">
        <f>VLOOKUP(AE52,db_fifarank,2,FALSE)</f>
        <v>1421.43</v>
      </c>
      <c r="AR52" s="125">
        <f>AP52/AP54</f>
        <v>0.14285713409422127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3</v>
      </c>
      <c r="H53" s="80" t="str">
        <f>AE70</f>
        <v>Uzbekistan</v>
      </c>
      <c r="J53" s="33" t="str">
        <f>VLOOKUP(3,AD50:AN53,2,FALSE)</f>
        <v>Spain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13 - 14</v>
      </c>
      <c r="P53" s="34">
        <f>L53*3+M53</f>
        <v>2</v>
      </c>
      <c r="R53" s="123">
        <f>DATE(2026,6,23)+TIME(6,0,0)+gmt_delta</f>
        <v>46196.708333333336</v>
      </c>
      <c r="S53" s="127" t="str">
        <f t="shared" si="19"/>
        <v>Portugal_draw</v>
      </c>
      <c r="T53" s="127" t="str">
        <f t="shared" si="20"/>
        <v>Uzbekistan_draw</v>
      </c>
      <c r="U53" s="123">
        <f t="shared" si="8"/>
        <v>1</v>
      </c>
      <c r="V53" s="123">
        <f t="shared" si="21"/>
        <v>3</v>
      </c>
      <c r="W53" s="123">
        <f t="shared" si="22"/>
        <v>3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0</v>
      </c>
      <c r="AD53" s="123">
        <f>COUNTIF(AR50:AR53,CONCATENATE("&gt;=",AR53))</f>
        <v>1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14</v>
      </c>
      <c r="AJ53" s="123">
        <f>SUMIF($E$7:$E$78,$AE53,$G$7:$G$78) + SUMIF($H$7:$H$78,$AE53,$F$7:$F$78)</f>
        <v>11</v>
      </c>
      <c r="AL53" s="123">
        <f>AI53-AJ53</f>
        <v>3</v>
      </c>
      <c r="AM53" s="123">
        <f>AL53-AL54</f>
        <v>6</v>
      </c>
      <c r="AN53" s="123">
        <f>AF53*3+AG53</f>
        <v>7</v>
      </c>
      <c r="AO53" s="123">
        <f>AN53/AN54*10+BA53</f>
        <v>8.75</v>
      </c>
      <c r="AP53" s="123">
        <f>AO53*10000000+BI53*100+AM53/AM54*10+AI53/AI54*1++IF(AQ53=0,ROW(),AQ53)/2000000</f>
        <v>87500009.505598441</v>
      </c>
      <c r="AQ53" s="126">
        <f>VLOOKUP(AE53,db_fifarank,2,FALSE)</f>
        <v>1673.07</v>
      </c>
      <c r="AR53" s="125">
        <f>AP53/AP54</f>
        <v>0.99999998857142991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DR Congo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4</v>
      </c>
      <c r="G54" s="20">
        <v>4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11 - 14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4</v>
      </c>
      <c r="W54" s="123">
        <f t="shared" si="22"/>
        <v>4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3</v>
      </c>
      <c r="AI54" s="123">
        <f>MAX(AI50:AI53)+1</f>
        <v>15</v>
      </c>
      <c r="AL54" s="123">
        <f>MIN(AL50:AL53)</f>
        <v>-3</v>
      </c>
      <c r="AM54" s="123">
        <f>MAX(AM50:AM53)+1</f>
        <v>7</v>
      </c>
      <c r="AN54" s="123">
        <f>MAX(AN50:AN53)+1</f>
        <v>8</v>
      </c>
      <c r="AO54" s="123">
        <f>MAX(AO50:AO53)+1</f>
        <v>9.75</v>
      </c>
      <c r="AP54" s="123">
        <f>MAX(AP50:AP53)+1</f>
        <v>87500010.505598441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Ghana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5</v>
      </c>
      <c r="G55" s="20">
        <v>5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DR Congo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DR Congo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5</v>
      </c>
      <c r="G56" s="20">
        <v>6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Morocco_lose</v>
      </c>
      <c r="T56" s="127" t="str">
        <f t="shared" si="20"/>
        <v>Haiti_win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-1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0</v>
      </c>
      <c r="AH56" s="123">
        <f>COUNTIF($S$7:$T$78,"=" &amp; AE56 &amp; "_lose")</f>
        <v>1</v>
      </c>
      <c r="AI56" s="123">
        <f>SUMIF($E$7:$E$78,$AE56,$F$7:$F$78) + SUMIF($H$7:$H$78,$AE56,$G$7:$G$78)</f>
        <v>15</v>
      </c>
      <c r="AJ56" s="123">
        <f>SUMIF($E$7:$E$78,$AE56,$G$7:$G$78) + SUMIF($H$7:$H$78,$AE56,$F$7:$F$78)</f>
        <v>14</v>
      </c>
      <c r="AL56" s="123">
        <f>AI56-AJ56</f>
        <v>1</v>
      </c>
      <c r="AM56" s="123">
        <f>AL56-AL60</f>
        <v>4</v>
      </c>
      <c r="AN56" s="123">
        <f>AF56*3+AG56</f>
        <v>6</v>
      </c>
      <c r="AO56" s="123">
        <f>AN56/AN60*10+BA56</f>
        <v>8.5786614225718285</v>
      </c>
      <c r="AP56" s="123">
        <f>AO56*10000000+BI56*100+AM56/AM60*10+AI56/AI60*1++IF(AQ56=0,ROW(),AQ56)/2000000</f>
        <v>85786620.87844266</v>
      </c>
      <c r="AQ56" s="126">
        <f>VLOOKUP(AE56,db_fifarank,2,FALSE)</f>
        <v>1877.32</v>
      </c>
      <c r="AR56" s="125">
        <f>AP56/AP60</f>
        <v>0.89692520279406862</v>
      </c>
      <c r="AS56" s="125" t="str">
        <f>IF(SUM(AF56:AH59)=12,J57,"1I")</f>
        <v>Senegal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5</v>
      </c>
      <c r="AW56" s="126" cm="1">
        <f t="array" ref="AW56">SUMPRODUCT(($E$7:$E$78=AE56)*($U$7:$U$78)*($G$7:$G$78))+SUMPRODUCT(($H$7:$H$78=AE56)*($U$7:$U$78)*($F$7:$F$78))</f>
        <v>6</v>
      </c>
      <c r="AX56" s="126">
        <f>AV56-AW56</f>
        <v>-1</v>
      </c>
      <c r="AY56" s="126">
        <f>AX56-MIN(AX56:AX59)</f>
        <v>2</v>
      </c>
      <c r="AZ56" s="126">
        <f>AT56/AT60*1000+AU56/AU60*100+AY56/AY60*10+AV56/AV60</f>
        <v>3.6904761904761902</v>
      </c>
      <c r="BA56" s="126">
        <f>AZ56/AZ60</f>
        <v>7.2328511432571156E-3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Ivory Coast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4</v>
      </c>
      <c r="G57" s="20">
        <v>4</v>
      </c>
      <c r="H57" s="80" t="str">
        <f>AE14</f>
        <v>Canada</v>
      </c>
      <c r="I57" s="69"/>
      <c r="J57" s="30" t="str">
        <f>VLOOKUP(1,AD56:AN59,2,FALSE)</f>
        <v>Senegal</v>
      </c>
      <c r="K57" s="31">
        <f>L57+M57+N57</f>
        <v>3</v>
      </c>
      <c r="L57" s="31">
        <f>VLOOKUP(1,AD56:AN59,3,FALSE)</f>
        <v>2</v>
      </c>
      <c r="M57" s="31">
        <f>VLOOKUP(1,AD56:AN59,4,FALSE)</f>
        <v>0</v>
      </c>
      <c r="N57" s="31">
        <f>VLOOKUP(1,AD56:AN59,5,FALSE)</f>
        <v>1</v>
      </c>
      <c r="O57" s="31" t="str">
        <f>VLOOKUP(1,AD56:AN59,6,FALSE) &amp; " - " &amp; VLOOKUP(1,AD56:AN59,7,FALSE)</f>
        <v>12 - 9</v>
      </c>
      <c r="P57" s="32">
        <f>L57*3+M57</f>
        <v>6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1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12</v>
      </c>
      <c r="AJ57" s="123">
        <f>SUMIF($E$7:$E$78,$AE57,$G$7:$G$78) + SUMIF($H$7:$H$78,$AE57,$F$7:$F$78)</f>
        <v>9</v>
      </c>
      <c r="AL57" s="123">
        <f>AI57-AJ57</f>
        <v>3</v>
      </c>
      <c r="AM57" s="123">
        <f>AL57-AL60</f>
        <v>6</v>
      </c>
      <c r="AN57" s="123">
        <f>AF57*3+AG57</f>
        <v>6</v>
      </c>
      <c r="AO57" s="123">
        <f>AN57/AN60*10+BA57</f>
        <v>9.5645223651756552</v>
      </c>
      <c r="AP57" s="123">
        <f>AO57*10000000+BI57*100+AM57/AM60*10+AI57/AI60*1++IF(AQ57=0,ROW(),AQ57)/2000000</f>
        <v>95645232.974029616</v>
      </c>
      <c r="AQ57" s="126">
        <f>VLOOKUP(AE57,db_fifarank,2,FALSE)</f>
        <v>1688.99</v>
      </c>
      <c r="AR57" s="125">
        <f>AP57/AP60</f>
        <v>0.99999998954469593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1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6</v>
      </c>
      <c r="AW57" s="126" cm="1">
        <f t="array" ref="AW57">SUMPRODUCT(($E$7:$E$78=AE57)*($U$7:$U$78)*($G$7:$G$78))+SUMPRODUCT(($H$7:$H$78=AE57)*($U$7:$U$78)*($F$7:$F$78))</f>
        <v>5</v>
      </c>
      <c r="AX57" s="126">
        <f>AV57-AW57</f>
        <v>1</v>
      </c>
      <c r="AY57" s="126">
        <f>AX57-MIN(AX56:AX59)</f>
        <v>4</v>
      </c>
      <c r="AZ57" s="126">
        <f>AT57/AT60*1000+AU57/AU60*100+AY57/AY60*10+AV57/AV60</f>
        <v>506.71428571428572</v>
      </c>
      <c r="BA57" s="126">
        <f>AZ57/AZ60</f>
        <v>0.99309379374708351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2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15 - 14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1</v>
      </c>
      <c r="V58" s="123">
        <f t="shared" si="21"/>
        <v>3</v>
      </c>
      <c r="W58" s="123">
        <f t="shared" si="22"/>
        <v>2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8</v>
      </c>
      <c r="AJ58" s="123">
        <f>SUMIF($E$7:$E$78,$AE58,$G$7:$G$78) + SUMIF($H$7:$H$78,$AE58,$F$7:$F$78)</f>
        <v>9</v>
      </c>
      <c r="AL58" s="123">
        <f>AI58-AJ58</f>
        <v>-1</v>
      </c>
      <c r="AM58" s="123">
        <f>AL58-AL60</f>
        <v>2</v>
      </c>
      <c r="AN58" s="123">
        <f>AF58*3+AG58</f>
        <v>3</v>
      </c>
      <c r="AO58" s="123">
        <f>AN58/AN60*10+BA58</f>
        <v>5.2837544163722416</v>
      </c>
      <c r="AP58" s="123">
        <f>AO58*10000000+BI58*100+AM58/AM60*10+AI58/AI60*1++IF(AQ58=0,ROW(),AQ58)/2000000</f>
        <v>52837547.521588847</v>
      </c>
      <c r="AQ58" s="126">
        <f>VLOOKUP(AE58,db_fifarank,2,FALSE)</f>
        <v>1447.14</v>
      </c>
      <c r="AR58" s="125">
        <f>AP58/AP60</f>
        <v>0.55243262341682109</v>
      </c>
      <c r="AT58" s="126" cm="1">
        <f t="array" ref="AT58">SUMPRODUCT(($S$7:$S$78=AE58&amp;"_win")*($U$7:$U$78))+SUMPRODUCT(($T$7:$T$78=AE58&amp;"_win")*($U$7:$U$78))</f>
        <v>1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4</v>
      </c>
      <c r="AW58" s="126" cm="1">
        <f t="array" ref="AW58">SUMPRODUCT(($E$7:$E$78=AE58)*($U$7:$U$78)*($G$7:$G$78))+SUMPRODUCT(($H$7:$H$78=AE58)*($U$7:$U$78)*($F$7:$F$78))</f>
        <v>1</v>
      </c>
      <c r="AX58" s="126">
        <f>AV58-AW58</f>
        <v>3</v>
      </c>
      <c r="AY58" s="126">
        <f>AX58-MIN(AX56:AX59)</f>
        <v>6</v>
      </c>
      <c r="AZ58" s="126">
        <f>AT58/AT60*1000+AU58/AU60*100+AY58/AY60*10+AV58/AV60</f>
        <v>509.23809523809524</v>
      </c>
      <c r="BA58" s="126">
        <f>AZ58/AZ60</f>
        <v>0.99804013065795616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5</v>
      </c>
      <c r="G59" s="20">
        <v>4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8 - 9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4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9</v>
      </c>
      <c r="AJ59" s="123">
        <f>SUMIF($E$7:$E$78,$AE59,$G$7:$G$78) + SUMIF($H$7:$H$78,$AE59,$F$7:$F$78)</f>
        <v>12</v>
      </c>
      <c r="AL59" s="123">
        <f>AI59-AJ59</f>
        <v>-3</v>
      </c>
      <c r="AM59" s="123">
        <f>AL59-AL60</f>
        <v>0</v>
      </c>
      <c r="AN59" s="123">
        <f>AF59*3+AG59</f>
        <v>3</v>
      </c>
      <c r="AO59" s="123">
        <f>AN59/AN60*10+BA59</f>
        <v>4.2860409306046261</v>
      </c>
      <c r="AP59" s="123">
        <f>AO59*10000000+BI59*100+AM59/AM60*10+AI59/AI60*1++IF(AQ59=0,ROW(),AQ59)/2000000</f>
        <v>42860409.869321734</v>
      </c>
      <c r="AQ59" s="126">
        <f>VLOOKUP(AE59,db_fifarank,2,FALSE)</f>
        <v>1550.94</v>
      </c>
      <c r="AR59" s="125">
        <f>AP59/AP60</f>
        <v>0.44811861593604913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4</v>
      </c>
      <c r="AX59" s="126">
        <f>AV59-AW59</f>
        <v>-3</v>
      </c>
      <c r="AY59" s="126">
        <f>AX59-MIN(AX56:AX59)</f>
        <v>0</v>
      </c>
      <c r="AZ59" s="126">
        <f>AT59/AT60*1000+AU59/AU60*100+AY59/AY60*10+AV59/AV60</f>
        <v>0.16666666666666666</v>
      </c>
      <c r="BA59" s="126">
        <f>AZ59/AZ60</f>
        <v>3.2664489034064394E-4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Cape Verde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4</v>
      </c>
      <c r="G60" s="20">
        <v>4</v>
      </c>
      <c r="H60" s="80" t="str">
        <f>AE10</f>
        <v>Korea Republic</v>
      </c>
      <c r="I60" s="69"/>
      <c r="J60" s="35" t="str">
        <f>VLOOKUP(4,AD56:AN59,2,FALSE)</f>
        <v>Norway</v>
      </c>
      <c r="K60" s="36">
        <f>L60+M60+N60</f>
        <v>3</v>
      </c>
      <c r="L60" s="36">
        <f>VLOOKUP(4,AD56:AN59,3,FALSE)</f>
        <v>1</v>
      </c>
      <c r="M60" s="36">
        <f>VLOOKUP(4,AD56:AN59,4,FALSE)</f>
        <v>0</v>
      </c>
      <c r="N60" s="36">
        <f>VLOOKUP(4,AD56:AN59,5,FALSE)</f>
        <v>2</v>
      </c>
      <c r="O60" s="36" t="str">
        <f>VLOOKUP(4,AD56:AN59,6,FALSE) &amp; " - " &amp; VLOOKUP(4,AD56:AN59,7,FALSE)</f>
        <v>9 - 12</v>
      </c>
      <c r="P60" s="37">
        <f>L60*3+M60</f>
        <v>3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2</v>
      </c>
      <c r="AG60" s="123">
        <f t="shared" si="27"/>
        <v>1</v>
      </c>
      <c r="AH60" s="123">
        <f t="shared" si="27"/>
        <v>2</v>
      </c>
      <c r="AI60" s="123">
        <f>MAX(AI56:AI59)+1</f>
        <v>16</v>
      </c>
      <c r="AL60" s="123">
        <f>MIN(AL56:AL59)</f>
        <v>-3</v>
      </c>
      <c r="AM60" s="123">
        <f>MAX(AM56:AM59)+1</f>
        <v>7</v>
      </c>
      <c r="AN60" s="123">
        <f>MAX(AN56:AN59)+1</f>
        <v>7</v>
      </c>
      <c r="AO60" s="123">
        <f>MAX(AO56:AO59)+1</f>
        <v>10.564522365175655</v>
      </c>
      <c r="AP60" s="123">
        <f>MAX(AP56:AP59)+1</f>
        <v>95645233.974029616</v>
      </c>
      <c r="AT60" s="126">
        <f>MAX(AT56:AT59)-MIN(AT56:AT59)+1</f>
        <v>2</v>
      </c>
      <c r="AU60" s="126">
        <f>MAX(AU56:AU59)-MIN(AU56:AU59)+1</f>
        <v>1</v>
      </c>
      <c r="AV60" s="126">
        <f>MAX(AV56:AV59)-MIN(AV56:AV59)+1</f>
        <v>6</v>
      </c>
      <c r="AW60" s="126">
        <f>MAX(AW56:AW59)-MIN(AW56:AW59)+1</f>
        <v>6</v>
      </c>
      <c r="AY60" s="126">
        <f>MAX(AY56:AY59)-MIN(AY56:AY59)+1</f>
        <v>7</v>
      </c>
      <c r="AZ60" s="126">
        <f>MAX(AZ56:AZ59)+1</f>
        <v>510.23809523809524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Cape Verde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6</v>
      </c>
      <c r="G61" s="20">
        <v>5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2</v>
      </c>
      <c r="BU61" s="64"/>
      <c r="BV61" s="27"/>
      <c r="BW61" s="113">
        <f>IF(BW60="","",BT61*1000+BU61*10+BV61)</f>
        <v>2000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5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12</v>
      </c>
      <c r="AJ62" s="123">
        <f>SUMIF($E$7:$E$78,$AE62,$G$7:$G$78) + SUMIF($H$7:$H$78,$AE62,$F$7:$F$78)</f>
        <v>6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90000010.090681016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4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12 - 6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0</v>
      </c>
      <c r="AH63" s="123">
        <f>COUNTIF($S$7:$T$78,"=" &amp; AE63 &amp; "_lose")</f>
        <v>3</v>
      </c>
      <c r="AI63" s="123">
        <f>SUMIF($E$7:$E$78,$AE63,$F$7:$F$78) + SUMIF($H$7:$H$78,$AE63,$G$7:$G$78)</f>
        <v>7</v>
      </c>
      <c r="AJ63" s="123">
        <f>SUMIF($E$7:$E$78,$AE63,$G$7:$G$78) + SUMIF($H$7:$H$78,$AE63,$F$7:$F$78)</f>
        <v>12</v>
      </c>
      <c r="AL63" s="123">
        <f>AI63-AJ63</f>
        <v>-5</v>
      </c>
      <c r="AM63" s="123">
        <f>AL63-AL66</f>
        <v>0</v>
      </c>
      <c r="AN63" s="123">
        <f>AF63*3+AG63</f>
        <v>0</v>
      </c>
      <c r="AO63" s="123">
        <f>AN63/AN66*10+BA63</f>
        <v>0</v>
      </c>
      <c r="AP63" s="123">
        <f>AO63*10000000+BI63*100+AM63/AM66*10+AI63/AI66*1++IF(AQ63=0,ROW(),AQ63)/2000000</f>
        <v>0.53924366846153848</v>
      </c>
      <c r="AQ63" s="126">
        <f>VLOOKUP(AE63,db_fifarank,2,FALSE)</f>
        <v>1564.26</v>
      </c>
      <c r="AR63" s="125">
        <f>AP63/AP66</f>
        <v>5.9915955778962568E-9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3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11 - 8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11</v>
      </c>
      <c r="AJ64" s="123">
        <f>SUMIF($E$7:$E$78,$AE64,$G$7:$G$78) + SUMIF($H$7:$H$78,$AE64,$F$7:$F$78)</f>
        <v>8</v>
      </c>
      <c r="AL64" s="123">
        <f>AI64-AJ64</f>
        <v>3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60000007.51361724</v>
      </c>
      <c r="AQ64" s="126">
        <f>VLOOKUP(AE64,db_fifarank,2,FALSE)</f>
        <v>1593.45</v>
      </c>
      <c r="AR64" s="125">
        <f>AP64/AP66</f>
        <v>0.66666666799810981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Egypt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4</v>
      </c>
      <c r="G65" s="20">
        <v>4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9 - 13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1</v>
      </c>
      <c r="AG65" s="123">
        <f>COUNTIF($S$7:$T$78,"=" &amp; AE65 &amp; "_draw")</f>
        <v>0</v>
      </c>
      <c r="AH65" s="123">
        <f>COUNTIF($S$7:$T$78,"=" &amp; AE65 &amp; "_lose")</f>
        <v>2</v>
      </c>
      <c r="AI65" s="123">
        <f>SUMIF($E$7:$E$78,$AE65,$F$7:$F$78) + SUMIF($H$7:$H$78,$AE65,$G$7:$G$78)</f>
        <v>9</v>
      </c>
      <c r="AJ65" s="123">
        <f>SUMIF($E$7:$E$78,$AE65,$G$7:$G$78) + SUMIF($H$7:$H$78,$AE65,$F$7:$F$78)</f>
        <v>13</v>
      </c>
      <c r="AL65" s="123">
        <f>AI65-AJ65</f>
        <v>-4</v>
      </c>
      <c r="AM65" s="123">
        <f>AL65-AL66</f>
        <v>1</v>
      </c>
      <c r="AN65" s="123">
        <f>AF65*3+AG65</f>
        <v>3</v>
      </c>
      <c r="AO65" s="123">
        <f>AN65/AN66*10+BA65</f>
        <v>3</v>
      </c>
      <c r="AP65" s="123">
        <f>AO65*10000000+BI65*100+AM65/AM66*10+AI65/AI66*1++IF(AQ65=0,ROW(),AQ65)/2000000</f>
        <v>30000001.526336748</v>
      </c>
      <c r="AQ65" s="126">
        <f>VLOOKUP(AE65,db_fifarank,2,FALSE)</f>
        <v>1391.45</v>
      </c>
      <c r="AR65" s="125">
        <f>AP65/AP66</f>
        <v>0.33333330921603715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Ivory Coast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5</v>
      </c>
      <c r="G66" s="20">
        <v>5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7 - 12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13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90000011.090681016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5</v>
      </c>
      <c r="G67" s="20">
        <v>6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2</v>
      </c>
      <c r="BN67" s="64"/>
      <c r="BO67" s="27"/>
      <c r="BP67" s="113">
        <f>IF(BP66="","",BM67*1000+BN67*10+BO67)</f>
        <v>2000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4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1</v>
      </c>
      <c r="AG68" s="123">
        <f>COUNTIF($S$7:$T$78,"=" &amp; AE68 &amp; "_draw")</f>
        <v>1</v>
      </c>
      <c r="AH68" s="123">
        <f>COUNTIF($S$7:$T$78,"=" &amp; AE68 &amp; "_lose")</f>
        <v>1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8</v>
      </c>
      <c r="AL68" s="123">
        <f>AI68-AJ68</f>
        <v>1</v>
      </c>
      <c r="AM68" s="123">
        <f>AL68-AL72</f>
        <v>4</v>
      </c>
      <c r="AN68" s="123">
        <f>AF68*3+AG68</f>
        <v>4</v>
      </c>
      <c r="AO68" s="123">
        <f>AN68/AN72*10+BA68</f>
        <v>8.9952808988764037</v>
      </c>
      <c r="AP68" s="123">
        <f>AO68*10000000+BI68*100+AM68/AM72*10+AI68/AI72*1++IF(AQ68=0,ROW(),AQ68)/2000000</f>
        <v>89952814.739645943</v>
      </c>
      <c r="AQ68" s="126">
        <f>VLOOKUP(AE68,db_fifarank,2,FALSE)</f>
        <v>1763.83</v>
      </c>
      <c r="AR68" s="125">
        <f>AP68/AP72</f>
        <v>0.99957543360548251</v>
      </c>
      <c r="AS68" s="125" t="str">
        <f>IF(SUM(AF68:AH71)=12,J69,"1K")</f>
        <v>Uzbekistan</v>
      </c>
      <c r="AT68" s="126" cm="1">
        <f t="array" ref="AT68">SUMPRODUCT(($S$7:$S$78=AE68&amp;"_win")*($U$7:$U$78))+SUMPRODUCT(($T$7:$T$78=AE68&amp;"_win")*($U$7:$U$78))</f>
        <v>1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9</v>
      </c>
      <c r="AW68" s="126" cm="1">
        <f t="array" ref="AW68">SUMPRODUCT(($E$7:$E$78=AE68)*($U$7:$U$78)*($G$7:$G$78))+SUMPRODUCT(($H$7:$H$78=AE68)*($U$7:$U$78)*($F$7:$F$78))</f>
        <v>8</v>
      </c>
      <c r="AX68" s="126">
        <f>AV68-AW68</f>
        <v>1</v>
      </c>
      <c r="AY68" s="126">
        <f>AX68-MIN(AX68:AX71)</f>
        <v>4</v>
      </c>
      <c r="AZ68" s="126">
        <f>AT68/AT72*1000+AU68/AU72*100+AY68/AY72*10+AV68/AV72</f>
        <v>1107.25</v>
      </c>
      <c r="BA68" s="126">
        <f>AZ68/AZ72</f>
        <v>0.99528089887640447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Iran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Ivory Coast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3</v>
      </c>
      <c r="G69" s="20">
        <v>2</v>
      </c>
      <c r="H69" s="80" t="str">
        <f>AE46</f>
        <v>Iran</v>
      </c>
      <c r="I69" s="69"/>
      <c r="J69" s="30" t="str">
        <f>VLOOKUP(1,AD68:AN71,2,FALSE)</f>
        <v>Uzbekistan</v>
      </c>
      <c r="K69" s="31">
        <f>L69+M69+N69</f>
        <v>3</v>
      </c>
      <c r="L69" s="31">
        <f>VLOOKUP(1,AD68:AN71,3,FALSE)</f>
        <v>1</v>
      </c>
      <c r="M69" s="31">
        <f>VLOOKUP(1,AD68:AN71,4,FALSE)</f>
        <v>1</v>
      </c>
      <c r="N69" s="31">
        <f>VLOOKUP(1,AD68:AN71,5,FALSE)</f>
        <v>1</v>
      </c>
      <c r="O69" s="31" t="str">
        <f>VLOOKUP(1,AD68:AN71,6,FALSE) &amp; " - " &amp; VLOOKUP(1,AD68:AN71,7,FALSE)</f>
        <v>11 - 7</v>
      </c>
      <c r="P69" s="32">
        <f>L69*3+M69</f>
        <v>4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1</v>
      </c>
      <c r="V69" s="123">
        <f t="shared" si="21"/>
        <v>3</v>
      </c>
      <c r="W69" s="123">
        <f t="shared" si="22"/>
        <v>2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9</v>
      </c>
      <c r="AJ69" s="123">
        <f>SUMIF($E$7:$E$78,$AE69,$G$7:$G$78) + SUMIF($H$7:$H$78,$AE69,$F$7:$F$78)</f>
        <v>11</v>
      </c>
      <c r="AL69" s="123">
        <f>AI69-AJ69</f>
        <v>-2</v>
      </c>
      <c r="AM69" s="123">
        <f>AL69-AL72</f>
        <v>1</v>
      </c>
      <c r="AN69" s="123">
        <f>AF69*3+AG69</f>
        <v>4</v>
      </c>
      <c r="AO69" s="123">
        <f>AN69/AN72*10+BA69</f>
        <v>8.99191011235955</v>
      </c>
      <c r="AP69" s="123">
        <f>AO69*10000000+BI69*100+AM69/AM72*10+AI69/AI72*1++IF(AQ69=0,ROW(),AQ69)/2000000</f>
        <v>89919103.124334678</v>
      </c>
      <c r="AQ69" s="126">
        <f>VLOOKUP(AE69,db_fifarank,2,FALSE)</f>
        <v>1478.35</v>
      </c>
      <c r="AR69" s="125">
        <f>AP69/AP72</f>
        <v>0.99920082273210598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1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9</v>
      </c>
      <c r="AW69" s="126" cm="1">
        <f t="array" ref="AW69">SUMPRODUCT(($E$7:$E$78=AE69)*($U$7:$U$78)*($G$7:$G$78))+SUMPRODUCT(($H$7:$H$78=AE69)*($U$7:$U$78)*($F$7:$F$78))</f>
        <v>11</v>
      </c>
      <c r="AX69" s="126">
        <f>AV69-AW69</f>
        <v>-2</v>
      </c>
      <c r="AY69" s="126">
        <f>AX69-MIN(AX68:AX71)</f>
        <v>1</v>
      </c>
      <c r="AZ69" s="126">
        <f>AT69/AT72*1000+AU69/AU72*100+AY69/AY72*10+AV69/AV72</f>
        <v>1103.5</v>
      </c>
      <c r="BA69" s="126">
        <f>AZ69/AZ72</f>
        <v>0.99191011235955051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Ivory Coast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4</v>
      </c>
      <c r="G70" s="20">
        <v>3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9 - 8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Zealand_win</v>
      </c>
      <c r="T70" s="127" t="str">
        <f t="shared" si="20"/>
        <v>Belgium_lose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1</v>
      </c>
      <c r="AD70" s="123">
        <f>COUNTIF(AR68:AR71,CONCATENATE("&gt;=",AR70))</f>
        <v>1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1</v>
      </c>
      <c r="AH70" s="123">
        <f>COUNTIF($S$7:$T$78,"=" &amp; AE70 &amp; "_lose")</f>
        <v>1</v>
      </c>
      <c r="AI70" s="123">
        <f>SUMIF($E$7:$E$78,$AE70,$F$7:$F$78) + SUMIF($H$7:$H$78,$AE70,$G$7:$G$78)</f>
        <v>11</v>
      </c>
      <c r="AJ70" s="123">
        <f>SUMIF($E$7:$E$78,$AE70,$G$7:$G$78) + SUMIF($H$7:$H$78,$AE70,$F$7:$F$78)</f>
        <v>7</v>
      </c>
      <c r="AL70" s="123">
        <f>AI70-AJ70</f>
        <v>4</v>
      </c>
      <c r="AM70" s="123">
        <f>AL70-AL72</f>
        <v>7</v>
      </c>
      <c r="AN70" s="123">
        <f>AF70*3+AG70</f>
        <v>4</v>
      </c>
      <c r="AO70" s="123">
        <f>AN70/AN72*10+BA70</f>
        <v>8.999101123595505</v>
      </c>
      <c r="AP70" s="123">
        <f>AO70*10000000+BI70*100+AM70/AM72*10+AI70/AI72*1++IF(AQ70=0,ROW(),AQ70)/2000000</f>
        <v>89991020.903354391</v>
      </c>
      <c r="AQ70" s="126">
        <f>VLOOKUP(AE70,db_fifarank,2,FALSE)</f>
        <v>1465.34</v>
      </c>
      <c r="AR70" s="125">
        <f>AP70/AP72</f>
        <v>0.99999998888778041</v>
      </c>
      <c r="AT70" s="126" cm="1">
        <f t="array" ref="AT70">SUMPRODUCT(($S$7:$S$78=AE70&amp;"_win")*($U$7:$U$78))+SUMPRODUCT(($T$7:$T$78=AE70&amp;"_win")*($U$7:$U$78))</f>
        <v>1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11</v>
      </c>
      <c r="AW70" s="126" cm="1">
        <f t="array" ref="AW70">SUMPRODUCT(($E$7:$E$78=AE70)*($U$7:$U$78)*($G$7:$G$78))+SUMPRODUCT(($H$7:$H$78=AE70)*($U$7:$U$78)*($F$7:$F$78))</f>
        <v>7</v>
      </c>
      <c r="AX70" s="126">
        <f>AV70-AW70</f>
        <v>4</v>
      </c>
      <c r="AY70" s="126">
        <f>AX70-MIN(AX68:AX71)</f>
        <v>7</v>
      </c>
      <c r="AZ70" s="126">
        <f>AT70/AT72*1000+AU70/AU72*100+AY70/AY72*10+AV70/AV72</f>
        <v>1111.5</v>
      </c>
      <c r="BA70" s="126">
        <f>AZ70/AZ72</f>
        <v>0.99910112359550562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Uzbekistan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5</v>
      </c>
      <c r="G71" s="20">
        <v>4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9 - 11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4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11</v>
      </c>
      <c r="AL71" s="123">
        <f>AI71-AJ71</f>
        <v>-3</v>
      </c>
      <c r="AM71" s="123">
        <f>AL71-AL72</f>
        <v>0</v>
      </c>
      <c r="AN71" s="123">
        <f>AF71*3+AG71</f>
        <v>4</v>
      </c>
      <c r="AO71" s="123">
        <f>AN71/AN72*10+BA71</f>
        <v>8.9905617977528092</v>
      </c>
      <c r="AP71" s="123">
        <f>AO71*10000000+BI71*100+AM71/AM72*10+AI71/AI72*1++IF(AQ71=0,ROW(),AQ71)/2000000</f>
        <v>89905618.645041317</v>
      </c>
      <c r="AQ71" s="126">
        <f>VLOOKUP(AE71,db_fifarank,2,FALSE)</f>
        <v>1693.09</v>
      </c>
      <c r="AR71" s="125">
        <f>AP71/AP72</f>
        <v>0.99905098023661965</v>
      </c>
      <c r="AT71" s="126" cm="1">
        <f t="array" ref="AT71">SUMPRODUCT(($S$7:$S$78=AE71&amp;"_win")*($U$7:$U$78))+SUMPRODUCT(($T$7:$T$78=AE71&amp;"_win")*($U$7:$U$78))</f>
        <v>1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8</v>
      </c>
      <c r="AW71" s="126" cm="1">
        <f t="array" ref="AW71">SUMPRODUCT(($E$7:$E$78=AE71)*($U$7:$U$78)*($G$7:$G$78))+SUMPRODUCT(($H$7:$H$78=AE71)*($U$7:$U$78)*($F$7:$F$78))</f>
        <v>11</v>
      </c>
      <c r="AX71" s="126">
        <f>AV71-AW71</f>
        <v>-3</v>
      </c>
      <c r="AY71" s="126">
        <f>AX71-MIN(AX68:AX71)</f>
        <v>0</v>
      </c>
      <c r="AZ71" s="126">
        <f>AT71/AT72*1000+AU71/AU72*100+AY71/AY72*10+AV71/AV72</f>
        <v>1102</v>
      </c>
      <c r="BA71" s="126">
        <f>AZ71/AZ72</f>
        <v>0.99056179775280895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2</v>
      </c>
      <c r="BN71" s="64"/>
      <c r="BO71" s="27"/>
      <c r="BP71" s="112">
        <f>IF(BP70="","",BM71*1000+BN71*10+BO71)</f>
        <v>2000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6</v>
      </c>
      <c r="G72" s="20">
        <v>5</v>
      </c>
      <c r="H72" s="80" t="str">
        <f>AE50</f>
        <v>Spain</v>
      </c>
      <c r="I72" s="69"/>
      <c r="J72" s="35" t="str">
        <f>VLOOKUP(4,AD68:AN71,2,FALSE)</f>
        <v>Colombia</v>
      </c>
      <c r="K72" s="36">
        <f>L72+M72+N72</f>
        <v>3</v>
      </c>
      <c r="L72" s="36">
        <f>VLOOKUP(4,AD68:AN71,3,FALSE)</f>
        <v>1</v>
      </c>
      <c r="M72" s="36">
        <f>VLOOKUP(4,AD68:AN71,4,FALSE)</f>
        <v>1</v>
      </c>
      <c r="N72" s="36">
        <f>VLOOKUP(4,AD68:AN71,5,FALSE)</f>
        <v>1</v>
      </c>
      <c r="O72" s="36" t="str">
        <f>VLOOKUP(4,AD68:AN71,6,FALSE) &amp; " - " &amp; VLOOKUP(4,AD68:AN71,7,FALSE)</f>
        <v>8 - 11</v>
      </c>
      <c r="P72" s="37">
        <f>L72*3+M72</f>
        <v>4</v>
      </c>
      <c r="R72" s="123">
        <f>DATE(2026,6,26)+TIME(13,0,0)+gmt_delta</f>
        <v>46200</v>
      </c>
      <c r="S72" s="127" t="str">
        <f t="shared" si="19"/>
        <v>Uruguay_win</v>
      </c>
      <c r="T72" s="127" t="str">
        <f t="shared" si="20"/>
        <v>Spain_lose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1</v>
      </c>
      <c r="AF72" s="123">
        <f t="shared" ref="AF72:AH72" si="35">MAX(AF68:AF71)-MIN(AF68:AF71)+1</f>
        <v>1</v>
      </c>
      <c r="AG72" s="123">
        <f t="shared" si="35"/>
        <v>1</v>
      </c>
      <c r="AH72" s="123">
        <f t="shared" si="35"/>
        <v>1</v>
      </c>
      <c r="AI72" s="123">
        <f>MAX(AI68:AI71)+1</f>
        <v>12</v>
      </c>
      <c r="AL72" s="123">
        <f>MIN(AL68:AL71)</f>
        <v>-3</v>
      </c>
      <c r="AM72" s="123">
        <f>MAX(AM68:AM71)+1</f>
        <v>8</v>
      </c>
      <c r="AN72" s="123">
        <f>MAX(AN68:AN71)+1</f>
        <v>5</v>
      </c>
      <c r="AO72" s="123">
        <f>MAX(AO68:AO71)+1</f>
        <v>9.999101123595505</v>
      </c>
      <c r="AP72" s="123">
        <f>MAX(AP68:AP71)+1</f>
        <v>89991021.903354391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4</v>
      </c>
      <c r="AW72" s="126">
        <f>MAX(AW68:AW71)-MIN(AW68:AW71)+1</f>
        <v>5</v>
      </c>
      <c r="AY72" s="126">
        <f>MAX(AY68:AY71)-MIN(AY68:AY71)+1</f>
        <v>8</v>
      </c>
      <c r="AZ72" s="126">
        <f>MAX(AZ68:AZ71)+1</f>
        <v>1112.5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5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0</v>
      </c>
      <c r="G74" s="20">
        <v>4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12</v>
      </c>
      <c r="AJ74" s="123">
        <f>SUMIF($E$7:$E$78,$AE74,$G$7:$G$78) + SUMIF($H$7:$H$78,$AE74,$F$7:$F$78)</f>
        <v>10</v>
      </c>
      <c r="AL74" s="123">
        <f>AI74-AJ74</f>
        <v>2</v>
      </c>
      <c r="AM74" s="123">
        <f>AL74-AL78</f>
        <v>10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60000006.356468536</v>
      </c>
      <c r="AQ74" s="126">
        <f>VLOOKUP(AE74,db_fifarank,2,FALSE)</f>
        <v>1825.97</v>
      </c>
      <c r="AR74" s="125">
        <f>AP74/AP78</f>
        <v>0.66666665300927475</v>
      </c>
      <c r="AS74" s="125" t="str">
        <f>IF(SUM(AF74:AH77)=12,J75,"1L")</f>
        <v>Ghana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3</v>
      </c>
      <c r="H75" s="80" t="str">
        <f>AE64</f>
        <v>Austria</v>
      </c>
      <c r="I75" s="69"/>
      <c r="J75" s="30" t="str">
        <f>VLOOKUP(1,AD74:AN77,2,FALSE)</f>
        <v>Ghana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14 - 5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9</v>
      </c>
      <c r="AJ75" s="123">
        <f>SUMIF($E$7:$E$78,$AE75,$G$7:$G$78) + SUMIF($H$7:$H$78,$AE75,$F$7:$F$78)</f>
        <v>12</v>
      </c>
      <c r="AL75" s="123">
        <f>AI75-AJ75</f>
        <v>-3</v>
      </c>
      <c r="AM75" s="123">
        <f>AL75-AL78</f>
        <v>5</v>
      </c>
      <c r="AN75" s="123">
        <f>AF75*3+AG75</f>
        <v>3</v>
      </c>
      <c r="AO75" s="123">
        <f>AN75/AN78*10+BA75</f>
        <v>3</v>
      </c>
      <c r="AP75" s="123">
        <f>AO75*10000000+BI75*100+AM75/AM78*10+AI75/AI78*1++IF(AQ75=0,ROW(),AQ75)/2000000</f>
        <v>30000003.378636312</v>
      </c>
      <c r="AQ75" s="126">
        <f>VLOOKUP(AE75,db_fifarank,2,FALSE)</f>
        <v>1717.07</v>
      </c>
      <c r="AR75" s="125">
        <f>AP75/AP78</f>
        <v>0.33333332873132648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12 - 10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1</v>
      </c>
      <c r="AE76" s="124" t="str">
        <f>VLOOKUP("Ghana",T,lang,FALSE)</f>
        <v>Ghana</v>
      </c>
      <c r="AF76" s="123">
        <f>COUNTIF($S$7:$T$78,"=" &amp; AE76 &amp; "_win")</f>
        <v>3</v>
      </c>
      <c r="AG76" s="123">
        <f>COUNTIF($S$7:$T$78,"=" &amp; AE76 &amp; "_draw")</f>
        <v>0</v>
      </c>
      <c r="AH76" s="123">
        <f>COUNTIF($S$7:$T$78,"=" &amp; AE76 &amp; "_lose")</f>
        <v>0</v>
      </c>
      <c r="AI76" s="123">
        <f>SUMIF($E$7:$E$78,$AE76,$F$7:$F$78) + SUMIF($H$7:$H$78,$AE76,$G$7:$G$78)</f>
        <v>14</v>
      </c>
      <c r="AJ76" s="123">
        <f>SUMIF($E$7:$E$78,$AE76,$G$7:$G$78) + SUMIF($H$7:$H$78,$AE76,$F$7:$F$78)</f>
        <v>5</v>
      </c>
      <c r="AL76" s="123">
        <f>AI76-AJ76</f>
        <v>9</v>
      </c>
      <c r="AM76" s="123">
        <f>AL76-AL78</f>
        <v>17</v>
      </c>
      <c r="AN76" s="123">
        <f>AF76*3+AG76</f>
        <v>9</v>
      </c>
      <c r="AO76" s="123">
        <f>AN76/AN78*10+BA76</f>
        <v>9</v>
      </c>
      <c r="AP76" s="123">
        <f>AO76*10000000+BI76*100+AM76/AM78*10+AI76/AI78*1++IF(AQ76=0,ROW(),AQ76)/2000000</f>
        <v>90000010.378450945</v>
      </c>
      <c r="AQ76" s="126">
        <f>VLOOKUP(AE76,db_fifarank,2,FALSE)</f>
        <v>1346.31</v>
      </c>
      <c r="AR76" s="125">
        <f>AP76/AP78</f>
        <v>0.9999999888888903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5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9 - 12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1</v>
      </c>
      <c r="V77" s="123">
        <f t="shared" si="21"/>
        <v>0</v>
      </c>
      <c r="W77" s="123">
        <f t="shared" si="22"/>
        <v>5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6</v>
      </c>
      <c r="AJ77" s="123">
        <f>SUMIF($E$7:$E$78,$AE77,$G$7:$G$78) + SUMIF($H$7:$H$78,$AE77,$F$7:$F$78)</f>
        <v>14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0.40077032000000001</v>
      </c>
      <c r="AQ77" s="126">
        <f>VLOOKUP(AE77,db_fifarank,2,FALSE)</f>
        <v>1540.64</v>
      </c>
      <c r="AR77" s="125">
        <f>AP77/AP78</f>
        <v>4.4530029925747102E-9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6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6 - 14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1</v>
      </c>
      <c r="V78" s="123">
        <f t="shared" si="21"/>
        <v>0</v>
      </c>
      <c r="W78" s="123">
        <f t="shared" si="22"/>
        <v>6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15</v>
      </c>
      <c r="AL78" s="123">
        <f>MIN(AL74:AL77)</f>
        <v>-8</v>
      </c>
      <c r="AM78" s="123">
        <f>MAX(AM74:AM77)+1</f>
        <v>18</v>
      </c>
      <c r="AN78" s="123">
        <f>MAX(AN74:AN77)+1</f>
        <v>10</v>
      </c>
      <c r="AO78" s="123">
        <f>MAX(AO74:AO77)+1</f>
        <v>10</v>
      </c>
      <c r="AP78" s="123">
        <f>MAX(AP74:AP77)+1</f>
        <v>90000011.378450945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10</v>
      </c>
      <c r="AJ80" s="123">
        <f>VLOOKUP($AE80,$AE$8:$AQ$78,6,FALSE)</f>
        <v>11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6666.6675071816671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Iran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12 - 12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10</v>
      </c>
      <c r="AJ81" s="123">
        <f t="shared" ref="AJ81:AJ90" si="42">VLOOKUP($AE81,$AE$8:$AQ$78,6,FALSE)</f>
        <v>10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8866.6673941466652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Qatar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10 - 10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8</v>
      </c>
      <c r="AJ82" s="123">
        <f t="shared" si="42"/>
        <v>12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4</v>
      </c>
      <c r="AP82" s="123">
        <f>AN82/AN92*10000+AM82/AM92*1000+AI82/AI92*100+IF(AQ82=0,ROW(),AQ82)/2000000</f>
        <v>8053.3340825083333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Netherlands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11 - 12</v>
      </c>
      <c r="P83" s="101">
        <f t="shared" si="48"/>
        <v>4</v>
      </c>
      <c r="AD83" s="123">
        <f t="shared" si="38"/>
        <v>5</v>
      </c>
      <c r="AE83" s="124" t="str">
        <f>J29</f>
        <v>Turkey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9</v>
      </c>
      <c r="AJ83" s="123">
        <f t="shared" si="42"/>
        <v>13</v>
      </c>
      <c r="AK83" s="123" t="s">
        <v>3184</v>
      </c>
      <c r="AL83" s="123">
        <f t="shared" si="43"/>
        <v>-4</v>
      </c>
      <c r="AM83" s="123">
        <f t="shared" si="44"/>
        <v>0</v>
      </c>
      <c r="AN83" s="123">
        <f t="shared" si="45"/>
        <v>4</v>
      </c>
      <c r="AP83" s="123">
        <f>AN83/AN92*10000+AM83/AM92*1000+AI83/AI92*100+IF(AQ83=0,ROW(),AQ83)/2000000</f>
        <v>8060.0007995200003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Ⓚ DR Congo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9 - 11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Turkey</v>
      </c>
      <c r="T84" s="127" t="str" cm="1">
        <f t="array" ref="T84">IF(OR(S84="",S84="draw"),INDEX(T,86,lang),S84)</f>
        <v>Turkey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14</v>
      </c>
      <c r="AJ84" s="123">
        <f t="shared" si="42"/>
        <v>15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6693.3340998233334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Turkey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9 - 13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Netherlands</v>
      </c>
      <c r="T85" s="127" t="str" cm="1">
        <f t="array" ref="T85">IF(OR(S85="",S85="draw"),INDEX(T,87,lang),S85)</f>
        <v>Netherlands</v>
      </c>
      <c r="AD85" s="123">
        <f t="shared" si="38"/>
        <v>3</v>
      </c>
      <c r="AE85" s="124" t="str">
        <f>J41</f>
        <v>Netherlands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11</v>
      </c>
      <c r="AJ85" s="123">
        <f t="shared" si="42"/>
        <v>12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8673.3342122683334</v>
      </c>
      <c r="AQ85" s="126">
        <f t="shared" si="37"/>
        <v>1757.87</v>
      </c>
      <c r="AR85" s="125" t="str">
        <f t="shared" si="50"/>
        <v>ABCDEF</v>
      </c>
      <c r="AS85" s="129" t="str">
        <f t="shared" si="46"/>
        <v>Netherlands</v>
      </c>
      <c r="AT85" s="130" t="str">
        <f>"Ⓕ "&amp;AE85</f>
        <v>Ⓕ Netherlands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8 - 12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12</v>
      </c>
      <c r="AJ86" s="123">
        <f t="shared" si="42"/>
        <v>12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8880.0008076499998</v>
      </c>
      <c r="AQ86" s="126">
        <f t="shared" si="37"/>
        <v>1615.3</v>
      </c>
      <c r="AR86" s="125" t="str">
        <f t="shared" si="50"/>
        <v>ABCDEFG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14 - 15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Austria</v>
      </c>
      <c r="T87" s="127" t="str" cm="1">
        <f t="array" ref="T87">IF(OR(S87="",S87="draw"),INDEX(T,89,lang),S87)</f>
        <v>Austria</v>
      </c>
      <c r="AD87" s="123">
        <f t="shared" si="38"/>
        <v>12</v>
      </c>
      <c r="AE87" s="124" t="str">
        <f>J53</f>
        <v>Spain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13</v>
      </c>
      <c r="AJ87" s="123">
        <f t="shared" si="42"/>
        <v>14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2</v>
      </c>
      <c r="AP87" s="123">
        <f>AN87/AN92*10000+AM87/AM92*1000+AI87/AI92*100+IF(AQ87=0,ROW(),AQ87)/2000000</f>
        <v>4686.6676048666668</v>
      </c>
      <c r="AQ87" s="126">
        <f t="shared" si="37"/>
        <v>1876.4</v>
      </c>
      <c r="AR87" s="125" t="str">
        <f t="shared" si="50"/>
        <v>ABCDEFG</v>
      </c>
      <c r="AS87" s="129" t="str">
        <f t="shared" si="46"/>
        <v/>
      </c>
      <c r="AT87" s="130" t="str">
        <f>"Ⓗ "&amp;AE87</f>
        <v>Ⓗ Spain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Mexico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10 - 11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9</v>
      </c>
      <c r="AE88" s="124" t="str">
        <f>J59</f>
        <v>Iraq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8</v>
      </c>
      <c r="AJ88" s="123">
        <f t="shared" si="42"/>
        <v>9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6653.3340569033335</v>
      </c>
      <c r="AQ88" s="126">
        <f t="shared" si="37"/>
        <v>1447.14</v>
      </c>
      <c r="AR88" s="125" t="str">
        <f t="shared" si="50"/>
        <v>ABCDEFG</v>
      </c>
      <c r="AS88" s="129" t="str">
        <f t="shared" si="46"/>
        <v/>
      </c>
      <c r="AT88" s="130" t="str">
        <f>"Ⓘ "&amp;AE88</f>
        <v>Ⓘ Iraq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Ⓘ Iraq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8 - 9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Haiti</v>
      </c>
      <c r="T89" s="127" t="str" cm="1">
        <f t="array" ref="T89">IF(OR(S89="",S89="draw"),INDEX(T,91,lang),S89)</f>
        <v>Haiti</v>
      </c>
      <c r="AD89" s="123">
        <f t="shared" si="38"/>
        <v>11</v>
      </c>
      <c r="AE89" s="124" t="str">
        <f>J65</f>
        <v>Jordan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9</v>
      </c>
      <c r="AJ89" s="123">
        <f t="shared" si="42"/>
        <v>13</v>
      </c>
      <c r="AK89" s="123" t="s">
        <v>3190</v>
      </c>
      <c r="AL89" s="123">
        <f t="shared" si="43"/>
        <v>-4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6060.0006957249998</v>
      </c>
      <c r="AQ89" s="126">
        <f t="shared" si="37"/>
        <v>1391.45</v>
      </c>
      <c r="AR89" s="125" t="str">
        <f t="shared" si="50"/>
        <v>ABCDEFG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Croatia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9 - 12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Qatar</v>
      </c>
      <c r="T90" s="127" t="str" cm="1">
        <f t="array" ref="T90">IF(OR(S90="",S90="draw"),INDEX(T,92,lang),S90)</f>
        <v>Qatar</v>
      </c>
      <c r="AD90" s="123">
        <f t="shared" si="38"/>
        <v>4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9</v>
      </c>
      <c r="AJ90" s="123">
        <f t="shared" si="42"/>
        <v>11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4</v>
      </c>
      <c r="AP90" s="123">
        <f>AN90/AN92*10000+AM90/AM92*1000+AI90/AI92*100+IF(AQ90=0,ROW(),AQ90)/2000000</f>
        <v>8460.0007391750005</v>
      </c>
      <c r="AQ90" s="126">
        <f t="shared" si="37"/>
        <v>1478.35</v>
      </c>
      <c r="AR90" s="125" t="str">
        <f t="shared" si="50"/>
        <v>ABCDEFGK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Jordan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9 - 13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Mexico</v>
      </c>
      <c r="T91" s="127" t="str" cm="1">
        <f t="array" ref="T91">IF(OR(S91="",S91="draw"),INDEX(T,93,lang),S91)</f>
        <v>Mexico</v>
      </c>
      <c r="AD91" s="123">
        <f t="shared" si="38"/>
        <v>10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9</v>
      </c>
      <c r="AJ91" s="123">
        <f>VLOOKUP($AE91,$AE$8:$AQ$78,6,FALSE)</f>
        <v>12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6260.0008585349997</v>
      </c>
      <c r="AQ91" s="126">
        <f t="shared" si="37"/>
        <v>1717.07</v>
      </c>
      <c r="AR91" s="125" t="str">
        <f t="shared" si="50"/>
        <v>ABCDEFGK</v>
      </c>
      <c r="AS91" s="129" t="str">
        <f t="shared" si="46"/>
        <v/>
      </c>
      <c r="AT91" s="130" t="str">
        <f>"Ⓛ "&amp;AE91</f>
        <v>Ⓛ Croatia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Spain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13 - 14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15</v>
      </c>
      <c r="AJ92" s="123">
        <f>MAX(AJ80:AJ91)+1</f>
        <v>16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Netherlands</v>
      </c>
      <c r="T95" s="127" t="str" cm="1">
        <f t="array" ref="T95">IF(OR(S95="",S95="draw"),INDEX(T,94,lang),S95)</f>
        <v>Netherlands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Haiti</v>
      </c>
      <c r="T96" s="127" t="str" cm="1">
        <f t="array" ref="T96">IF(OR(S96="",S96="draw"),INDEX(T,95,lang),S96)</f>
        <v>Haiti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Austria</v>
      </c>
      <c r="T97" s="127" t="str" cm="1">
        <f t="array" ref="T97">IF(OR(S97="",S97="draw"),INDEX(T,96,lang),S97)</f>
        <v>Austria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Mexico</v>
      </c>
      <c r="T98" s="127" t="str" cm="1">
        <f t="array" ref="T98">IF(OR(S98="",S98="draw"),INDEX(T,97,lang),S98)</f>
        <v>Mexico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Haiti</v>
      </c>
      <c r="T102" s="127" t="str" cm="1">
        <f t="array" ref="T102">IF(OR(S102="",S102="draw"),INDEX(T,98,lang),S102)</f>
        <v>Haiti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Mexico</v>
      </c>
      <c r="T103" s="127" t="str" cm="1">
        <f t="array" ref="T103">IF(OR(S103="",S103="draw"),INDEX(T,99,lang),S103)</f>
        <v>Mexico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Austria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Austria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Mexico</v>
      </c>
      <c r="T111" s="127" t="str">
        <f>S111</f>
        <v>Mexico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492</v>
      </c>
      <c r="C3" s="121" t="str">
        <f>'2026 World Cup'!AR91</f>
        <v>ABCDEFGK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Håvard Strand</cp:lastModifiedBy>
  <cp:revision/>
  <dcterms:created xsi:type="dcterms:W3CDTF">2017-12-27T19:32:51Z</dcterms:created>
  <dcterms:modified xsi:type="dcterms:W3CDTF">2026-06-05T07:55:41Z</dcterms:modified>
  <cp:category>Sports</cp:category>
  <cp:contentStatus/>
</cp:coreProperties>
</file>
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4CCAB3A4-4E10-4FD1-8BB0-228FF2A572B5}" xr6:coauthVersionLast="47" xr6:coauthVersionMax="47" xr10:uidLastSave="{00000000-0000-0000-0000-000000000000}"/>
  <bookViews>
    <workbookView xWindow="-33390" yWindow="44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<sst xmlns="http://schemas.openxmlformats.org/spreadsheetml/2006/main" count="9786" uniqueCount="3698">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</sst>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G52" sqref="G52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8</v>
      </c>
      <c r="AP68" s="123">
        <f>AO68*10000000+BI68*100+AM68/AM72*10+AI68/AI72*1++IF(AQ68=0,ROW(),AQ68)/2000000</f>
        <v>80000010.088793993</v>
      </c>
      <c r="AQ68" s="126">
        <f>VLOOKUP(AE68,db_fifarank,2,FALSE)</f>
        <v>1763.83</v>
      </c>
      <c r="AR68" s="125">
        <f>AP68/AP72</f>
        <v>0.99999998750000174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2</v>
      </c>
      <c r="L69" s="31">
        <f>VLOOKUP(1,AD68:AN71,3,FALSE)</f>
        <v>1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6 - 1</v>
      </c>
      <c r="P69" s="32">
        <f>L69*3+M69</f>
        <v>4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7</v>
      </c>
      <c r="AN69" s="123">
        <f>AF69*3+AG69</f>
        <v>1</v>
      </c>
      <c r="AO69" s="123">
        <f>AN69/AN72*10+BA69</f>
        <v>2</v>
      </c>
      <c r="AP69" s="123">
        <f>AO69*10000000+BI69*100+AM69/AM72*10+AI69/AI72*1++IF(AQ69=0,ROW(),AQ69)/2000000</f>
        <v>20000005.528211702</v>
      </c>
      <c r="AQ69" s="126">
        <f>VLOOKUP(AE69,db_fifarank,2,FALSE)</f>
        <v>1478.35</v>
      </c>
      <c r="AR69" s="125">
        <f>AP69/AP72</f>
        <v>0.25000003445016028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1</v>
      </c>
      <c r="L70" s="23">
        <f>VLOOKUP(2,AD68:AN71,3,FALSE)</f>
        <v>1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3 - 1</v>
      </c>
      <c r="P70" s="34">
        <f>L70*3+M70</f>
        <v>3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1.7948724119271553E-9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9</v>
      </c>
      <c r="AN71" s="123">
        <f>AF71*3+AG71</f>
        <v>3</v>
      </c>
      <c r="AO71" s="123">
        <f>AN71/AN72*10+BA71</f>
        <v>6</v>
      </c>
      <c r="AP71" s="123">
        <f>AO71*10000000+BI71*100+AM71/AM72*10+AI71/AI72*1++IF(AQ71=0,ROW(),AQ71)/2000000</f>
        <v>60000007.352494888</v>
      </c>
      <c r="AQ71" s="126">
        <f>VLOOKUP(AE71,db_fifarank,2,FALSE)</f>
        <v>1693.09</v>
      </c>
      <c r="AR71" s="125">
        <f>AP71/AP72</f>
        <v>0.74999998794874412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5</v>
      </c>
      <c r="AO72" s="123">
        <f>MAX(AO68:AO71)+1</f>
        <v>9</v>
      </c>
      <c r="AP72" s="123">
        <f>MAX(AP68:AP71)+1</f>
        <v>80000011.088793993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4.4637032173181684E-9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2.2279293403341656E-8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10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Ⓙ Algeria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4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Ⓓ Paraguay</v>
      </c>
      <c r="K84" s="100">
        <f t="shared" si="47"/>
        <v>2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Ⓗ Cape Verde</v>
      </c>
      <c r="K85" s="100">
        <f t="shared" si="47"/>
        <v>2</v>
      </c>
      <c r="L85" s="100">
        <f>VLOOKUP(5,$AD$80:$AN$91,3,FALSE)</f>
        <v>0</v>
      </c>
      <c r="M85" s="100">
        <f>VLOOKUP(5,$AD$80:$AN$91,4,FALSE)</f>
        <v>2</v>
      </c>
      <c r="N85" s="100">
        <f>VLOOKUP(5,$AD$80:$AN$91,5,FALSE)</f>
        <v>0</v>
      </c>
      <c r="O85" s="100" t="str">
        <f>VLOOKUP(5,$AD$80:$AN$91,6,FALSE) &amp; " - " &amp; VLOOKUP(5,$AD$80:$AN$91,7,FALSE)</f>
        <v>2 - 2</v>
      </c>
      <c r="P85" s="101">
        <f t="shared" si="48"/>
        <v>2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Ⓖ Belgium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2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2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6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Ⓚ DR Congo</v>
      </c>
      <c r="K87" s="100">
        <f t="shared" si="47"/>
        <v>1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0</v>
      </c>
      <c r="O87" s="100" t="str">
        <f>VLOOKUP(7,$AD$80:$AN$91,6,FALSE) &amp; " - " &amp; VLOOKUP(7,$AD$80:$AN$91,7,FALSE)</f>
        <v>1 - 1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Ⓐ Czech Republic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2 - 3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ACDFGH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7778.572210701428</v>
      </c>
      <c r="AQ89" s="126">
        <f t="shared" si="37"/>
        <v>1564.26</v>
      </c>
      <c r="AR89" s="125" t="str">
        <f t="shared" si="50"/>
        <v>ACDFGHJ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Ⓑ Bosnia and Herzegovina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2 - 5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7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ACDFGHJK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Ⓛ Panama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11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ACDFGHJK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247</v>
      </c>
      <c r="C3" s="121" t="str">
        <f>'2026 World Cup'!AR91</f>
        <v>ACDFGHJK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2026-06-23T22:35:54Z</dcterms:modified>
  <cp:category>Sports</cp:category>
  <cp:contentStatus/>
</cp:coreProperties>
</file>
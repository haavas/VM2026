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DEBD9F3F-2C05-4304-85E6-31F2CD5A1440}" xr6:coauthVersionLast="47" xr6:coauthVersionMax="47" xr10:uidLastSave="{00000000-0000-0000-0000-000000000000}"/>
  <bookViews>
    <workbookView xWindow="6120" yWindow="29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60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<sst xmlns="http://schemas.openxmlformats.org/spreadsheetml/2006/main" count="9786" uniqueCount="3698">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</sst>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12" zoomScaleNormal="100" workbookViewId="0">
      <selection activeCell="E37" sqref="E37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0.14360889285714284</v>
      </c>
      <c r="AQ27" s="126">
        <f>VLOOKUP(AE27,db_fifarank,2,FALSE)</f>
        <v>1503.5</v>
      </c>
      <c r="AR27" s="125">
        <f>AP27/AP30</f>
        <v>1.6754368732668397E-9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1.1119106311111111</v>
      </c>
      <c r="AQ29" s="126">
        <f>VLOOKUP(AE29,db_fifarank,2,FALSE)</f>
        <v>1599.04</v>
      </c>
      <c r="AR29" s="125">
        <f>AP29/AP30</f>
        <v>1.2972289069829002E-8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2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6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5566.6674173566671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7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5066.6673595866669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1</v>
      </c>
      <c r="AP82" s="123">
        <f>AN82/AN92*10000+AM82/AM92*1000+AI82/AI92*100+IF(AQ82=0,ROW(),AQ82)/2000000</f>
        <v>5783.3342112683331</v>
      </c>
      <c r="AQ82" s="126">
        <f t="shared" si="37"/>
        <v>1755.87</v>
      </c>
      <c r="AR82" s="125" t="str">
        <f t="shared" ref="AR82:AR91" si="50">AR81&amp;IF(AD82&lt;=8,RIGHT(AK82,1),"")</f>
        <v>ABC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250.00079951999999</v>
      </c>
      <c r="AQ83" s="126">
        <f t="shared" si="37"/>
        <v>1599.04</v>
      </c>
      <c r="AR83" s="125" t="str">
        <f t="shared" si="50"/>
        <v>ABC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Ⓚ DR Congo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0</v>
      </c>
      <c r="AP84" s="123">
        <f>AN84/AN92*10000+AM84/AM92*1000+AI84/AI92*100+IF(AQ84=0,ROW(),AQ84)/2000000</f>
        <v>500.00079739</v>
      </c>
      <c r="AQ84" s="126">
        <f t="shared" si="37"/>
        <v>1594.78</v>
      </c>
      <c r="AR84" s="125" t="str">
        <f t="shared" si="50"/>
        <v>ABCE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1</v>
      </c>
      <c r="AP85" s="123">
        <f>AN85/AN92*10000+AM85/AM92*1000+AI85/AI92*100+IF(AQ85=0,ROW(),AQ85)/2000000</f>
        <v>5816.6674968816669</v>
      </c>
      <c r="AQ85" s="126">
        <f t="shared" si="37"/>
        <v>1660.43</v>
      </c>
      <c r="AR85" s="125" t="str">
        <f t="shared" si="50"/>
        <v>ABCEF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Ⓐ Czech Republic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2 - 3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1</v>
      </c>
      <c r="AP86" s="123">
        <f>AN86/AN92*10000+AM86/AM92*1000+AI86/AI92*100+IF(AQ86=0,ROW(),AQ86)/2000000</f>
        <v>5783.3342006883331</v>
      </c>
      <c r="AQ86" s="126">
        <f t="shared" si="37"/>
        <v>1734.71</v>
      </c>
      <c r="AR86" s="125" t="str">
        <f t="shared" si="50"/>
        <v>ABCEFG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Ⓑ Bosnia and Herzegovina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2 - 5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1</v>
      </c>
      <c r="AP87" s="123">
        <f>AN87/AN92*10000+AM87/AM92*1000+AI87/AI92*100+IF(AQ87=0,ROW(),AQ87)/2000000</f>
        <v>5750.0009381999998</v>
      </c>
      <c r="AQ87" s="126">
        <f t="shared" si="37"/>
        <v>1876.4</v>
      </c>
      <c r="AR87" s="125" t="str">
        <f t="shared" si="50"/>
        <v>ABCEFGH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Ⓔ Ecuador</v>
      </c>
      <c r="K88" s="100">
        <f t="shared" si="47"/>
        <v>1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10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283.33417782833334</v>
      </c>
      <c r="AQ88" s="126">
        <f t="shared" si="37"/>
        <v>1688.99</v>
      </c>
      <c r="AR88" s="125" t="str">
        <f t="shared" si="50"/>
        <v>ABCEFGH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Ⓛ Panama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11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283.33402905833333</v>
      </c>
      <c r="AQ89" s="126">
        <f t="shared" si="37"/>
        <v>1391.45</v>
      </c>
      <c r="AR89" s="125" t="str">
        <f t="shared" si="50"/>
        <v>ABCEFGH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Ⓘ Senegal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1 - 3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4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5783.3340725083326</v>
      </c>
      <c r="AQ90" s="126">
        <f t="shared" si="37"/>
        <v>1478.35</v>
      </c>
      <c r="AR90" s="125" t="str">
        <f t="shared" si="50"/>
        <v>ABCEFGHK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Ⓙ Jordan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9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ABCEFGHK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6</v>
      </c>
      <c r="AL92" s="123">
        <f>MIN(AL80:AL91)</f>
        <v>-3</v>
      </c>
      <c r="AM92" s="123">
        <f>MAX(AM80:AM91)+1</f>
        <v>4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423</v>
      </c>
      <c r="C3" s="121" t="str">
        <f>'2026 World Cup'!AR91</f>
        <v>ABCEFGHK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3E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2026-06-19T21:18:14Z</dcterms:modified>
  <cp:category>Sports</cp:category>
  <cp:contentStatus/>
</cp:coreProperties>
</file>
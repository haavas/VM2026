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61460C1D-C14F-477A-BD40-D63ABDED72A1}" xr6:coauthVersionLast="47" xr6:coauthVersionMax="47" xr10:uidLastSave="{00000000-0000-0000-0000-000000000000}"/>
  <bookViews>
    <workbookView xWindow="6120" yWindow="2910" windowWidth="28800" windowHeight="15345" firstSheet="2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S51" i="3"/>
  <c r="S30" i="3"/>
  <c r="S78" i="3"/>
  <c r="S26" i="3"/>
  <c r="S75" i="3"/>
  <c r="S25" i="3"/>
  <c r="S49" i="3"/>
  <c r="S68" i="3"/>
  <c r="S23" i="3"/>
  <c r="S48" i="3"/>
  <c r="S43" i="3"/>
  <c r="S19" i="3"/>
  <c r="S20" i="3"/>
  <c r="S44" i="3"/>
  <c r="S46" i="3"/>
  <c r="S21" i="3"/>
  <c r="S45" i="3"/>
  <c r="S18" i="3"/>
  <c r="S63" i="3"/>
  <c r="S17" i="3"/>
  <c r="S41" i="3"/>
  <c r="S15" i="3"/>
  <c r="S61" i="3"/>
  <c r="S16" i="3"/>
  <c r="S39" i="3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S60" i="3"/>
  <c r="S34" i="3"/>
  <c r="S29" i="3"/>
  <c r="S53" i="3"/>
  <c r="S35" i="3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28" i="3"/>
  <c r="T51" i="3"/>
  <c r="S54" i="3"/>
  <c r="S77" i="3"/>
  <c r="T30" i="3"/>
  <c r="T78" i="3"/>
  <c r="S50" i="3"/>
  <c r="S76" i="3"/>
  <c r="T26" i="3"/>
  <c r="T75" i="3"/>
  <c r="T25" i="3"/>
  <c r="T49" i="3"/>
  <c r="S47" i="3"/>
  <c r="S67" i="3"/>
  <c r="T68" i="3"/>
  <c r="T23" i="3"/>
  <c r="T48" i="3"/>
  <c r="T43" i="3"/>
  <c r="S72" i="3"/>
  <c r="T19" i="3"/>
  <c r="T20" i="3"/>
  <c r="T44" i="3"/>
  <c r="T46" i="3"/>
  <c r="S70" i="3"/>
  <c r="T21" i="3"/>
  <c r="T45" i="3"/>
  <c r="S42" i="3"/>
  <c r="S64" i="3"/>
  <c r="T18" i="3"/>
  <c r="T63" i="3"/>
  <c r="T17" i="3"/>
  <c r="T41" i="3"/>
  <c r="S40" i="3"/>
  <c r="S62" i="3"/>
  <c r="T15" i="3"/>
  <c r="T61" i="3"/>
  <c r="T16" i="3"/>
  <c r="T39" i="3"/>
  <c r="S38" i="3"/>
  <c r="S65" i="3"/>
  <c r="T66" i="3"/>
  <c r="T37" i="3"/>
  <c r="S55" i="3"/>
  <c r="T56" i="3"/>
  <c r="T32" i="3"/>
  <c r="S57" i="3"/>
  <c r="T14" i="3"/>
  <c r="T33" i="3"/>
  <c r="T60" i="3"/>
  <c r="T34" i="3"/>
  <c r="T29" i="3"/>
  <c r="T53" i="3"/>
  <c r="S36" i="3"/>
  <c r="T35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69" i="3" l="1"/>
  <c r="AR71" i="3"/>
  <c r="AR70" i="3"/>
  <c r="AD70" i="3" s="1"/>
  <c r="AR27" i="3"/>
  <c r="AR28" i="3"/>
  <c r="AR29" i="3"/>
  <c r="AR21" i="3"/>
  <c r="AR9" i="3"/>
  <c r="AR10" i="3"/>
  <c r="AR11" i="3"/>
  <c r="AD9" i="3" s="1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N58" i="3" s="1"/>
  <c r="AR16" i="3"/>
  <c r="AR17" i="3"/>
  <c r="AD59" i="3"/>
  <c r="AD68" i="3"/>
  <c r="AD71" i="3" l="1"/>
  <c r="AD69" i="3"/>
  <c r="AD75" i="3"/>
  <c r="AD28" i="3"/>
  <c r="AD8" i="3"/>
  <c r="N12" i="3" s="1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M76" i="3" s="1"/>
  <c r="AD32" i="3"/>
  <c r="L33" i="3" s="1"/>
  <c r="L59" i="3"/>
  <c r="AD47" i="3"/>
  <c r="AD20" i="3"/>
  <c r="N21" i="3" s="1"/>
  <c r="AD53" i="3"/>
  <c r="M59" i="3"/>
  <c r="AD21" i="3"/>
  <c r="L58" i="3"/>
  <c r="M58" i="3"/>
  <c r="O60" i="3"/>
  <c r="AD35" i="3"/>
  <c r="AD14" i="3"/>
  <c r="AD39" i="3"/>
  <c r="AD44" i="3"/>
  <c r="N45" i="3" s="1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M51" i="3" s="1"/>
  <c r="N59" i="3"/>
  <c r="AD17" i="3"/>
  <c r="L9" i="3"/>
  <c r="L69" i="3"/>
  <c r="M69" i="3"/>
  <c r="N69" i="3"/>
  <c r="O69" i="3"/>
  <c r="L70" i="3"/>
  <c r="M70" i="3"/>
  <c r="N70" i="3"/>
  <c r="O70" i="3"/>
  <c r="L71" i="3"/>
  <c r="M71" i="3"/>
  <c r="N71" i="3"/>
  <c r="O71" i="3"/>
  <c r="L72" i="3"/>
  <c r="M72" i="3"/>
  <c r="N72" i="3"/>
  <c r="O72" i="3"/>
  <c r="J72" i="3"/>
  <c r="J71" i="3"/>
  <c r="AE90" i="3" s="1"/>
  <c r="AQ90" i="3" s="1"/>
  <c r="J70" i="3"/>
  <c r="AS69" i="3" s="1"/>
  <c r="BL26" i="3" s="1"/>
  <c r="J69" i="3"/>
  <c r="AS68" i="3" s="1"/>
  <c r="BL70" i="3" s="1"/>
  <c r="M27" i="3" l="1"/>
  <c r="N10" i="3"/>
  <c r="J9" i="3"/>
  <c r="AS8" i="3" s="1"/>
  <c r="BL50" i="3" s="1"/>
  <c r="M12" i="3"/>
  <c r="M9" i="3"/>
  <c r="P9" i="3" s="1"/>
  <c r="J12" i="3"/>
  <c r="L29" i="3"/>
  <c r="L11" i="3"/>
  <c r="P11" i="3" s="1"/>
  <c r="O28" i="3"/>
  <c r="O12" i="3"/>
  <c r="M10" i="3"/>
  <c r="M30" i="3"/>
  <c r="M28" i="3"/>
  <c r="N30" i="3"/>
  <c r="O27" i="3"/>
  <c r="O10" i="3"/>
  <c r="L12" i="3"/>
  <c r="K12" i="3" s="1"/>
  <c r="J29" i="3"/>
  <c r="AE83" i="3" s="1"/>
  <c r="AQ83" i="3" s="1"/>
  <c r="N9" i="3"/>
  <c r="K9" i="3" s="1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P76" i="3" s="1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AF90" i="3"/>
  <c r="AG90" i="3"/>
  <c r="AH90" i="3"/>
  <c r="AI90" i="3"/>
  <c r="AJ90" i="3"/>
  <c r="AL90" i="3"/>
  <c r="AN90" i="3"/>
  <c r="AT90" i="3"/>
  <c r="P72" i="3"/>
  <c r="K72" i="3"/>
  <c r="P71" i="3"/>
  <c r="K71" i="3"/>
  <c r="P70" i="3"/>
  <c r="K70" i="3"/>
  <c r="P69" i="3"/>
  <c r="K69" i="3"/>
  <c r="AG80" i="3"/>
  <c r="P12" i="3"/>
  <c r="AF80" i="3" l="1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88" i="3"/>
  <c r="AP82" i="3"/>
  <c r="AP83" i="3"/>
  <c r="AP91" i="3"/>
  <c r="AP85" i="3"/>
  <c r="AP90" i="3" l="1"/>
  <c r="AP86" i="3"/>
  <c r="AP81" i="3"/>
  <c r="AD81" i="3" s="1"/>
  <c r="AS81" i="3" s="1"/>
  <c r="AP89" i="3"/>
  <c r="AP84" i="3"/>
  <c r="AP80" i="3"/>
  <c r="AD82" i="3" s="1"/>
  <c r="AS82" i="3" s="1"/>
  <c r="AD85" i="3"/>
  <c r="AS85" i="3" s="1"/>
  <c r="AD89" i="3"/>
  <c r="AS89" i="3" s="1"/>
  <c r="AD86" i="3"/>
  <c r="AS86" i="3" s="1"/>
  <c r="AD84" i="3"/>
  <c r="AS84" i="3" s="1"/>
  <c r="AD83" i="3"/>
  <c r="AS83" i="3" s="1"/>
  <c r="AD91" i="3"/>
  <c r="AS91" i="3" s="1"/>
  <c r="AD87" i="3" l="1"/>
  <c r="AS87" i="3" s="1"/>
  <c r="AD80" i="3"/>
  <c r="AD88" i="3"/>
  <c r="AS88" i="3" s="1"/>
  <c r="AD90" i="3"/>
  <c r="AS90" i="3" s="1"/>
  <c r="J92" i="3"/>
  <c r="M88" i="3"/>
  <c r="O87" i="3"/>
  <c r="AS80" i="3"/>
  <c r="O83" i="3"/>
  <c r="L83" i="3"/>
  <c r="N84" i="3"/>
  <c r="M87" i="3"/>
  <c r="L88" i="3"/>
  <c r="J87" i="3"/>
  <c r="L84" i="3"/>
  <c r="J85" i="3"/>
  <c r="L91" i="3"/>
  <c r="N82" i="3"/>
  <c r="N81" i="3"/>
  <c r="J88" i="3"/>
  <c r="L81" i="3"/>
  <c r="O91" i="3"/>
  <c r="O90" i="3"/>
  <c r="O88" i="3"/>
  <c r="M91" i="3"/>
  <c r="L90" i="3"/>
  <c r="L82" i="3"/>
  <c r="O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N87" i="3"/>
  <c r="M83" i="3"/>
  <c r="N91" i="3"/>
  <c r="O89" i="3"/>
  <c r="L92" i="3"/>
  <c r="J81" i="3"/>
  <c r="O81" i="3"/>
  <c r="M90" i="3"/>
  <c r="L86" i="3"/>
  <c r="N83" i="3"/>
  <c r="O82" i="3"/>
  <c r="M84" i="3"/>
  <c r="N92" i="3"/>
  <c r="J82" i="3"/>
  <c r="J90" i="3"/>
  <c r="M82" i="3"/>
  <c r="M86" i="3"/>
  <c r="L87" i="3"/>
  <c r="M92" i="3"/>
  <c r="J83" i="3"/>
  <c r="J91" i="3"/>
  <c r="M81" i="3"/>
  <c r="L85" i="3"/>
  <c r="O84" i="3"/>
  <c r="L89" i="3"/>
  <c r="M89" i="3"/>
  <c r="N88" i="3"/>
  <c r="J84" i="3"/>
  <c r="J86" i="3" l="1"/>
  <c r="O86" i="3"/>
  <c r="N86" i="3"/>
  <c r="J89" i="3"/>
  <c r="N85" i="3"/>
  <c r="O85" i="3"/>
  <c r="M85" i="3"/>
  <c r="P85" i="3" s="1"/>
  <c r="N89" i="3"/>
  <c r="K89" i="3" s="1"/>
  <c r="N90" i="3"/>
  <c r="K90" i="3" s="1"/>
  <c r="P88" i="3"/>
  <c r="P92" i="3"/>
  <c r="K91" i="3"/>
  <c r="K82" i="3"/>
  <c r="P81" i="3"/>
  <c r="K84" i="3"/>
  <c r="K83" i="3"/>
  <c r="K81" i="3"/>
  <c r="K87" i="3"/>
  <c r="P86" i="3"/>
  <c r="K92" i="3"/>
  <c r="P84" i="3"/>
  <c r="P87" i="3"/>
  <c r="K85" i="3"/>
  <c r="P82" i="3"/>
  <c r="P83" i="3"/>
  <c r="P90" i="3"/>
  <c r="K86" i="3"/>
  <c r="P91" i="3"/>
  <c r="K88" i="3"/>
  <c r="E3" i="4"/>
  <c r="H3" i="4"/>
  <c r="BL39" i="3" s="1"/>
  <c r="I3" i="4"/>
  <c r="BL15" i="3" s="1"/>
  <c r="P89" i="3"/>
  <c r="G3" i="4"/>
  <c r="BL11" i="3" s="1"/>
  <c r="J3" i="4"/>
  <c r="B3" i="4"/>
  <c r="D3" i="4"/>
  <c r="K3" i="4"/>
  <c r="BS53" i="3" l="1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<sst xmlns="http://schemas.openxmlformats.org/spreadsheetml/2006/main" count="9786" uniqueCount="3698">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</sst>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5703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12" sqref="G12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5703125" style="5" customWidth="1"/>
    <col min="6" max="7" width="4.28515625" style="6" customWidth="1"/>
    <col min="8" max="8" width="22.5703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1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2</v>
      </c>
      <c r="AJ8" s="123">
        <f>SUMIF($E$7:$E$78,$AE8,$G$7:$G$78) + SUMIF($H$7:$H$78,$AE8,$F$7:$F$78)</f>
        <v>0</v>
      </c>
      <c r="AL8" s="123">
        <f>AI8-AJ8</f>
        <v>2</v>
      </c>
      <c r="AM8" s="123">
        <f>AL8-AL12</f>
        <v>4</v>
      </c>
      <c r="AN8" s="123">
        <f>AF8*3+AG8</f>
        <v>3</v>
      </c>
      <c r="AO8" s="123">
        <f>AN8/AN12*10+BA8</f>
        <v>7.5</v>
      </c>
      <c r="AP8" s="123">
        <f>AO8*10000000+BI8*100+AM8/AM12*10+AI8/AI12*1++IF(AQ8=0,ROW(),AQ8)/2000000</f>
        <v>75000008.667507187</v>
      </c>
      <c r="AQ8" s="126">
        <f>VLOOKUP(AE8,db_fifarank,2,FALSE)</f>
        <v>1681.03</v>
      </c>
      <c r="AR8" s="125">
        <f>AP8/AP12</f>
        <v>0.99999998666666834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1</v>
      </c>
      <c r="L9" s="31">
        <f>VLOOKUP(1,AD8:AN11,3,FALSE)</f>
        <v>1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2 - 0</v>
      </c>
      <c r="P9" s="32">
        <f>L9*3+M9</f>
        <v>3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0</v>
      </c>
      <c r="AH9" s="123">
        <f>COUNTIF($S$7:$T$78,"=" &amp; AE9 &amp; "_lose")</f>
        <v>1</v>
      </c>
      <c r="AI9" s="123">
        <f>SUMIF($E$7:$E$78,$AE9,$F$7:$F$78) + SUMIF($H$7:$H$78,$AE9,$G$7:$G$78)</f>
        <v>0</v>
      </c>
      <c r="AJ9" s="123">
        <f>SUMIF($E$7:$E$78,$AE9,$G$7:$G$78) + SUMIF($H$7:$H$78,$AE9,$F$7:$F$78)</f>
        <v>2</v>
      </c>
      <c r="AL9" s="123">
        <f>AI9-AJ9</f>
        <v>-2</v>
      </c>
      <c r="AM9" s="123">
        <f>AL9-AL12</f>
        <v>0</v>
      </c>
      <c r="AN9" s="123">
        <f>AF9*3+AG9</f>
        <v>0</v>
      </c>
      <c r="AO9" s="123">
        <f>AN9/AN12*10+BA9</f>
        <v>0</v>
      </c>
      <c r="AP9" s="123">
        <f>AO9*10000000+BI9*100+AM9/AM12*10+AI9/AI12*1++IF(AQ9=0,ROW(),AQ9)/2000000</f>
        <v>7.1486499999999997E-4</v>
      </c>
      <c r="AQ9" s="126">
        <f>VLOOKUP(AE9,db_fifarank,2,FALSE)</f>
        <v>1429.73</v>
      </c>
      <c r="AR9" s="125">
        <f>AP9/AP12</f>
        <v>9.5315321047179319E-12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1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0</v>
      </c>
      <c r="O10" s="23" t="str">
        <f>VLOOKUP(2,AD8:AN11,6,FALSE) &amp; " - " &amp; VLOOKUP(2,AD8:AN11,7,FALSE)</f>
        <v>2 - 1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0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1</v>
      </c>
      <c r="AL10" s="123">
        <f>AI10-AJ10</f>
        <v>1</v>
      </c>
      <c r="AM10" s="123">
        <f>AL10-AL12</f>
        <v>3</v>
      </c>
      <c r="AN10" s="123">
        <f>AF10*3+AG10</f>
        <v>3</v>
      </c>
      <c r="AO10" s="123">
        <f>AN10/AN12*10+BA10</f>
        <v>7.5</v>
      </c>
      <c r="AP10" s="123">
        <f>AO10*10000000+BI10*100+AM10/AM12*10+AI10/AI12*1++IF(AQ10=0,ROW(),AQ10)/2000000</f>
        <v>75000006.667461008</v>
      </c>
      <c r="AQ10" s="126">
        <f>VLOOKUP(AE10,db_fifarank,2,FALSE)</f>
        <v>1588.66</v>
      </c>
      <c r="AR10" s="125">
        <f>AP10/AP12</f>
        <v>0.9999999599993894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1</v>
      </c>
      <c r="L11" s="23">
        <f>VLOOKUP(3,AD8:AN11,3,FALSE)</f>
        <v>0</v>
      </c>
      <c r="M11" s="23">
        <f>VLOOKUP(3,AD8:AN11,4,FALSE)</f>
        <v>0</v>
      </c>
      <c r="N11" s="23">
        <f>VLOOKUP(3,AD8:AN11,5,FALSE)</f>
        <v>1</v>
      </c>
      <c r="O11" s="23" t="str">
        <f>VLOOKUP(3,AD8:AN11,6,FALSE) &amp; " - " &amp; VLOOKUP(3,AD8:AN11,7,FALSE)</f>
        <v>1 - 2</v>
      </c>
      <c r="P11" s="34">
        <f>L11*3+M11</f>
        <v>0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0</v>
      </c>
      <c r="AH11" s="123">
        <f>COUNTIF($S$7:$T$78,"=" &amp; AE11 &amp; "_lose")</f>
        <v>1</v>
      </c>
      <c r="AI11" s="123">
        <f>SUMIF($E$7:$E$78,$AE11,$F$7:$F$78) + SUMIF($H$7:$H$78,$AE11,$G$7:$G$78)</f>
        <v>1</v>
      </c>
      <c r="AJ11" s="123">
        <f>SUMIF($E$7:$E$78,$AE11,$G$7:$G$78) + SUMIF($H$7:$H$78,$AE11,$F$7:$F$78)</f>
        <v>2</v>
      </c>
      <c r="AL11" s="123">
        <f>AI11-AJ11</f>
        <v>-1</v>
      </c>
      <c r="AM11" s="123">
        <f>AL11-AL12</f>
        <v>1</v>
      </c>
      <c r="AN11" s="123">
        <f>AF11*3+AG11</f>
        <v>0</v>
      </c>
      <c r="AO11" s="123">
        <f>AN11/AN12*10+BA11</f>
        <v>0</v>
      </c>
      <c r="AP11" s="123">
        <f>AO11*10000000+BI11*100+AM11/AM12*10+AI11/AI12*1++IF(AQ11=0,ROW(),AQ11)/2000000</f>
        <v>2.3340840233333333</v>
      </c>
      <c r="AQ11" s="126">
        <f>VLOOKUP(AE11,db_fifarank,2,FALSE)</f>
        <v>1501.38</v>
      </c>
      <c r="AR11" s="125">
        <f>AP11/AP12</f>
        <v>3.1121116299596237E-8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1</v>
      </c>
      <c r="L12" s="36">
        <f>VLOOKUP(4,AD8:AN11,3,FALSE)</f>
        <v>0</v>
      </c>
      <c r="M12" s="36">
        <f>VLOOKUP(4,AD8:AN11,4,FALSE)</f>
        <v>0</v>
      </c>
      <c r="N12" s="36">
        <f>VLOOKUP(4,AD8:AN11,5,FALSE)</f>
        <v>1</v>
      </c>
      <c r="O12" s="36" t="str">
        <f>VLOOKUP(4,AD8:AN11,6,FALSE) &amp; " - " &amp; VLOOKUP(4,AD8:AN11,7,FALSE)</f>
        <v>0 - 2</v>
      </c>
      <c r="P12" s="37">
        <f>L12*3+M12</f>
        <v>0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2</v>
      </c>
      <c r="AG12" s="123">
        <f t="shared" si="12"/>
        <v>1</v>
      </c>
      <c r="AH12" s="123">
        <f t="shared" si="12"/>
        <v>2</v>
      </c>
      <c r="AI12" s="123">
        <f>MAX(AI8:AI11)+1</f>
        <v>3</v>
      </c>
      <c r="AL12" s="123">
        <f>MIN(AL8:AL11)</f>
        <v>-2</v>
      </c>
      <c r="AM12" s="123">
        <f>MAX(AM8:AM11)+1</f>
        <v>5</v>
      </c>
      <c r="AN12" s="123">
        <f>MAX(AN8:AN11)+1</f>
        <v>4</v>
      </c>
      <c r="AO12" s="123">
        <f>MAX(AO8:AO11)+1</f>
        <v>8.5</v>
      </c>
      <c r="AP12" s="123">
        <f>MAX(AP8:AP11)+1</f>
        <v>75000009.667507187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1</v>
      </c>
      <c r="V14" s="123">
        <f t="shared" si="3"/>
        <v>1</v>
      </c>
      <c r="W14" s="123">
        <f t="shared" si="4"/>
        <v>1</v>
      </c>
      <c r="X14" s="123">
        <f t="shared" si="9"/>
        <v>1</v>
      </c>
      <c r="Y14" s="123">
        <f t="shared" si="10"/>
        <v>1</v>
      </c>
      <c r="Z14" s="123">
        <f t="shared" si="11"/>
        <v>1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0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1</v>
      </c>
      <c r="AJ14" s="123">
        <f>SUMIF($E$7:$E$78,$AE14,$G$7:$G$78) + SUMIF($H$7:$H$78,$AE14,$F$7:$F$78)</f>
        <v>1</v>
      </c>
      <c r="AL14" s="123">
        <f>AI14-AJ14</f>
        <v>0</v>
      </c>
      <c r="AM14" s="123">
        <f>AL14-AL18</f>
        <v>0</v>
      </c>
      <c r="AN14" s="123">
        <f>AF14*3+AG14</f>
        <v>1</v>
      </c>
      <c r="AO14" s="123">
        <f>AN14/AN18*10+BA14</f>
        <v>5.9901960784313726</v>
      </c>
      <c r="AP14" s="123">
        <f>AO14*10000000+BI14*100+AM14/AM18*10+AI14/AI18*1++IF(AQ14=0,ROW(),AQ14)/2000000</f>
        <v>59902060.304699808</v>
      </c>
      <c r="AQ14" s="126">
        <f>VLOOKUP(AE14,db_fifarank,2,FALSE)</f>
        <v>1556.48</v>
      </c>
      <c r="AR14" s="125">
        <f>AP14/AP18</f>
        <v>0.99999998330530815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101</v>
      </c>
      <c r="BA14" s="126">
        <f>AZ14/AZ18</f>
        <v>0.99019607843137258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101</v>
      </c>
      <c r="BI14" s="126">
        <f>BH14/BH18</f>
        <v>0.99019607843137258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/>
      <c r="G15" s="20"/>
      <c r="H15" s="80" t="str">
        <f>AE35</f>
        <v>Ecuador</v>
      </c>
      <c r="J15" s="30" t="str">
        <f>VLOOKUP(1,AD14:AN17,2,FALSE)</f>
        <v>Switzerland</v>
      </c>
      <c r="K15" s="31">
        <f>L15+M15+N15</f>
        <v>1</v>
      </c>
      <c r="L15" s="31">
        <f>VLOOKUP(1,AD14:AN17,3,FALSE)</f>
        <v>0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1 - 1</v>
      </c>
      <c r="P15" s="32">
        <f>L15*3+M15</f>
        <v>1</v>
      </c>
      <c r="R15" s="123">
        <f>DATE(2026,6,14)+TIME(12,0,0)+gmt_delta</f>
        <v>46187.958333333336</v>
      </c>
      <c r="S15" s="127" t="str">
        <f t="shared" si="1"/>
        <v/>
      </c>
      <c r="T15" s="127" t="str">
        <f t="shared" si="2"/>
        <v/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 t="str">
        <f t="shared" si="6"/>
        <v/>
      </c>
      <c r="AD15" s="123">
        <f>COUNTIF(AR14:AR17,CONCATENATE("&gt;=",AR15))</f>
        <v>4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0</v>
      </c>
      <c r="AI15" s="123">
        <f>SUMIF($E$7:$E$78,$AE15,$F$7:$F$78) + SUMIF($H$7:$H$78,$AE15,$G$7:$G$78)</f>
        <v>1</v>
      </c>
      <c r="AJ15" s="123">
        <f>SUMIF($E$7:$E$78,$AE15,$G$7:$G$78) + SUMIF($H$7:$H$78,$AE15,$F$7:$F$78)</f>
        <v>1</v>
      </c>
      <c r="AL15" s="123">
        <f>AI15-AJ15</f>
        <v>0</v>
      </c>
      <c r="AM15" s="123">
        <f>AL15-AL18</f>
        <v>0</v>
      </c>
      <c r="AN15" s="123">
        <f>AF15*3+AG15</f>
        <v>1</v>
      </c>
      <c r="AO15" s="123">
        <f>AN15/AN18*10+BA15</f>
        <v>5.9901960784313726</v>
      </c>
      <c r="AP15" s="123">
        <f>AO15*10000000+BI15*100+AM15/AM18*10+AI15/AI18*1++IF(AQ15=0,ROW(),AQ15)/2000000</f>
        <v>59902060.304614484</v>
      </c>
      <c r="AQ15" s="126">
        <f>VLOOKUP(AE15,db_fifarank,2,FALSE)</f>
        <v>1385.84</v>
      </c>
      <c r="AR15" s="125">
        <f>AP15/AP18</f>
        <v>0.99999998330388373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101</v>
      </c>
      <c r="BA15" s="126">
        <f>AZ15/AZ18</f>
        <v>0.99019607843137258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101</v>
      </c>
      <c r="BI15" s="126">
        <f>BH15/BH18</f>
        <v>0.99019607843137258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/>
      <c r="G16" s="20"/>
      <c r="H16" s="80" t="str">
        <f>AE33</f>
        <v>Curaçao</v>
      </c>
      <c r="J16" s="33" t="str">
        <f>VLOOKUP(2,AD14:AN17,2,FALSE)</f>
        <v>Canada</v>
      </c>
      <c r="K16" s="23">
        <f>L16+M16+N16</f>
        <v>1</v>
      </c>
      <c r="L16" s="23">
        <f>VLOOKUP(2,AD14:AN17,3,FALSE)</f>
        <v>0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1 - 1</v>
      </c>
      <c r="P16" s="34">
        <f>L16*3+M16</f>
        <v>1</v>
      </c>
      <c r="R16" s="123">
        <f>DATE(2026,6,14)+TIME(6,0,0)+gmt_delta</f>
        <v>46187.708333333336</v>
      </c>
      <c r="S16" s="127" t="str">
        <f t="shared" si="1"/>
        <v/>
      </c>
      <c r="T16" s="127" t="str">
        <f t="shared" si="2"/>
        <v/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 t="str">
        <f t="shared" si="6"/>
        <v/>
      </c>
      <c r="AD16" s="123">
        <f>COUNTIF(AR14:AR17,CONCATENATE("&gt;=",AR16))</f>
        <v>3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0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1</v>
      </c>
      <c r="AL16" s="123">
        <f>AI16-AJ16</f>
        <v>0</v>
      </c>
      <c r="AM16" s="123">
        <f>AL16-AL18</f>
        <v>0</v>
      </c>
      <c r="AN16" s="123">
        <f>AF16*3+AG16</f>
        <v>1</v>
      </c>
      <c r="AO16" s="123">
        <f>AN16/AN18*10+BA16</f>
        <v>5.9901960784313726</v>
      </c>
      <c r="AP16" s="123">
        <f>AO16*10000000+BI16*100+AM16/AM18*10+AI16/AI18*1++IF(AQ16=0,ROW(),AQ16)/2000000</f>
        <v>59902060.304649048</v>
      </c>
      <c r="AQ16" s="126">
        <f>VLOOKUP(AE16,db_fifarank,2,FALSE)</f>
        <v>1454.96</v>
      </c>
      <c r="AR16" s="125">
        <f>AP16/AP18</f>
        <v>0.99999998330446072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1</v>
      </c>
      <c r="AV16" s="126" cm="1">
        <f t="array" ref="AV16">SUMPRODUCT(($E$7:$E$78=AE16)*($U$7:$U$78)*($F$7:$F$78))+SUMPRODUCT(($H$7:$H$78=AE16)*($U$7:$U$78)*($G$7:$G$78))</f>
        <v>1</v>
      </c>
      <c r="AW16" s="126" cm="1">
        <f t="array" ref="AW16">SUMPRODUCT(($E$7:$E$78=AE16)*($U$7:$U$78)*($G$7:$G$78))+SUMPRODUCT(($H$7:$H$78=AE16)*($U$7:$U$78)*($F$7:$F$78))</f>
        <v>1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101</v>
      </c>
      <c r="BA16" s="126">
        <f>AZ16/AZ18</f>
        <v>0.99019607843137258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1</v>
      </c>
      <c r="BD16" s="126" cm="1">
        <f t="array" ref="BD16">SUMPRODUCT(($E$7:$E$78=AE16)*($X$7:$X$78)*($F$7:$F$78))+SUMPRODUCT(($H$7:$H$78=AE16)*($X$7:$X$78)*($G$7:$G$78))</f>
        <v>1</v>
      </c>
      <c r="BE16" s="126" cm="1">
        <f t="array" ref="BE16">SUMPRODUCT(($E$7:$E$78=AE16)*($X$7:$X$78)*($G$7:$G$78))+SUMPRODUCT(($H$7:$H$78=AE16)*($X$7:$X$78)*($F$7:$F$78))</f>
        <v>1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101</v>
      </c>
      <c r="BI16" s="126">
        <f>BH16/BH18</f>
        <v>0.99019607843137258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/>
      <c r="G17" s="20"/>
      <c r="H17" s="80" t="str">
        <f>AE39</f>
        <v>Japan</v>
      </c>
      <c r="J17" s="33" t="str">
        <f>VLOOKUP(3,AD14:AN17,2,FALSE)</f>
        <v>Qatar</v>
      </c>
      <c r="K17" s="23">
        <f>L17+M17+N17</f>
        <v>1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0</v>
      </c>
      <c r="O17" s="23" t="str">
        <f>VLOOKUP(3,AD14:AN17,6,FALSE) &amp; " - " &amp; VLOOKUP(3,AD14:AN17,7,FALSE)</f>
        <v>1 - 1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/>
      </c>
      <c r="T17" s="127" t="str">
        <f t="shared" si="2"/>
        <v/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 t="str">
        <f t="shared" si="6"/>
        <v/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0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1</v>
      </c>
      <c r="AJ17" s="123">
        <f>SUMIF($E$7:$E$78,$AE17,$G$7:$G$78) + SUMIF($H$7:$H$78,$AE17,$F$7:$F$78)</f>
        <v>1</v>
      </c>
      <c r="AL17" s="123">
        <f>AI17-AJ17</f>
        <v>0</v>
      </c>
      <c r="AM17" s="123">
        <f>AL17-AL18</f>
        <v>0</v>
      </c>
      <c r="AN17" s="123">
        <f>AF17*3+AG17</f>
        <v>1</v>
      </c>
      <c r="AO17" s="123">
        <f>AN17/AN18*10+BA17</f>
        <v>5.9901960784313726</v>
      </c>
      <c r="AP17" s="123">
        <f>AO17*10000000+BI17*100+AM17/AM18*10+AI17/AI18*1++IF(AQ17=0,ROW(),AQ17)/2000000</f>
        <v>59902060.304746263</v>
      </c>
      <c r="AQ17" s="126">
        <f>VLOOKUP(AE17,db_fifarank,2,FALSE)</f>
        <v>1649.4</v>
      </c>
      <c r="AR17" s="125">
        <f>AP17/AP18</f>
        <v>0.99999998330608364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1</v>
      </c>
      <c r="AV17" s="126" cm="1">
        <f t="array" ref="AV17">SUMPRODUCT(($E$7:$E$78=AE17)*($U$7:$U$78)*($F$7:$F$78))+SUMPRODUCT(($H$7:$H$78=AE17)*($U$7:$U$78)*($G$7:$G$78))</f>
        <v>1</v>
      </c>
      <c r="AW17" s="126" cm="1">
        <f t="array" ref="AW17">SUMPRODUCT(($E$7:$E$78=AE17)*($U$7:$U$78)*($G$7:$G$78))+SUMPRODUCT(($H$7:$H$78=AE17)*($U$7:$U$78)*($F$7:$F$78))</f>
        <v>1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101</v>
      </c>
      <c r="BA17" s="126">
        <f>AZ17/AZ18</f>
        <v>0.99019607843137258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1</v>
      </c>
      <c r="BD17" s="126" cm="1">
        <f t="array" ref="BD17">SUMPRODUCT(($E$7:$E$78=AE17)*($X$7:$X$78)*($F$7:$F$78))+SUMPRODUCT(($H$7:$H$78=AE17)*($X$7:$X$78)*($G$7:$G$78))</f>
        <v>1</v>
      </c>
      <c r="BE17" s="126" cm="1">
        <f t="array" ref="BE17">SUMPRODUCT(($E$7:$E$78=AE17)*($X$7:$X$78)*($G$7:$G$78))+SUMPRODUCT(($H$7:$H$78=AE17)*($X$7:$X$78)*($F$7:$F$78))</f>
        <v>1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101</v>
      </c>
      <c r="BI17" s="126">
        <f>BH17/BH18</f>
        <v>0.99019607843137258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/>
      <c r="G18" s="20"/>
      <c r="H18" s="80" t="str">
        <f>AE41</f>
        <v>Tunisia</v>
      </c>
      <c r="J18" s="35" t="str">
        <f>VLOOKUP(4,AD14:AN17,2,FALSE)</f>
        <v>Bosnia and Herzegovina</v>
      </c>
      <c r="K18" s="36">
        <f>L18+M18+N18</f>
        <v>1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0</v>
      </c>
      <c r="O18" s="36" t="str">
        <f>VLOOKUP(4,AD14:AN17,6,FALSE) &amp; " - " &amp; VLOOKUP(4,AD14:AN17,7,FALSE)</f>
        <v>1 - 1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/>
      </c>
      <c r="T18" s="127" t="str">
        <f t="shared" si="2"/>
        <v/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 t="str">
        <f t="shared" si="6"/>
        <v/>
      </c>
      <c r="AF18" s="123">
        <f t="shared" ref="AF18:AH18" si="13">MAX(AF14:AF17)-MIN(AF14:AF17)+1</f>
        <v>1</v>
      </c>
      <c r="AG18" s="123">
        <f t="shared" si="13"/>
        <v>1</v>
      </c>
      <c r="AH18" s="123">
        <f t="shared" si="13"/>
        <v>1</v>
      </c>
      <c r="AI18" s="123">
        <f>MAX(AI14:AI17)+1</f>
        <v>2</v>
      </c>
      <c r="AL18" s="123">
        <f>MIN(AL14:AL17)</f>
        <v>0</v>
      </c>
      <c r="AM18" s="123">
        <f>MAX(AM14:AM17)+1</f>
        <v>1</v>
      </c>
      <c r="AN18" s="123">
        <f>MAX(AN14:AN17)+1</f>
        <v>2</v>
      </c>
      <c r="AO18" s="123">
        <f>MAX(AO14:AO17)+1</f>
        <v>6.9901960784313726</v>
      </c>
      <c r="AP18" s="123">
        <f>MAX(AP14:AP17)+1</f>
        <v>59902061.304746263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102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102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/>
      <c r="G19" s="20"/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/>
      </c>
      <c r="T19" s="127" t="str">
        <f t="shared" si="2"/>
        <v/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 t="str">
        <f t="shared" si="6"/>
        <v/>
      </c>
      <c r="BK19" s="142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/>
      <c r="G20" s="20"/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/>
      </c>
      <c r="T20" s="127" t="str">
        <f t="shared" si="2"/>
        <v/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 t="str">
        <f t="shared" si="6"/>
        <v/>
      </c>
      <c r="AD20" s="123">
        <f>COUNTIF(AR20:AR23,CONCATENATE("&gt;=",AR20))</f>
        <v>2</v>
      </c>
      <c r="AE20" s="124" t="str">
        <f>VLOOKUP("Brazil",T,lang,FALSE)</f>
        <v>Brazil</v>
      </c>
      <c r="AF20" s="123">
        <f>COUNTIF($S$7:$T$78,"=" &amp; AE20 &amp; "_win")</f>
        <v>0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1</v>
      </c>
      <c r="AJ20" s="123">
        <f>SUMIF($E$7:$E$78,$AE20,$G$7:$G$78) + SUMIF($H$7:$H$78,$AE20,$F$7:$F$78)</f>
        <v>1</v>
      </c>
      <c r="AL20" s="123">
        <f>AI20-AJ20</f>
        <v>0</v>
      </c>
      <c r="AM20" s="123">
        <f>AL20-AL24</f>
        <v>1</v>
      </c>
      <c r="AN20" s="123">
        <f>AF20*3+AG20</f>
        <v>1</v>
      </c>
      <c r="AO20" s="123">
        <f>AN20/AN24*10+BA20</f>
        <v>3.4805825242718447</v>
      </c>
      <c r="AP20" s="123">
        <f>AO20*10000000+BI20*100+AM20/AM24*10+AI20/AI24*1++IF(AQ20=0,ROW(),AQ20)/2000000</f>
        <v>34805927.13518478</v>
      </c>
      <c r="AQ20" s="126">
        <f>VLOOKUP(AE20,db_fifarank,2,FALSE)</f>
        <v>1761.16</v>
      </c>
      <c r="AR20" s="125">
        <f>AP20/AP24</f>
        <v>0.46407897793145042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/>
      <c r="G21" s="20"/>
      <c r="H21" s="80" t="str">
        <f>AE47</f>
        <v>New Zealand</v>
      </c>
      <c r="J21" s="30" t="str">
        <f>VLOOKUP(1,AD20:AN23,2,FALSE)</f>
        <v>Scotland</v>
      </c>
      <c r="K21" s="31">
        <f>L21+M21+N21</f>
        <v>1</v>
      </c>
      <c r="L21" s="31">
        <f>VLOOKUP(1,AD20:AN23,3,FALSE)</f>
        <v>1</v>
      </c>
      <c r="M21" s="31">
        <f>VLOOKUP(1,AD20:AN23,4,FALSE)</f>
        <v>0</v>
      </c>
      <c r="N21" s="31">
        <f>VLOOKUP(1,AD20:AN23,5,FALSE)</f>
        <v>0</v>
      </c>
      <c r="O21" s="31" t="str">
        <f>VLOOKUP(1,AD20:AN23,6,FALSE) &amp; " - " &amp; VLOOKUP(1,AD20:AN23,7,FALSE)</f>
        <v>1 - 0</v>
      </c>
      <c r="P21" s="32">
        <f>L21*3+M21</f>
        <v>3</v>
      </c>
      <c r="R21" s="123">
        <f>DATE(2026,6,15)+TIME(14,0,0)+gmt_delta</f>
        <v>46189.041666666672</v>
      </c>
      <c r="S21" s="127" t="str">
        <f t="shared" si="1"/>
        <v/>
      </c>
      <c r="T21" s="127" t="str">
        <f t="shared" si="2"/>
        <v/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 t="str">
        <f t="shared" si="6"/>
        <v/>
      </c>
      <c r="AD21" s="123">
        <f>COUNTIF(AR20:AR23,CONCATENATE("&gt;=",AR21))</f>
        <v>3</v>
      </c>
      <c r="AE21" s="124" t="str">
        <f>VLOOKUP("Morocco",T,lang,FALSE)</f>
        <v>Morocco</v>
      </c>
      <c r="AF21" s="123">
        <f>COUNTIF($S$7:$T$78,"=" &amp; AE21 &amp; "_win")</f>
        <v>0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1</v>
      </c>
      <c r="AJ21" s="123">
        <f>SUMIF($E$7:$E$78,$AE21,$G$7:$G$78) + SUMIF($H$7:$H$78,$AE21,$F$7:$F$78)</f>
        <v>1</v>
      </c>
      <c r="AL21" s="123">
        <f>AI21-AJ21</f>
        <v>0</v>
      </c>
      <c r="AM21" s="123">
        <f>AL21-AL24</f>
        <v>1</v>
      </c>
      <c r="AN21" s="123">
        <f>AF21*3+AG21</f>
        <v>1</v>
      </c>
      <c r="AO21" s="123">
        <f>AN21/AN24*10+BA21</f>
        <v>3.4805825242718447</v>
      </c>
      <c r="AP21" s="123">
        <f>AO21*10000000+BI21*100+AM21/AM24*10+AI21/AI24*1++IF(AQ21=0,ROW(),AQ21)/2000000</f>
        <v>34805927.135182135</v>
      </c>
      <c r="AQ21" s="126">
        <f>VLOOKUP(AE21,db_fifarank,2,FALSE)</f>
        <v>1755.87</v>
      </c>
      <c r="AR21" s="125">
        <f>AP21/AP24</f>
        <v>0.46407897793141517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/>
      <c r="G22" s="20"/>
      <c r="H22" s="80" t="str">
        <f>AE45</f>
        <v>Egypt</v>
      </c>
      <c r="J22" s="33" t="str">
        <f>VLOOKUP(2,AD20:AN23,2,FALSE)</f>
        <v>Brazil</v>
      </c>
      <c r="K22" s="23">
        <f>L22+M22+N22</f>
        <v>1</v>
      </c>
      <c r="L22" s="23">
        <f>VLOOKUP(2,AD20:AN23,3,FALSE)</f>
        <v>0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1 - 1</v>
      </c>
      <c r="P22" s="34">
        <f>L22*3+M22</f>
        <v>1</v>
      </c>
      <c r="R22" s="123">
        <f>DATE(2026,6,15)+TIME(8,0,0)+gmt_delta</f>
        <v>46188.791666666672</v>
      </c>
      <c r="S22" s="127" t="str">
        <f t="shared" si="1"/>
        <v/>
      </c>
      <c r="T22" s="127" t="str">
        <f t="shared" si="2"/>
        <v/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 t="str">
        <f t="shared" si="6"/>
        <v/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1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1</v>
      </c>
      <c r="AL22" s="123">
        <f>AI22-AJ22</f>
        <v>-1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8.6113990622283044E-12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/>
      <c r="G23" s="20"/>
      <c r="H23" s="80" t="str">
        <f>AE57</f>
        <v>Senegal</v>
      </c>
      <c r="J23" s="33" t="str">
        <f>VLOOKUP(3,AD20:AN23,2,FALSE)</f>
        <v>Morocco</v>
      </c>
      <c r="K23" s="23">
        <f>L23+M23+N23</f>
        <v>1</v>
      </c>
      <c r="L23" s="23">
        <f>VLOOKUP(3,AD20:AN23,3,FALSE)</f>
        <v>0</v>
      </c>
      <c r="M23" s="23">
        <f>VLOOKUP(3,AD20:AN23,4,FALSE)</f>
        <v>1</v>
      </c>
      <c r="N23" s="23">
        <f>VLOOKUP(3,AD20:AN23,5,FALSE)</f>
        <v>0</v>
      </c>
      <c r="O23" s="23" t="str">
        <f>VLOOKUP(3,AD20:AN23,6,FALSE) &amp; " - " &amp; VLOOKUP(3,AD20:AN23,7,FALSE)</f>
        <v>1 - 1</v>
      </c>
      <c r="P23" s="34">
        <f>L23*3+M23</f>
        <v>1</v>
      </c>
      <c r="R23" s="123">
        <f>DATE(2026,6,16)+TIME(8,0,0)+gmt_delta</f>
        <v>46189.791666666672</v>
      </c>
      <c r="S23" s="127" t="str">
        <f t="shared" si="1"/>
        <v/>
      </c>
      <c r="T23" s="127" t="str">
        <f t="shared" si="2"/>
        <v/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 t="str">
        <f t="shared" si="6"/>
        <v/>
      </c>
      <c r="AD23" s="123">
        <f>COUNTIF(AR20:AR23,CONCATENATE("&gt;=",AR23))</f>
        <v>1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0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0</v>
      </c>
      <c r="AL23" s="123">
        <f>AI23-AJ23</f>
        <v>1</v>
      </c>
      <c r="AM23" s="123">
        <f>AL23-AL24</f>
        <v>2</v>
      </c>
      <c r="AN23" s="123">
        <f>AF23*3+AG23</f>
        <v>3</v>
      </c>
      <c r="AO23" s="123">
        <f>AN23/AN24*10+BA23</f>
        <v>7.5</v>
      </c>
      <c r="AP23" s="123">
        <f>AO23*10000000+BI23*100+AM23/AM24*10+AI23/AI24*1++IF(AQ23=0,ROW(),AQ23)/2000000</f>
        <v>75000007.167415842</v>
      </c>
      <c r="AQ23" s="126">
        <f>VLOOKUP(AE23,db_fifarank,2,FALSE)</f>
        <v>1498.35</v>
      </c>
      <c r="AR23" s="125">
        <f>AP23/AP24</f>
        <v>0.99999998666666812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/>
      <c r="G24" s="20"/>
      <c r="H24" s="80" t="str">
        <f>AE59</f>
        <v>Norway</v>
      </c>
      <c r="J24" s="35" t="str">
        <f>VLOOKUP(4,AD20:AN23,2,FALSE)</f>
        <v>Haiti</v>
      </c>
      <c r="K24" s="36">
        <f>L24+M24+N24</f>
        <v>1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1</v>
      </c>
      <c r="O24" s="36" t="str">
        <f>VLOOKUP(4,AD20:AN23,6,FALSE) &amp; " - " &amp; VLOOKUP(4,AD20:AN23,7,FALSE)</f>
        <v>0 - 1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/>
      </c>
      <c r="T24" s="127" t="str">
        <f t="shared" si="2"/>
        <v/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 t="str">
        <f t="shared" si="6"/>
        <v/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2</v>
      </c>
      <c r="AI24" s="123">
        <f>MAX(AI20:AI23)+1</f>
        <v>2</v>
      </c>
      <c r="AL24" s="123">
        <f>MIN(AL20:AL23)</f>
        <v>-1</v>
      </c>
      <c r="AM24" s="123">
        <f>MAX(AM20:AM23)+1</f>
        <v>3</v>
      </c>
      <c r="AN24" s="123">
        <f>MAX(AN20:AN23)+1</f>
        <v>4</v>
      </c>
      <c r="AO24" s="123">
        <f>MAX(AO20:AO23)+1</f>
        <v>8.5</v>
      </c>
      <c r="AP24" s="123">
        <f>MAX(AP20:AP23)+1</f>
        <v>75000008.167415842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/>
      <c r="G25" s="20"/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/>
      </c>
      <c r="T25" s="127" t="str">
        <f t="shared" si="2"/>
        <v/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 t="str">
        <f t="shared" si="6"/>
        <v/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/>
      <c r="G26" s="20"/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/>
      </c>
      <c r="T26" s="127" t="str">
        <f t="shared" si="2"/>
        <v/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 t="str">
        <f t="shared" si="6"/>
        <v/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1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4</v>
      </c>
      <c r="AJ26" s="123">
        <f>SUMIF($E$7:$E$78,$AE26,$G$7:$G$78) + SUMIF($H$7:$H$78,$AE26,$F$7:$F$78)</f>
        <v>1</v>
      </c>
      <c r="AL26" s="123">
        <f>AI26-AJ26</f>
        <v>3</v>
      </c>
      <c r="AM26" s="123">
        <f>AL26-AL30</f>
        <v>6</v>
      </c>
      <c r="AN26" s="123">
        <f>AF26*3+AG26</f>
        <v>3</v>
      </c>
      <c r="AO26" s="123">
        <f>AN26/AN30*10+BA26</f>
        <v>7.5</v>
      </c>
      <c r="AP26" s="123">
        <f>AO26*10000000+BI26*100+AM26/AM30*10+AI26/AI30*1++IF(AQ26=0,ROW(),AQ26)/2000000</f>
        <v>75000009.37226513</v>
      </c>
      <c r="AQ26" s="126">
        <f>VLOOKUP(AE26,db_fifarank,2,FALSE)</f>
        <v>1673.13</v>
      </c>
      <c r="AR26" s="125">
        <f>AP26/AP30</f>
        <v>0.99999998666666856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/>
      <c r="G27" s="20"/>
      <c r="H27" s="80" t="str">
        <f>AE77</f>
        <v>Panama</v>
      </c>
      <c r="J27" s="30" t="str">
        <f>VLOOKUP(1,AD26:AN29,2,FALSE)</f>
        <v>United States</v>
      </c>
      <c r="K27" s="31">
        <f>L27+M27+N27</f>
        <v>1</v>
      </c>
      <c r="L27" s="31">
        <f>VLOOKUP(1,AD26:AN29,3,FALSE)</f>
        <v>1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4 - 1</v>
      </c>
      <c r="P27" s="32">
        <f>L27*3+M27</f>
        <v>3</v>
      </c>
      <c r="R27" s="123">
        <f>DATE(2026,6,17)+TIME(12,0,0)+gmt_delta</f>
        <v>46190.958333333336</v>
      </c>
      <c r="S27" s="127" t="str">
        <f t="shared" si="1"/>
        <v/>
      </c>
      <c r="T27" s="127" t="str">
        <f t="shared" si="2"/>
        <v/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 t="str">
        <f t="shared" si="6"/>
        <v/>
      </c>
      <c r="AD27" s="123">
        <f>COUNTIF(AR26:AR29,CONCATENATE("&gt;=",AR27))</f>
        <v>4</v>
      </c>
      <c r="AE27" s="124" t="str">
        <f>VLOOKUP("Paraguay",T,lang,FALSE)</f>
        <v>Paraguay</v>
      </c>
      <c r="AF27" s="123">
        <f>COUNTIF($S$7:$T$78,"=" &amp; AE27 &amp; "_win")</f>
        <v>0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1</v>
      </c>
      <c r="AJ27" s="123">
        <f>SUMIF($E$7:$E$78,$AE27,$G$7:$G$78) + SUMIF($H$7:$H$78,$AE27,$F$7:$F$78)</f>
        <v>4</v>
      </c>
      <c r="AL27" s="123">
        <f>AI27-AJ27</f>
        <v>-3</v>
      </c>
      <c r="AM27" s="123">
        <f>AL27-AL30</f>
        <v>0</v>
      </c>
      <c r="AN27" s="123">
        <f>AF27*3+AG27</f>
        <v>0</v>
      </c>
      <c r="AO27" s="123">
        <f>AN27/AN30*10+BA27</f>
        <v>0</v>
      </c>
      <c r="AP27" s="123">
        <f>AO27*10000000+BI27*100+AM27/AM30*10+AI27/AI30*1++IF(AQ27=0,ROW(),AQ27)/2000000</f>
        <v>0.20075175000000001</v>
      </c>
      <c r="AQ27" s="126">
        <f>VLOOKUP(AE27,db_fifarank,2,FALSE)</f>
        <v>1503.5</v>
      </c>
      <c r="AR27" s="125">
        <f>AP27/AP30</f>
        <v>2.6766896298222066E-9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/>
      <c r="G28" s="20"/>
      <c r="H28" s="80" t="str">
        <f>AE75</f>
        <v>Croatia</v>
      </c>
      <c r="J28" s="33" t="str">
        <f>VLOOKUP(2,AD26:AN29,2,FALSE)</f>
        <v>Australia</v>
      </c>
      <c r="K28" s="23">
        <f>L28+M28+N28</f>
        <v>1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0</v>
      </c>
      <c r="O28" s="23" t="str">
        <f>VLOOKUP(2,AD26:AN29,6,FALSE) &amp; " - " &amp; VLOOKUP(2,AD26:AN29,7,FALSE)</f>
        <v>2 - 0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/>
      </c>
      <c r="T28" s="127" t="str">
        <f t="shared" si="2"/>
        <v/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 t="str">
        <f t="shared" si="6"/>
        <v/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0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0</v>
      </c>
      <c r="AL28" s="123">
        <f>AI28-AJ28</f>
        <v>2</v>
      </c>
      <c r="AM28" s="123">
        <f>AL28-AL30</f>
        <v>5</v>
      </c>
      <c r="AN28" s="123">
        <f>AF28*3+AG28</f>
        <v>3</v>
      </c>
      <c r="AO28" s="123">
        <f>AN28/AN30*10+BA28</f>
        <v>7.5</v>
      </c>
      <c r="AP28" s="123">
        <f>AO28*10000000+BI28*100+AM28/AM30*10+AI28/AI30*1++IF(AQ28=0,ROW(),AQ28)/2000000</f>
        <v>75000007.543647483</v>
      </c>
      <c r="AQ28" s="126">
        <f>VLOOKUP(AE28,db_fifarank,2,FALSE)</f>
        <v>1580.67</v>
      </c>
      <c r="AR28" s="125">
        <f>AP28/AP30</f>
        <v>0.99999996228510324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/>
      <c r="G29" s="20"/>
      <c r="H29" s="80" t="str">
        <f>AE69</f>
        <v>DR Congo</v>
      </c>
      <c r="J29" s="33" t="str">
        <f>VLOOKUP(3,AD26:AN29,2,FALSE)</f>
        <v>Turkey</v>
      </c>
      <c r="K29" s="23">
        <f>L29+M29+N29</f>
        <v>1</v>
      </c>
      <c r="L29" s="23">
        <f>VLOOKUP(3,AD26:AN29,3,FALSE)</f>
        <v>0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0 - 2</v>
      </c>
      <c r="P29" s="34">
        <f>L29*3+M29</f>
        <v>0</v>
      </c>
      <c r="R29" s="123">
        <f>DATE(2026,6,17)+TIME(6,0,0)+gmt_delta</f>
        <v>46190.708333333336</v>
      </c>
      <c r="S29" s="127" t="str">
        <f t="shared" si="1"/>
        <v/>
      </c>
      <c r="T29" s="127" t="str">
        <f t="shared" si="2"/>
        <v/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 t="str">
        <f t="shared" si="6"/>
        <v/>
      </c>
      <c r="AD29" s="123">
        <f>COUNTIF(AR26:AR29,CONCATENATE("&gt;=",AR29))</f>
        <v>3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1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2</v>
      </c>
      <c r="AL29" s="123">
        <f>AI29-AJ29</f>
        <v>-2</v>
      </c>
      <c r="AM29" s="123">
        <f>AL29-AL30</f>
        <v>1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1.4293709485714283</v>
      </c>
      <c r="AQ29" s="126">
        <f>VLOOKUP(AE29,db_fifarank,2,FALSE)</f>
        <v>1599.04</v>
      </c>
      <c r="AR29" s="125">
        <f>AP29/AP30</f>
        <v>1.9058276678585728E-8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/>
      <c r="G30" s="20"/>
      <c r="H30" s="80" t="str">
        <f>AE71</f>
        <v>Colombia</v>
      </c>
      <c r="J30" s="35" t="str">
        <f>VLOOKUP(4,AD26:AN29,2,FALSE)</f>
        <v>Paraguay</v>
      </c>
      <c r="K30" s="36">
        <f>L30+M30+N30</f>
        <v>1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1</v>
      </c>
      <c r="O30" s="36" t="str">
        <f>VLOOKUP(4,AD26:AN29,6,FALSE) &amp; " - " &amp; VLOOKUP(4,AD26:AN29,7,FALSE)</f>
        <v>1 - 4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/>
      </c>
      <c r="T30" s="127" t="str">
        <f t="shared" si="2"/>
        <v/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 t="str">
        <f t="shared" si="6"/>
        <v/>
      </c>
      <c r="AF30" s="123">
        <f t="shared" ref="AF30:AH30" si="15">MAX(AF26:AF29)-MIN(AF26:AF29)+1</f>
        <v>2</v>
      </c>
      <c r="AG30" s="123">
        <f t="shared" si="15"/>
        <v>1</v>
      </c>
      <c r="AH30" s="123">
        <f t="shared" si="15"/>
        <v>2</v>
      </c>
      <c r="AI30" s="123">
        <f>MAX(AI26:AI29)+1</f>
        <v>5</v>
      </c>
      <c r="AL30" s="123">
        <f>MIN(AL26:AL29)</f>
        <v>-3</v>
      </c>
      <c r="AM30" s="123">
        <f>MAX(AM26:AM29)+1</f>
        <v>7</v>
      </c>
      <c r="AN30" s="123">
        <f>MAX(AN26:AN29)+1</f>
        <v>4</v>
      </c>
      <c r="AO30" s="123">
        <f>MAX(AO26:AO29)+1</f>
        <v>8.5</v>
      </c>
      <c r="AP30" s="123">
        <f>MAX(AP26:AP29)+1</f>
        <v>75000010.37226513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/>
      <c r="G31" s="20"/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/>
      </c>
      <c r="T31" s="127" t="str">
        <f t="shared" si="2"/>
        <v/>
      </c>
      <c r="U31" s="123">
        <f t="shared" si="8"/>
        <v>0</v>
      </c>
      <c r="V31" s="123">
        <f t="shared" si="3"/>
        <v>0</v>
      </c>
      <c r="W31" s="123">
        <f t="shared" si="4"/>
        <v>0</v>
      </c>
      <c r="X31" s="123">
        <f t="shared" si="9"/>
        <v>0</v>
      </c>
      <c r="Y31" s="123">
        <f t="shared" si="10"/>
        <v>0</v>
      </c>
      <c r="Z31" s="123">
        <f t="shared" si="11"/>
        <v>0</v>
      </c>
      <c r="AA31" s="123">
        <f t="shared" si="5"/>
        <v>0</v>
      </c>
      <c r="AB31" s="123" t="str">
        <f t="shared" si="6"/>
        <v/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/>
      <c r="G32" s="20"/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/>
      </c>
      <c r="T32" s="127" t="str">
        <f t="shared" si="2"/>
        <v/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 t="str">
        <f t="shared" si="6"/>
        <v/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0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0</v>
      </c>
      <c r="AJ32" s="123">
        <f>SUMIF($E$7:$E$78,$AE32,$G$7:$G$78) + SUMIF($H$7:$H$78,$AE32,$F$7:$F$78)</f>
        <v>0</v>
      </c>
      <c r="AL32" s="123">
        <f>AI32-AJ32</f>
        <v>0</v>
      </c>
      <c r="AM32" s="123">
        <f>AL32-AL36</f>
        <v>0</v>
      </c>
      <c r="AN32" s="123">
        <f>AF32*3+AG32</f>
        <v>0</v>
      </c>
      <c r="AO32" s="123">
        <f>AN32/AN36*10+BA32</f>
        <v>0</v>
      </c>
      <c r="AP32" s="123">
        <f>AO32*10000000+BI32*100+AM32/AM36*10+AI32/AI36*1++IF(AQ32=0,ROW(),AQ32)/2000000</f>
        <v>8.6518499999999998E-4</v>
      </c>
      <c r="AQ32" s="126">
        <f>VLOOKUP(AE32,db_fifarank,2,FALSE)</f>
        <v>1730.37</v>
      </c>
      <c r="AR32" s="125">
        <f>AP32/AP36</f>
        <v>8.6443710198591821E-4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/>
      <c r="G33" s="20"/>
      <c r="H33" s="80" t="str">
        <f>AE16</f>
        <v>Qatar</v>
      </c>
      <c r="J33" s="30" t="str">
        <f>VLOOKUP(1,AD32:AN35,2,FALSE)</f>
        <v>Germany</v>
      </c>
      <c r="K33" s="31">
        <f>L33+M33+N33</f>
        <v>0</v>
      </c>
      <c r="L33" s="31">
        <f>VLOOKUP(1,AD32:AN35,3,FALSE)</f>
        <v>0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0 - 0</v>
      </c>
      <c r="P33" s="32">
        <f>L33*3+M33</f>
        <v>0</v>
      </c>
      <c r="R33" s="123">
        <f>DATE(2026,6,18)+TIME(11,0,0)+gmt_delta</f>
        <v>46191.916666666672</v>
      </c>
      <c r="S33" s="127" t="str">
        <f t="shared" si="1"/>
        <v/>
      </c>
      <c r="T33" s="127" t="str">
        <f t="shared" si="2"/>
        <v/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 t="str">
        <f t="shared" si="6"/>
        <v/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0</v>
      </c>
      <c r="AH33" s="123">
        <f>COUNTIF($S$7:$T$78,"=" &amp; AE33 &amp; "_lose")</f>
        <v>0</v>
      </c>
      <c r="AI33" s="123">
        <f>SUMIF($E$7:$E$78,$AE33,$F$7:$F$78) + SUMIF($H$7:$H$78,$AE33,$G$7:$G$78)</f>
        <v>0</v>
      </c>
      <c r="AJ33" s="123">
        <f>SUMIF($E$7:$E$78,$AE33,$G$7:$G$78) + SUMIF($H$7:$H$78,$AE33,$F$7:$F$78)</f>
        <v>0</v>
      </c>
      <c r="AL33" s="123">
        <f>AI33-AJ33</f>
        <v>0</v>
      </c>
      <c r="AM33" s="123">
        <f>AL33-AL36</f>
        <v>0</v>
      </c>
      <c r="AN33" s="123">
        <f>AF33*3+AG33</f>
        <v>0</v>
      </c>
      <c r="AO33" s="123">
        <f>AN33/AN36*10+BA33</f>
        <v>0</v>
      </c>
      <c r="AP33" s="123">
        <f>AO33*10000000+BI33*100+AM33/AM36*10+AI33/AI36*1++IF(AQ33=0,ROW(),AQ33)/2000000</f>
        <v>6.4732500000000003E-4</v>
      </c>
      <c r="AQ33" s="126">
        <f>VLOOKUP(AE33,db_fifarank,2,FALSE)</f>
        <v>1294.6500000000001</v>
      </c>
      <c r="AR33" s="125">
        <f>AP33/AP36</f>
        <v>6.4676542825295696E-4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0</v>
      </c>
      <c r="BA33" s="126">
        <f>AZ33/AZ36</f>
        <v>0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/>
      <c r="G34" s="20"/>
      <c r="H34" s="80" t="str">
        <f>AE10</f>
        <v>Korea Republic</v>
      </c>
      <c r="J34" s="33" t="str">
        <f>VLOOKUP(2,AD32:AN35,2,FALSE)</f>
        <v>Ecuador</v>
      </c>
      <c r="K34" s="23">
        <f>L34+M34+N34</f>
        <v>0</v>
      </c>
      <c r="L34" s="23">
        <f>VLOOKUP(2,AD32:AN35,3,FALSE)</f>
        <v>0</v>
      </c>
      <c r="M34" s="23">
        <f>VLOOKUP(2,AD32:AN35,4,FALSE)</f>
        <v>0</v>
      </c>
      <c r="N34" s="23">
        <f>VLOOKUP(2,AD32:AN35,5,FALSE)</f>
        <v>0</v>
      </c>
      <c r="O34" s="23" t="str">
        <f>VLOOKUP(2,AD32:AN35,6,FALSE) &amp; " - " &amp; VLOOKUP(2,AD32:AN35,7,FALSE)</f>
        <v>0 - 0</v>
      </c>
      <c r="P34" s="34">
        <f>L34*3+M34</f>
        <v>0</v>
      </c>
      <c r="R34" s="123">
        <f>DATE(2026,6,18)+TIME(14,0,0)+gmt_delta</f>
        <v>46192.041666666672</v>
      </c>
      <c r="S34" s="127" t="str">
        <f t="shared" si="1"/>
        <v/>
      </c>
      <c r="T34" s="127" t="str">
        <f t="shared" si="2"/>
        <v/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 t="str">
        <f t="shared" si="6"/>
        <v/>
      </c>
      <c r="AD34" s="123">
        <f>COUNTIF(AR32:AR35,CONCATENATE("&gt;=",AR34))</f>
        <v>3</v>
      </c>
      <c r="AE34" s="124" t="str">
        <f>VLOOKUP("Ivory Coast",T,lang,FALSE)</f>
        <v>Ivory Coast</v>
      </c>
      <c r="AF34" s="123">
        <f>COUNTIF($S$7:$T$78,"=" &amp; AE34 &amp; "_win")</f>
        <v>0</v>
      </c>
      <c r="AG34" s="123">
        <f>COUNTIF($S$7:$T$78,"=" &amp; AE34 &amp; "_draw")</f>
        <v>0</v>
      </c>
      <c r="AH34" s="123">
        <f>COUNTIF($S$7:$T$78,"=" &amp; AE34 &amp; "_lose")</f>
        <v>0</v>
      </c>
      <c r="AI34" s="123">
        <f>SUMIF($E$7:$E$78,$AE34,$F$7:$F$78) + SUMIF($H$7:$H$78,$AE34,$G$7:$G$78)</f>
        <v>0</v>
      </c>
      <c r="AJ34" s="123">
        <f>SUMIF($E$7:$E$78,$AE34,$G$7:$G$78) + SUMIF($H$7:$H$78,$AE34,$F$7:$F$78)</f>
        <v>0</v>
      </c>
      <c r="AL34" s="123">
        <f>AI34-AJ34</f>
        <v>0</v>
      </c>
      <c r="AM34" s="123">
        <f>AL34-AL36</f>
        <v>0</v>
      </c>
      <c r="AN34" s="123">
        <f>AF34*3+AG34</f>
        <v>0</v>
      </c>
      <c r="AO34" s="123">
        <f>AN34/AN36*10+BA34</f>
        <v>0</v>
      </c>
      <c r="AP34" s="123">
        <f>AO34*10000000+BI34*100+AM34/AM36*10+AI34/AI36*1++IF(AQ34=0,ROW(),AQ34)/2000000</f>
        <v>7.6648999999999999E-4</v>
      </c>
      <c r="AQ34" s="126">
        <f>VLOOKUP(AE34,db_fifarank,2,FALSE)</f>
        <v>1532.98</v>
      </c>
      <c r="AR34" s="125">
        <f>AP34/AP36</f>
        <v>7.6582741760569868E-4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/>
      <c r="G35" s="20"/>
      <c r="H35" s="80" t="str">
        <f>AE22</f>
        <v>Haiti</v>
      </c>
      <c r="J35" s="33" t="str">
        <f>VLOOKUP(3,AD32:AN35,2,FALSE)</f>
        <v>Ivory Coast</v>
      </c>
      <c r="K35" s="23">
        <f>L35+M35+N35</f>
        <v>0</v>
      </c>
      <c r="L35" s="23">
        <f>VLOOKUP(3,AD32:AN35,3,FALSE)</f>
        <v>0</v>
      </c>
      <c r="M35" s="23">
        <f>VLOOKUP(3,AD32:AN35,4,FALSE)</f>
        <v>0</v>
      </c>
      <c r="N35" s="23">
        <f>VLOOKUP(3,AD32:AN35,5,FALSE)</f>
        <v>0</v>
      </c>
      <c r="O35" s="23" t="str">
        <f>VLOOKUP(3,AD32:AN35,6,FALSE) &amp; " - " &amp; VLOOKUP(3,AD32:AN35,7,FALSE)</f>
        <v>0 - 0</v>
      </c>
      <c r="P35" s="34">
        <f>L35*3+M35</f>
        <v>0</v>
      </c>
      <c r="R35" s="123">
        <f>DATE(2026,6,19)+TIME(13,30,0)+gmt_delta</f>
        <v>46193.020833333336</v>
      </c>
      <c r="S35" s="127" t="str">
        <f t="shared" si="1"/>
        <v/>
      </c>
      <c r="T35" s="127" t="str">
        <f t="shared" si="2"/>
        <v/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 t="str">
        <f t="shared" si="6"/>
        <v/>
      </c>
      <c r="AD35" s="123">
        <f>COUNTIF(AR32:AR35,CONCATENATE("&gt;=",AR35))</f>
        <v>2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0</v>
      </c>
      <c r="AH35" s="123">
        <f>COUNTIF($S$7:$T$78,"=" &amp; AE35 &amp; "_lose")</f>
        <v>0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0</v>
      </c>
      <c r="AL35" s="123">
        <f>AI35-AJ35</f>
        <v>0</v>
      </c>
      <c r="AM35" s="123">
        <f>AL35-AL36</f>
        <v>0</v>
      </c>
      <c r="AN35" s="123">
        <f>AF35*3+AG35</f>
        <v>0</v>
      </c>
      <c r="AO35" s="123">
        <f>AN35/AN36*10+BA35</f>
        <v>0</v>
      </c>
      <c r="AP35" s="123">
        <f>AO35*10000000+BI35*100+AM35/AM36*10+AI35/AI36*1++IF(AQ35=0,ROW(),AQ35)/2000000</f>
        <v>7.9739000000000003E-4</v>
      </c>
      <c r="AQ35" s="126">
        <f>VLOOKUP(AE35,db_fifarank,2,FALSE)</f>
        <v>1594.78</v>
      </c>
      <c r="AR35" s="125">
        <f>AP35/AP36</f>
        <v>7.9670070649924736E-4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0</v>
      </c>
      <c r="BA35" s="126">
        <f>AZ35/AZ36</f>
        <v>0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/>
      <c r="G36" s="20"/>
      <c r="H36" s="80" t="str">
        <f>AE21</f>
        <v>Morocco</v>
      </c>
      <c r="J36" s="35" t="str">
        <f>VLOOKUP(4,AD32:AN35,2,FALSE)</f>
        <v>Curaçao</v>
      </c>
      <c r="K36" s="36">
        <f>L36+M36+N36</f>
        <v>0</v>
      </c>
      <c r="L36" s="36">
        <f>VLOOKUP(4,AD32:AN35,3,FALSE)</f>
        <v>0</v>
      </c>
      <c r="M36" s="36">
        <f>VLOOKUP(4,AD32:AN35,4,FALSE)</f>
        <v>0</v>
      </c>
      <c r="N36" s="36">
        <f>VLOOKUP(4,AD32:AN35,5,FALSE)</f>
        <v>0</v>
      </c>
      <c r="O36" s="36" t="str">
        <f>VLOOKUP(4,AD32:AN35,6,FALSE) &amp; " - " &amp; VLOOKUP(4,AD32:AN35,7,FALSE)</f>
        <v>0 - 0</v>
      </c>
      <c r="P36" s="37">
        <f>L36*3+M36</f>
        <v>0</v>
      </c>
      <c r="R36" s="123">
        <f>DATE(2026,6,19)+TIME(11,0,0)+gmt_delta</f>
        <v>46192.916666666672</v>
      </c>
      <c r="S36" s="127" t="str">
        <f t="shared" si="1"/>
        <v/>
      </c>
      <c r="T36" s="127" t="str">
        <f t="shared" si="2"/>
        <v/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 t="str">
        <f t="shared" si="6"/>
        <v/>
      </c>
      <c r="AF36" s="123">
        <f t="shared" ref="AF36:AH36" si="16">MAX(AF32:AF35)-MIN(AF32:AF35)+1</f>
        <v>1</v>
      </c>
      <c r="AG36" s="123">
        <f t="shared" si="16"/>
        <v>1</v>
      </c>
      <c r="AH36" s="123">
        <f t="shared" si="16"/>
        <v>1</v>
      </c>
      <c r="AI36" s="123">
        <f>MAX(AI32:AI35)+1</f>
        <v>1</v>
      </c>
      <c r="AL36" s="123">
        <f>MIN(AL32:AL35)</f>
        <v>0</v>
      </c>
      <c r="AM36" s="123">
        <f>MAX(AM32:AM35)+1</f>
        <v>1</v>
      </c>
      <c r="AN36" s="123">
        <f>MAX(AN32:AN35)+1</f>
        <v>1</v>
      </c>
      <c r="AO36" s="123">
        <f>MAX(AO32:AO35)+1</f>
        <v>1</v>
      </c>
      <c r="AP36" s="123">
        <f>MAX(AP32:AP35)+1</f>
        <v>1.0008651850000001</v>
      </c>
      <c r="AT36" s="126">
        <f>MAX(AT32:AT35)-MIN(AT32:AT35)+1</f>
        <v>1</v>
      </c>
      <c r="AU36" s="126">
        <f>MAX(AU32:AU35)-MIN(AU32:AU35)+1</f>
        <v>1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1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/>
      <c r="G37" s="20"/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/>
      </c>
      <c r="T37" s="127" t="str">
        <f t="shared" si="2"/>
        <v/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 t="str">
        <f t="shared" si="6"/>
        <v/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/>
      <c r="G38" s="20"/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/>
      </c>
      <c r="T38" s="127" t="str">
        <f t="shared" si="2"/>
        <v/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 t="str">
        <f t="shared" si="6"/>
        <v/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0</v>
      </c>
      <c r="AG38" s="123">
        <f>COUNTIF($S$7:$T$78,"=" &amp; AE38 &amp; "_draw")</f>
        <v>0</v>
      </c>
      <c r="AH38" s="123">
        <f>COUNTIF($S$7:$T$78,"=" &amp; AE38 &amp; "_lose")</f>
        <v>0</v>
      </c>
      <c r="AI38" s="123">
        <f>SUMIF($E$7:$E$78,$AE38,$F$7:$F$78) + SUMIF($H$7:$H$78,$AE38,$G$7:$G$78)</f>
        <v>0</v>
      </c>
      <c r="AJ38" s="123">
        <f>SUMIF($E$7:$E$78,$AE38,$G$7:$G$78) + SUMIF($H$7:$H$78,$AE38,$F$7:$F$78)</f>
        <v>0</v>
      </c>
      <c r="AL38" s="123">
        <f>AI38-AJ38</f>
        <v>0</v>
      </c>
      <c r="AM38" s="123">
        <f>AL38-AL42</f>
        <v>0</v>
      </c>
      <c r="AN38" s="123">
        <f>AF38*3+AG38</f>
        <v>0</v>
      </c>
      <c r="AO38" s="123">
        <f>AN38/AN42*10+BA38</f>
        <v>0</v>
      </c>
      <c r="AP38" s="123">
        <f>AO38*10000000+BI38*100+AM38/AM42*10+AI38/AI42*1++IF(AQ38=0,ROW(),AQ38)/2000000</f>
        <v>8.7893499999999996E-4</v>
      </c>
      <c r="AQ38" s="126">
        <f>VLOOKUP(AE38,db_fifarank,2,FALSE)</f>
        <v>1757.87</v>
      </c>
      <c r="AR38" s="125">
        <f>AP38/AP42</f>
        <v>8.7816315167028663E-4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/>
      <c r="G39" s="20"/>
      <c r="H39" s="80" t="str">
        <f>AE34</f>
        <v>Ivory Coast</v>
      </c>
      <c r="J39" s="30" t="str">
        <f>VLOOKUP(1,AD38:AN41,2,FALSE)</f>
        <v>Netherlands</v>
      </c>
      <c r="K39" s="31">
        <f>L39+M39+N39</f>
        <v>0</v>
      </c>
      <c r="L39" s="31">
        <f>VLOOKUP(1,AD38:AN41,3,FALSE)</f>
        <v>0</v>
      </c>
      <c r="M39" s="31">
        <f>VLOOKUP(1,AD38:AN41,4,FALSE)</f>
        <v>0</v>
      </c>
      <c r="N39" s="31">
        <f>VLOOKUP(1,AD38:AN41,5,FALSE)</f>
        <v>0</v>
      </c>
      <c r="O39" s="31" t="str">
        <f>VLOOKUP(1,AD38:AN41,6,FALSE) &amp; " - " &amp; VLOOKUP(1,AD38:AN41,7,FALSE)</f>
        <v>0 - 0</v>
      </c>
      <c r="P39" s="32">
        <f>L39*3+M39</f>
        <v>0</v>
      </c>
      <c r="R39" s="123">
        <f>DATE(2026,6,20)+TIME(9,0,0)+gmt_delta</f>
        <v>46193.833333333336</v>
      </c>
      <c r="S39" s="127" t="str">
        <f t="shared" si="1"/>
        <v/>
      </c>
      <c r="T39" s="127" t="str">
        <f t="shared" si="2"/>
        <v/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 t="str">
        <f t="shared" si="6"/>
        <v/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0</v>
      </c>
      <c r="AG39" s="123">
        <f>COUNTIF($S$7:$T$78,"=" &amp; AE39 &amp; "_draw")</f>
        <v>0</v>
      </c>
      <c r="AH39" s="123">
        <f>COUNTIF($S$7:$T$78,"=" &amp; AE39 &amp; "_lose")</f>
        <v>0</v>
      </c>
      <c r="AI39" s="123">
        <f>SUMIF($E$7:$E$78,$AE39,$F$7:$F$78) + SUMIF($H$7:$H$78,$AE39,$G$7:$G$78)</f>
        <v>0</v>
      </c>
      <c r="AJ39" s="123">
        <f>SUMIF($E$7:$E$78,$AE39,$G$7:$G$78) + SUMIF($H$7:$H$78,$AE39,$F$7:$F$78)</f>
        <v>0</v>
      </c>
      <c r="AL39" s="123">
        <f>AI39-AJ39</f>
        <v>0</v>
      </c>
      <c r="AM39" s="123">
        <f>AL39-AL42</f>
        <v>0</v>
      </c>
      <c r="AN39" s="123">
        <f>AF39*3+AG39</f>
        <v>0</v>
      </c>
      <c r="AO39" s="123">
        <f>AN39/AN42*10+BA39</f>
        <v>0</v>
      </c>
      <c r="AP39" s="123">
        <f>AO39*10000000+BI39*100+AM39/AM42*10+AI39/AI42*1++IF(AQ39=0,ROW(),AQ39)/2000000</f>
        <v>8.3021500000000003E-4</v>
      </c>
      <c r="AQ39" s="126">
        <f>VLOOKUP(AE39,db_fifarank,2,FALSE)</f>
        <v>1660.43</v>
      </c>
      <c r="AR39" s="125">
        <f>AP39/AP42</f>
        <v>8.2948593577903611E-4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/>
      <c r="G40" s="20"/>
      <c r="H40" s="80" t="str">
        <f>AE33</f>
        <v>Curaçao</v>
      </c>
      <c r="J40" s="33" t="str">
        <f>VLOOKUP(2,AD38:AN41,2,FALSE)</f>
        <v>Japan</v>
      </c>
      <c r="K40" s="23">
        <f>L40+M40+N40</f>
        <v>0</v>
      </c>
      <c r="L40" s="23">
        <f>VLOOKUP(2,AD38:AN41,3,FALSE)</f>
        <v>0</v>
      </c>
      <c r="M40" s="23">
        <f>VLOOKUP(2,AD38:AN41,4,FALSE)</f>
        <v>0</v>
      </c>
      <c r="N40" s="23">
        <f>VLOOKUP(2,AD38:AN41,5,FALSE)</f>
        <v>0</v>
      </c>
      <c r="O40" s="23" t="str">
        <f>VLOOKUP(2,AD38:AN41,6,FALSE) &amp; " - " &amp; VLOOKUP(2,AD38:AN41,7,FALSE)</f>
        <v>0 - 0</v>
      </c>
      <c r="P40" s="34">
        <f>L40*3+M40</f>
        <v>0</v>
      </c>
      <c r="R40" s="123">
        <f>DATE(2026,6,20)+TIME(13,0,0)+gmt_delta</f>
        <v>46194</v>
      </c>
      <c r="S40" s="127" t="str">
        <f t="shared" si="1"/>
        <v/>
      </c>
      <c r="T40" s="127" t="str">
        <f t="shared" si="2"/>
        <v/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 t="str">
        <f t="shared" si="6"/>
        <v/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0</v>
      </c>
      <c r="AG40" s="123">
        <f>COUNTIF($S$7:$T$78,"=" &amp; AE40 &amp; "_draw")</f>
        <v>0</v>
      </c>
      <c r="AH40" s="123">
        <f>COUNTIF($S$7:$T$78,"=" &amp; AE40 &amp; "_lose")</f>
        <v>0</v>
      </c>
      <c r="AI40" s="123">
        <f>SUMIF($E$7:$E$78,$AE40,$F$7:$F$78) + SUMIF($H$7:$H$78,$AE40,$G$7:$G$78)</f>
        <v>0</v>
      </c>
      <c r="AJ40" s="123">
        <f>SUMIF($E$7:$E$78,$AE40,$G$7:$G$78) + SUMIF($H$7:$H$78,$AE40,$F$7:$F$78)</f>
        <v>0</v>
      </c>
      <c r="AL40" s="123">
        <f>AI40-AJ40</f>
        <v>0</v>
      </c>
      <c r="AM40" s="123">
        <f>AL40-AL42</f>
        <v>0</v>
      </c>
      <c r="AN40" s="123">
        <f>AF40*3+AG40</f>
        <v>0</v>
      </c>
      <c r="AO40" s="123">
        <f>AN40/AN42*10+BA40</f>
        <v>0</v>
      </c>
      <c r="AP40" s="123">
        <f>AO40*10000000+BI40*100+AM40/AM42*10+AI40/AI42*1++IF(AQ40=0,ROW(),AQ40)/2000000</f>
        <v>7.5738499999999996E-4</v>
      </c>
      <c r="AQ40" s="126">
        <f>VLOOKUP(AE40,db_fifarank,2,FALSE)</f>
        <v>1514.77</v>
      </c>
      <c r="AR40" s="125">
        <f>AP40/AP42</f>
        <v>7.5671989240137219E-4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/>
      <c r="G41" s="20"/>
      <c r="H41" s="80" t="str">
        <f>AE40</f>
        <v>Sweden</v>
      </c>
      <c r="J41" s="33" t="str">
        <f>VLOOKUP(3,AD38:AN41,2,FALSE)</f>
        <v>Sweden</v>
      </c>
      <c r="K41" s="23">
        <f>L41+M41+N41</f>
        <v>0</v>
      </c>
      <c r="L41" s="23">
        <f>VLOOKUP(3,AD38:AN41,3,FALSE)</f>
        <v>0</v>
      </c>
      <c r="M41" s="23">
        <f>VLOOKUP(3,AD38:AN41,4,FALSE)</f>
        <v>0</v>
      </c>
      <c r="N41" s="23">
        <f>VLOOKUP(3,AD38:AN41,5,FALSE)</f>
        <v>0</v>
      </c>
      <c r="O41" s="23" t="str">
        <f>VLOOKUP(3,AD38:AN41,6,FALSE) &amp; " - " &amp; VLOOKUP(3,AD38:AN41,7,FALSE)</f>
        <v>0 - 0</v>
      </c>
      <c r="P41" s="34">
        <f>L41*3+M41</f>
        <v>0</v>
      </c>
      <c r="R41" s="123">
        <f>DATE(2026,6,20)+TIME(6,0,0)+gmt_delta</f>
        <v>46193.708333333336</v>
      </c>
      <c r="S41" s="127" t="str">
        <f t="shared" si="1"/>
        <v/>
      </c>
      <c r="T41" s="127" t="str">
        <f t="shared" si="2"/>
        <v/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 t="str">
        <f t="shared" si="6"/>
        <v/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0</v>
      </c>
      <c r="AI41" s="123">
        <f>SUMIF($E$7:$E$78,$AE41,$F$7:$F$78) + SUMIF($H$7:$H$78,$AE41,$G$7:$G$78)</f>
        <v>0</v>
      </c>
      <c r="AJ41" s="123">
        <f>SUMIF($E$7:$E$78,$AE41,$G$7:$G$78) + SUMIF($H$7:$H$78,$AE41,$F$7:$F$78)</f>
        <v>0</v>
      </c>
      <c r="AL41" s="123">
        <f>AI41-AJ41</f>
        <v>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7.4152499999999993E-4</v>
      </c>
      <c r="AQ41" s="126">
        <f>VLOOKUP(AE41,db_fifarank,2,FALSE)</f>
        <v>1483.05</v>
      </c>
      <c r="AR41" s="125">
        <f>AP41/AP42</f>
        <v>7.4087382006895759E-4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/>
      <c r="G42" s="20"/>
      <c r="H42" s="80" t="str">
        <f>AE39</f>
        <v>Japan</v>
      </c>
      <c r="J42" s="35" t="str">
        <f>VLOOKUP(4,AD38:AN41,2,FALSE)</f>
        <v>Tunisia</v>
      </c>
      <c r="K42" s="36">
        <f>L42+M42+N42</f>
        <v>0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0</v>
      </c>
      <c r="O42" s="36" t="str">
        <f>VLOOKUP(4,AD38:AN41,6,FALSE) &amp; " - " &amp; VLOOKUP(4,AD38:AN41,7,FALSE)</f>
        <v>0 - 0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/>
      </c>
      <c r="T42" s="127" t="str">
        <f t="shared" si="2"/>
        <v/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 t="str">
        <f t="shared" si="6"/>
        <v/>
      </c>
      <c r="AF42" s="123">
        <f t="shared" ref="AF42:AH42" si="18">MAX(AF38:AF41)-MIN(AF38:AF41)+1</f>
        <v>1</v>
      </c>
      <c r="AG42" s="123">
        <f t="shared" si="18"/>
        <v>1</v>
      </c>
      <c r="AH42" s="123">
        <f t="shared" si="18"/>
        <v>1</v>
      </c>
      <c r="AI42" s="123">
        <f>MAX(AI38:AI41)+1</f>
        <v>1</v>
      </c>
      <c r="AL42" s="123">
        <f>MIN(AL38:AL41)</f>
        <v>0</v>
      </c>
      <c r="AM42" s="123">
        <f>MAX(AM38:AM41)+1</f>
        <v>1</v>
      </c>
      <c r="AN42" s="123">
        <f>MAX(AN38:AN41)+1</f>
        <v>1</v>
      </c>
      <c r="AO42" s="123">
        <f>MAX(AO38:AO41)+1</f>
        <v>1</v>
      </c>
      <c r="AP42" s="123">
        <f>MAX(AP38:AP41)+1</f>
        <v>1.000878935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/>
      <c r="G43" s="20"/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/>
      </c>
      <c r="T43" s="127" t="str">
        <f t="shared" si="2"/>
        <v/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 t="str">
        <f t="shared" si="6"/>
        <v/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/>
      <c r="G44" s="20"/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/>
      </c>
      <c r="T44" s="127" t="str">
        <f t="shared" si="2"/>
        <v/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 t="str">
        <f t="shared" si="6"/>
        <v/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0</v>
      </c>
      <c r="AH44" s="123">
        <f>COUNTIF($S$7:$T$78,"=" &amp; AE44 &amp; "_lose")</f>
        <v>0</v>
      </c>
      <c r="AI44" s="123">
        <f>SUMIF($E$7:$E$78,$AE44,$F$7:$F$78) + SUMIF($H$7:$H$78,$AE44,$G$7:$G$78)</f>
        <v>0</v>
      </c>
      <c r="AJ44" s="123">
        <f>SUMIF($E$7:$E$78,$AE44,$G$7:$G$78) + SUMIF($H$7:$H$78,$AE44,$F$7:$F$78)</f>
        <v>0</v>
      </c>
      <c r="AL44" s="123">
        <f>AI44-AJ44</f>
        <v>0</v>
      </c>
      <c r="AM44" s="123">
        <f>AL44-AL48</f>
        <v>0</v>
      </c>
      <c r="AN44" s="123">
        <f>AF44*3+AG44</f>
        <v>0</v>
      </c>
      <c r="AO44" s="123">
        <f>AN44/AN48*10+BA44</f>
        <v>0</v>
      </c>
      <c r="AP44" s="123">
        <f>AO44*10000000+BI44*100+AM44/AM48*10+AI44/AI48*1++IF(AQ44=0,ROW(),AQ44)/2000000</f>
        <v>8.6735499999999999E-4</v>
      </c>
      <c r="AQ44" s="126">
        <f>VLOOKUP(AE44,db_fifarank,2,FALSE)</f>
        <v>1734.71</v>
      </c>
      <c r="AR44" s="125">
        <f>AP44/AP48</f>
        <v>8.6660334725374266E-4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0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0</v>
      </c>
      <c r="BA44" s="126">
        <f>AZ44/AZ48</f>
        <v>0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0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0</v>
      </c>
      <c r="BI44" s="126">
        <f>BH44/BH48</f>
        <v>0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/>
      <c r="G45" s="20"/>
      <c r="H45" s="80" t="str">
        <f>AE46</f>
        <v>Iran</v>
      </c>
      <c r="J45" s="30" t="str">
        <f>VLOOKUP(1,AD44:AN47,2,FALSE)</f>
        <v>Belgium</v>
      </c>
      <c r="K45" s="31">
        <f>L45+M45+N45</f>
        <v>0</v>
      </c>
      <c r="L45" s="31">
        <f>VLOOKUP(1,AD44:AN47,3,FALSE)</f>
        <v>0</v>
      </c>
      <c r="M45" s="31">
        <f>VLOOKUP(1,AD44:AN47,4,FALSE)</f>
        <v>0</v>
      </c>
      <c r="N45" s="31">
        <f>VLOOKUP(1,AD44:AN47,5,FALSE)</f>
        <v>0</v>
      </c>
      <c r="O45" s="31" t="str">
        <f>VLOOKUP(1,AD44:AN47,6,FALSE) &amp; " - " &amp; VLOOKUP(1,AD44:AN47,7,FALSE)</f>
        <v>0 - 0</v>
      </c>
      <c r="P45" s="32">
        <f>L45*3+M45</f>
        <v>0</v>
      </c>
      <c r="R45" s="123">
        <f>DATE(2026,6,21)+TIME(8,0,0)+gmt_delta</f>
        <v>46194.791666666672</v>
      </c>
      <c r="S45" s="127" t="str">
        <f t="shared" si="1"/>
        <v/>
      </c>
      <c r="T45" s="127" t="str">
        <f t="shared" si="2"/>
        <v/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 t="str">
        <f t="shared" si="6"/>
        <v/>
      </c>
      <c r="AD45" s="123">
        <f>COUNTIF(AR44:AR47,CONCATENATE("&gt;=",AR45))</f>
        <v>3</v>
      </c>
      <c r="AE45" s="124" t="str">
        <f>VLOOKUP("Egypt",T,lang,FALSE)</f>
        <v>Egypt</v>
      </c>
      <c r="AF45" s="123">
        <f>COUNTIF($S$7:$T$78,"=" &amp; AE45 &amp; "_win")</f>
        <v>0</v>
      </c>
      <c r="AG45" s="123">
        <f>COUNTIF($S$7:$T$78,"=" &amp; AE45 &amp; "_draw")</f>
        <v>0</v>
      </c>
      <c r="AH45" s="123">
        <f>COUNTIF($S$7:$T$78,"=" &amp; AE45 &amp; "_lose")</f>
        <v>0</v>
      </c>
      <c r="AI45" s="123">
        <f>SUMIF($E$7:$E$78,$AE45,$F$7:$F$78) + SUMIF($H$7:$H$78,$AE45,$G$7:$G$78)</f>
        <v>0</v>
      </c>
      <c r="AJ45" s="123">
        <f>SUMIF($E$7:$E$78,$AE45,$G$7:$G$78) + SUMIF($H$7:$H$78,$AE45,$F$7:$F$78)</f>
        <v>0</v>
      </c>
      <c r="AL45" s="123">
        <f>AI45-AJ45</f>
        <v>0</v>
      </c>
      <c r="AM45" s="123">
        <f>AL45-AL48</f>
        <v>0</v>
      </c>
      <c r="AN45" s="123">
        <f>AF45*3+AG45</f>
        <v>0</v>
      </c>
      <c r="AO45" s="123">
        <f>AN45/AN48*10+BA45</f>
        <v>0</v>
      </c>
      <c r="AP45" s="123">
        <f>AO45*10000000+BI45*100+AM45/AM48*10+AI45/AI48*1++IF(AQ45=0,ROW(),AQ45)/2000000</f>
        <v>7.8162000000000001E-4</v>
      </c>
      <c r="AQ45" s="126">
        <f>VLOOKUP(AE45,db_fifarank,2,FALSE)</f>
        <v>1563.24</v>
      </c>
      <c r="AR45" s="125">
        <f>AP45/AP48</f>
        <v>7.809426454917195E-4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/>
      <c r="G46" s="20"/>
      <c r="H46" s="80" t="str">
        <f>AE45</f>
        <v>Egypt</v>
      </c>
      <c r="J46" s="33" t="str">
        <f>VLOOKUP(2,AD44:AN47,2,FALSE)</f>
        <v>Iran</v>
      </c>
      <c r="K46" s="23">
        <f>L46+M46+N46</f>
        <v>0</v>
      </c>
      <c r="L46" s="23">
        <f>VLOOKUP(2,AD44:AN47,3,FALSE)</f>
        <v>0</v>
      </c>
      <c r="M46" s="23">
        <f>VLOOKUP(2,AD44:AN47,4,FALSE)</f>
        <v>0</v>
      </c>
      <c r="N46" s="23">
        <f>VLOOKUP(2,AD44:AN47,5,FALSE)</f>
        <v>0</v>
      </c>
      <c r="O46" s="23" t="str">
        <f>VLOOKUP(2,AD44:AN47,6,FALSE) &amp; " - " &amp; VLOOKUP(2,AD44:AN47,7,FALSE)</f>
        <v>0 - 0</v>
      </c>
      <c r="P46" s="34">
        <f>L46*3+M46</f>
        <v>0</v>
      </c>
      <c r="R46" s="123">
        <f>DATE(2026,6,21)+TIME(14,0,0)+gmt_delta</f>
        <v>46195.041666666672</v>
      </c>
      <c r="S46" s="127" t="str">
        <f t="shared" si="1"/>
        <v/>
      </c>
      <c r="T46" s="127" t="str">
        <f t="shared" si="2"/>
        <v/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 t="str">
        <f t="shared" si="6"/>
        <v/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0</v>
      </c>
      <c r="AH46" s="123">
        <f>COUNTIF($S$7:$T$78,"=" &amp; AE46 &amp; "_lose")</f>
        <v>0</v>
      </c>
      <c r="AI46" s="123">
        <f>SUMIF($E$7:$E$78,$AE46,$F$7:$F$78) + SUMIF($H$7:$H$78,$AE46,$G$7:$G$78)</f>
        <v>0</v>
      </c>
      <c r="AJ46" s="123">
        <f>SUMIF($E$7:$E$78,$AE46,$G$7:$G$78) + SUMIF($H$7:$H$78,$AE46,$F$7:$F$78)</f>
        <v>0</v>
      </c>
      <c r="AL46" s="123">
        <f>AI46-AJ46</f>
        <v>0</v>
      </c>
      <c r="AM46" s="123">
        <f>AL46-AL48</f>
        <v>0</v>
      </c>
      <c r="AN46" s="123">
        <f>AF46*3+AG46</f>
        <v>0</v>
      </c>
      <c r="AO46" s="123">
        <f>AN46/AN48*10+BA46</f>
        <v>0</v>
      </c>
      <c r="AP46" s="123">
        <f>AO46*10000000+BI46*100+AM46/AM48*10+AI46/AI48*1++IF(AQ46=0,ROW(),AQ46)/2000000</f>
        <v>8.0764999999999993E-4</v>
      </c>
      <c r="AQ46" s="126">
        <f>VLOOKUP(AE46,db_fifarank,2,FALSE)</f>
        <v>1615.3</v>
      </c>
      <c r="AR46" s="125">
        <f>AP46/AP48</f>
        <v>8.0695008780659041E-4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/>
      <c r="G47" s="20"/>
      <c r="H47" s="80" t="str">
        <f>AE57</f>
        <v>Senegal</v>
      </c>
      <c r="J47" s="33" t="str">
        <f>VLOOKUP(3,AD44:AN47,2,FALSE)</f>
        <v>Egypt</v>
      </c>
      <c r="K47" s="23">
        <f>L47+M47+N47</f>
        <v>0</v>
      </c>
      <c r="L47" s="23">
        <f>VLOOKUP(3,AD44:AN47,3,FALSE)</f>
        <v>0</v>
      </c>
      <c r="M47" s="23">
        <f>VLOOKUP(3,AD44:AN47,4,FALSE)</f>
        <v>0</v>
      </c>
      <c r="N47" s="23">
        <f>VLOOKUP(3,AD44:AN47,5,FALSE)</f>
        <v>0</v>
      </c>
      <c r="O47" s="23" t="str">
        <f>VLOOKUP(3,AD44:AN47,6,FALSE) &amp; " - " &amp; VLOOKUP(3,AD44:AN47,7,FALSE)</f>
        <v>0 - 0</v>
      </c>
      <c r="P47" s="34">
        <f>L47*3+M47</f>
        <v>0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/>
      </c>
      <c r="T47" s="127" t="str">
        <f t="shared" ref="T47:T78" si="20">IF(S47="","",IF(F47&lt;G47,H47&amp;"_win",IF(F47&gt;G47,H47&amp;"_lose",H47&amp;"_draw")))</f>
        <v/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 t="str">
        <f t="shared" ref="AB47:AB78" si="23">IF(OR(F47="",G47=""),"",IF(F47&gt;G47,1,IF(F47&lt;G47,-1,0)))</f>
        <v/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0</v>
      </c>
      <c r="AH47" s="123">
        <f>COUNTIF($S$7:$T$78,"=" &amp; AE47 &amp; "_lose")</f>
        <v>0</v>
      </c>
      <c r="AI47" s="123">
        <f>SUMIF($E$7:$E$78,$AE47,$F$7:$F$78) + SUMIF($H$7:$H$78,$AE47,$G$7:$G$78)</f>
        <v>0</v>
      </c>
      <c r="AJ47" s="123">
        <f>SUMIF($E$7:$E$78,$AE47,$G$7:$G$78) + SUMIF($H$7:$H$78,$AE47,$F$7:$F$78)</f>
        <v>0</v>
      </c>
      <c r="AL47" s="123">
        <f>AI47-AJ47</f>
        <v>0</v>
      </c>
      <c r="AM47" s="123">
        <f>AL47-AL48</f>
        <v>0</v>
      </c>
      <c r="AN47" s="123">
        <f>AF47*3+AG47</f>
        <v>0</v>
      </c>
      <c r="AO47" s="123">
        <f>AN47/AN48*10+BA47</f>
        <v>0</v>
      </c>
      <c r="AP47" s="123">
        <f>AO47*10000000+BI47*100+AM47/AM48*10+AI47/AI48*1++IF(AQ47=0,ROW(),AQ47)/2000000</f>
        <v>6.4078499999999994E-4</v>
      </c>
      <c r="AQ47" s="126">
        <f>VLOOKUP(AE47,db_fifarank,2,FALSE)</f>
        <v>1281.57</v>
      </c>
      <c r="AR47" s="125">
        <f>AP47/AP48</f>
        <v>6.4022969357412996E-4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/>
      <c r="G48" s="20"/>
      <c r="H48" s="80" t="str">
        <f>AE58</f>
        <v>Iraq</v>
      </c>
      <c r="J48" s="35" t="str">
        <f>VLOOKUP(4,AD44:AN47,2,FALSE)</f>
        <v>New Zealand</v>
      </c>
      <c r="K48" s="36">
        <f>L48+M48+N48</f>
        <v>0</v>
      </c>
      <c r="L48" s="36">
        <f>VLOOKUP(4,AD44:AN47,3,FALSE)</f>
        <v>0</v>
      </c>
      <c r="M48" s="36">
        <f>VLOOKUP(4,AD44:AN47,4,FALSE)</f>
        <v>0</v>
      </c>
      <c r="N48" s="36">
        <f>VLOOKUP(4,AD44:AN47,5,FALSE)</f>
        <v>0</v>
      </c>
      <c r="O48" s="36" t="str">
        <f>VLOOKUP(4,AD44:AN47,6,FALSE) &amp; " - " &amp; VLOOKUP(4,AD44:AN47,7,FALSE)</f>
        <v>0 - 0</v>
      </c>
      <c r="P48" s="37">
        <f>L48*3+M48</f>
        <v>0</v>
      </c>
      <c r="R48" s="123">
        <f>DATE(2026,6,22)+TIME(105,0,0)+gmt_delta</f>
        <v>46195.833333333336</v>
      </c>
      <c r="S48" s="127" t="str">
        <f t="shared" si="19"/>
        <v/>
      </c>
      <c r="T48" s="127" t="str">
        <f t="shared" si="20"/>
        <v/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 t="str">
        <f t="shared" si="23"/>
        <v/>
      </c>
      <c r="AF48" s="123">
        <f t="shared" ref="AF48:AH48" si="24">MAX(AF44:AF47)-MIN(AF44:AF47)+1</f>
        <v>1</v>
      </c>
      <c r="AG48" s="123">
        <f t="shared" si="24"/>
        <v>1</v>
      </c>
      <c r="AH48" s="123">
        <f t="shared" si="24"/>
        <v>1</v>
      </c>
      <c r="AI48" s="123">
        <f>MAX(AI44:AI47)+1</f>
        <v>1</v>
      </c>
      <c r="AL48" s="123">
        <f>MIN(AL44:AL47)</f>
        <v>0</v>
      </c>
      <c r="AM48" s="123">
        <f>MAX(AM44:AM47)+1</f>
        <v>1</v>
      </c>
      <c r="AN48" s="123">
        <f>MAX(AN44:AN47)+1</f>
        <v>1</v>
      </c>
      <c r="AO48" s="123">
        <f>MAX(AO44:AO47)+1</f>
        <v>1</v>
      </c>
      <c r="AP48" s="123">
        <f>MAX(AP44:AP47)+1</f>
        <v>1.000867355</v>
      </c>
      <c r="AT48" s="126">
        <f>MAX(AT44:AT47)-MIN(AT44:AT47)+1</f>
        <v>1</v>
      </c>
      <c r="AU48" s="126">
        <f>MAX(AU44:AU47)-MIN(AU44:AU47)+1</f>
        <v>1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1</v>
      </c>
      <c r="BB48" s="126">
        <f>MAX(BB44:BB47)-MIN(BB44:BB47)+1</f>
        <v>1</v>
      </c>
      <c r="BC48" s="126">
        <f>MAX(BC44:BC47)-MIN(BC44:BC47)+1</f>
        <v>1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/>
      <c r="G49" s="20"/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/>
      </c>
      <c r="T49" s="127" t="str">
        <f t="shared" si="20"/>
        <v/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 t="str">
        <f t="shared" si="23"/>
        <v/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/>
      <c r="G50" s="20"/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/>
      </c>
      <c r="T50" s="127" t="str">
        <f t="shared" si="20"/>
        <v/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 t="str">
        <f t="shared" si="23"/>
        <v/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0</v>
      </c>
      <c r="AG50" s="123">
        <f>COUNTIF($S$7:$T$78,"=" &amp; AE50 &amp; "_draw")</f>
        <v>0</v>
      </c>
      <c r="AH50" s="123">
        <f>COUNTIF($S$7:$T$78,"=" &amp; AE50 &amp; "_lose")</f>
        <v>0</v>
      </c>
      <c r="AI50" s="123">
        <f>SUMIF($E$7:$E$78,$AE50,$F$7:$F$78) + SUMIF($H$7:$H$78,$AE50,$G$7:$G$78)</f>
        <v>0</v>
      </c>
      <c r="AJ50" s="123">
        <f>SUMIF($E$7:$E$78,$AE50,$G$7:$G$78) + SUMIF($H$7:$H$78,$AE50,$F$7:$F$78)</f>
        <v>0</v>
      </c>
      <c r="AL50" s="123">
        <f>AI50-AJ50</f>
        <v>0</v>
      </c>
      <c r="AM50" s="123">
        <f>AL50-AL54</f>
        <v>0</v>
      </c>
      <c r="AN50" s="123">
        <f>AF50*3+AG50</f>
        <v>0</v>
      </c>
      <c r="AO50" s="123">
        <f>AN50/AN54*10+BA50</f>
        <v>0</v>
      </c>
      <c r="AP50" s="123">
        <f>AO50*10000000+BI50*100+AM50/AM54*10+AI50/AI54*1++IF(AQ50=0,ROW(),AQ50)/2000000</f>
        <v>9.3820000000000004E-4</v>
      </c>
      <c r="AQ50" s="126">
        <f>VLOOKUP(AE50,db_fifarank,2,FALSE)</f>
        <v>1876.4</v>
      </c>
      <c r="AR50" s="125">
        <f>AP50/AP54</f>
        <v>9.3732060580763133E-4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0</v>
      </c>
      <c r="L51" s="31">
        <f>VLOOKUP(1,AD50:AN53,3,FALSE)</f>
        <v>0</v>
      </c>
      <c r="M51" s="31">
        <f>VLOOKUP(1,AD50:AN53,4,FALSE)</f>
        <v>0</v>
      </c>
      <c r="N51" s="31">
        <f>VLOOKUP(1,AD50:AN53,5,FALSE)</f>
        <v>0</v>
      </c>
      <c r="O51" s="31" t="str">
        <f>VLOOKUP(1,AD50:AN53,6,FALSE) &amp; " - " &amp; VLOOKUP(1,AD50:AN53,7,FALSE)</f>
        <v>0 - 0</v>
      </c>
      <c r="P51" s="32">
        <f>L51*3+M51</f>
        <v>0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4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0</v>
      </c>
      <c r="AH51" s="123">
        <f>COUNTIF($S$7:$T$78,"=" &amp; AE51 &amp; "_lose")</f>
        <v>0</v>
      </c>
      <c r="AI51" s="123">
        <f>SUMIF($E$7:$E$78,$AE51,$F$7:$F$78) + SUMIF($H$7:$H$78,$AE51,$G$7:$G$78)</f>
        <v>0</v>
      </c>
      <c r="AJ51" s="123">
        <f>SUMIF($E$7:$E$78,$AE51,$G$7:$G$78) + SUMIF($H$7:$H$78,$AE51,$F$7:$F$78)</f>
        <v>0</v>
      </c>
      <c r="AL51" s="123">
        <f>AI51-AJ51</f>
        <v>0</v>
      </c>
      <c r="AM51" s="123">
        <f>AL51-AL54</f>
        <v>0</v>
      </c>
      <c r="AN51" s="123">
        <f>AF51*3+AG51</f>
        <v>0</v>
      </c>
      <c r="AO51" s="123">
        <f>AN51/AN54*10+BA51</f>
        <v>0</v>
      </c>
      <c r="AP51" s="123">
        <f>AO51*10000000+BI51*100+AM51/AM54*10+AI51/AI54*1++IF(AQ51=0,ROW(),AQ51)/2000000</f>
        <v>6.8306500000000006E-4</v>
      </c>
      <c r="AQ51" s="126">
        <f>VLOOKUP(AE51,db_fifarank,2,FALSE)</f>
        <v>1366.13</v>
      </c>
      <c r="AR51" s="125">
        <f>AP51/AP54</f>
        <v>6.8242474910039407E-4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0</v>
      </c>
      <c r="L52" s="23">
        <f>VLOOKUP(2,AD50:AN53,3,FALSE)</f>
        <v>0</v>
      </c>
      <c r="M52" s="23">
        <f>VLOOKUP(2,AD50:AN53,4,FALSE)</f>
        <v>0</v>
      </c>
      <c r="N52" s="23">
        <f>VLOOKUP(2,AD50:AN53,5,FALSE)</f>
        <v>0</v>
      </c>
      <c r="O52" s="23" t="str">
        <f>VLOOKUP(2,AD50:AN53,6,FALSE) &amp; " - " &amp; VLOOKUP(2,AD50:AN53,7,FALSE)</f>
        <v>0 - 0</v>
      </c>
      <c r="P52" s="34">
        <f>L52*3+M52</f>
        <v>0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3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0</v>
      </c>
      <c r="AH52" s="123">
        <f>COUNTIF($S$7:$T$78,"=" &amp; AE52 &amp; "_lose")</f>
        <v>0</v>
      </c>
      <c r="AI52" s="123">
        <f>SUMIF($E$7:$E$78,$AE52,$F$7:$F$78) + SUMIF($H$7:$H$78,$AE52,$G$7:$G$78)</f>
        <v>0</v>
      </c>
      <c r="AJ52" s="123">
        <f>SUMIF($E$7:$E$78,$AE52,$G$7:$G$78) + SUMIF($H$7:$H$78,$AE52,$F$7:$F$78)</f>
        <v>0</v>
      </c>
      <c r="AL52" s="123">
        <f>AI52-AJ52</f>
        <v>0</v>
      </c>
      <c r="AM52" s="123">
        <f>AL52-AL54</f>
        <v>0</v>
      </c>
      <c r="AN52" s="123">
        <f>AF52*3+AG52</f>
        <v>0</v>
      </c>
      <c r="AO52" s="123">
        <f>AN52/AN54*10+BA52</f>
        <v>0</v>
      </c>
      <c r="AP52" s="123">
        <f>AO52*10000000+BI52*100+AM52/AM54*10+AI52/AI54*1++IF(AQ52=0,ROW(),AQ52)/2000000</f>
        <v>7.10715E-4</v>
      </c>
      <c r="AQ52" s="126">
        <f>VLOOKUP(AE52,db_fifarank,2,FALSE)</f>
        <v>1421.43</v>
      </c>
      <c r="AR52" s="125">
        <f>AP52/AP54</f>
        <v>7.1004883218564344E-4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Saudi Arabia</v>
      </c>
      <c r="K53" s="23">
        <f>L53+M53+N53</f>
        <v>0</v>
      </c>
      <c r="L53" s="23">
        <f>VLOOKUP(3,AD50:AN53,3,FALSE)</f>
        <v>0</v>
      </c>
      <c r="M53" s="23">
        <f>VLOOKUP(3,AD50:AN53,4,FALSE)</f>
        <v>0</v>
      </c>
      <c r="N53" s="23">
        <f>VLOOKUP(3,AD50:AN53,5,FALSE)</f>
        <v>0</v>
      </c>
      <c r="O53" s="23" t="str">
        <f>VLOOKUP(3,AD50:AN53,6,FALSE) &amp; " - " &amp; VLOOKUP(3,AD50:AN53,7,FALSE)</f>
        <v>0 - 0</v>
      </c>
      <c r="P53" s="34">
        <f>L53*3+M53</f>
        <v>0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0</v>
      </c>
      <c r="AH53" s="123">
        <f>COUNTIF($S$7:$T$78,"=" &amp; AE53 &amp; "_lose")</f>
        <v>0</v>
      </c>
      <c r="AI53" s="123">
        <f>SUMIF($E$7:$E$78,$AE53,$F$7:$F$78) + SUMIF($H$7:$H$78,$AE53,$G$7:$G$78)</f>
        <v>0</v>
      </c>
      <c r="AJ53" s="123">
        <f>SUMIF($E$7:$E$78,$AE53,$G$7:$G$78) + SUMIF($H$7:$H$78,$AE53,$F$7:$F$78)</f>
        <v>0</v>
      </c>
      <c r="AL53" s="123">
        <f>AI53-AJ53</f>
        <v>0</v>
      </c>
      <c r="AM53" s="123">
        <f>AL53-AL54</f>
        <v>0</v>
      </c>
      <c r="AN53" s="123">
        <f>AF53*3+AG53</f>
        <v>0</v>
      </c>
      <c r="AO53" s="123">
        <f>AN53/AN54*10+BA53</f>
        <v>0</v>
      </c>
      <c r="AP53" s="123">
        <f>AO53*10000000+BI53*100+AM53/AM54*10+AI53/AI54*1++IF(AQ53=0,ROW(),AQ53)/2000000</f>
        <v>8.3653500000000001E-4</v>
      </c>
      <c r="AQ53" s="126">
        <f>VLOOKUP(AE53,db_fifarank,2,FALSE)</f>
        <v>1673.07</v>
      </c>
      <c r="AR53" s="125">
        <f>AP53/AP54</f>
        <v>8.3575089850702075E-4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0</v>
      </c>
      <c r="AV53" s="126" cm="1">
        <f t="array" ref="AV53">SUMPRODUCT(($E$7:$E$78=AE53)*($U$7:$U$78)*($F$7:$F$78))+SUMPRODUCT(($H$7:$H$78=AE53)*($U$7:$U$78)*($G$7:$G$78))</f>
        <v>0</v>
      </c>
      <c r="AW53" s="126" cm="1">
        <f t="array" ref="AW53">SUMPRODUCT(($E$7:$E$78=AE53)*($U$7:$U$78)*($G$7:$G$78))+SUMPRODUCT(($H$7:$H$78=AE53)*($U$7:$U$78)*($F$7:$F$78))</f>
        <v>0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0</v>
      </c>
      <c r="BA53" s="126">
        <f>AZ53/AZ54</f>
        <v>0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0</v>
      </c>
      <c r="BD53" s="126" cm="1">
        <f t="array" ref="BD53">SUMPRODUCT(($E$7:$E$78=AE53)*($X$7:$X$78)*($F$7:$F$78))+SUMPRODUCT(($H$7:$H$78=AE53)*($X$7:$X$78)*($G$7:$G$78))</f>
        <v>0</v>
      </c>
      <c r="BE53" s="126" cm="1">
        <f t="array" ref="BE53">SUMPRODUCT(($E$7:$E$78=AE53)*($X$7:$X$78)*($G$7:$G$78))+SUMPRODUCT(($H$7:$H$78=AE53)*($X$7:$X$78)*($F$7:$F$78))</f>
        <v>0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0</v>
      </c>
      <c r="BI53" s="126">
        <f>BH53/BH54</f>
        <v>0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Cape Verde</v>
      </c>
      <c r="K54" s="36">
        <f>L54+M54+N54</f>
        <v>0</v>
      </c>
      <c r="L54" s="36">
        <f>VLOOKUP(4,AD50:AN53,3,FALSE)</f>
        <v>0</v>
      </c>
      <c r="M54" s="36">
        <f>VLOOKUP(4,AD50:AN53,4,FALSE)</f>
        <v>0</v>
      </c>
      <c r="N54" s="36">
        <f>VLOOKUP(4,AD50:AN53,5,FALSE)</f>
        <v>0</v>
      </c>
      <c r="O54" s="36" t="str">
        <f>VLOOKUP(4,AD50:AN53,6,FALSE) &amp; " - " &amp; VLOOKUP(4,AD50:AN53,7,FALSE)</f>
        <v>0 - 0</v>
      </c>
      <c r="P54" s="37">
        <f>L54*3+M54</f>
        <v>0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1</v>
      </c>
      <c r="AG54" s="123">
        <f t="shared" si="25"/>
        <v>1</v>
      </c>
      <c r="AH54" s="123">
        <f t="shared" si="25"/>
        <v>1</v>
      </c>
      <c r="AI54" s="123">
        <f>MAX(AI50:AI53)+1</f>
        <v>1</v>
      </c>
      <c r="AL54" s="123">
        <f>MIN(AL50:AL53)</f>
        <v>0</v>
      </c>
      <c r="AM54" s="123">
        <f>MAX(AM50:AM53)+1</f>
        <v>1</v>
      </c>
      <c r="AN54" s="123">
        <f>MAX(AN50:AN53)+1</f>
        <v>1</v>
      </c>
      <c r="AO54" s="123">
        <f>MAX(AO50:AO53)+1</f>
        <v>1</v>
      </c>
      <c r="AP54" s="123">
        <f>MAX(AP50:AP53)+1</f>
        <v>1.0009382</v>
      </c>
      <c r="AT54" s="126">
        <f>MAX(AT50:AT53)-MIN(AT50:AT53)+1</f>
        <v>1</v>
      </c>
      <c r="AU54" s="126">
        <f>MAX(AU50:AU53)-MIN(AU50:AU53)+1</f>
        <v>1</v>
      </c>
      <c r="AV54" s="126">
        <f>MAX(AV50:AV53)-MIN(AV50:AV53)+1</f>
        <v>1</v>
      </c>
      <c r="AW54" s="126">
        <f>MAX(AW50:AW53)-MIN(AW50:AW53)+1</f>
        <v>1</v>
      </c>
      <c r="AY54" s="126">
        <f>MAX(AY50:AY53)-MIN(AY50:AY53)+1</f>
        <v>1</v>
      </c>
      <c r="AZ54" s="126">
        <f>MAX(AZ50:AZ53)+1</f>
        <v>1</v>
      </c>
      <c r="BB54" s="126">
        <f>MAX(BB50:BB53)-MIN(BB50:BB53)+1</f>
        <v>1</v>
      </c>
      <c r="BC54" s="126">
        <f>MAX(BC50:BC53)-MIN(BC50:BC53)+1</f>
        <v>1</v>
      </c>
      <c r="BD54" s="126">
        <f>MAX(BD50:BD53)-MIN(BD50:BD53)+1</f>
        <v>1</v>
      </c>
      <c r="BE54" s="126">
        <f>MAX(BE50:BE53)-MIN(BE50:BE53)+1</f>
        <v>1</v>
      </c>
      <c r="BG54" s="126">
        <f>MAX(BG50:BG53)-MIN(BG50:BG53)+1</f>
        <v>1</v>
      </c>
      <c r="BH54" s="126">
        <f>MAX(BH50:BH53)+1</f>
        <v>1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0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0</v>
      </c>
      <c r="AJ56" s="123">
        <f>SUMIF($E$7:$E$78,$AE56,$G$7:$G$78) + SUMIF($H$7:$H$78,$AE56,$F$7:$F$78)</f>
        <v>0</v>
      </c>
      <c r="AL56" s="123">
        <f>AI56-AJ56</f>
        <v>0</v>
      </c>
      <c r="AM56" s="123">
        <f>AL56-AL60</f>
        <v>0</v>
      </c>
      <c r="AN56" s="123">
        <f>AF56*3+AG56</f>
        <v>0</v>
      </c>
      <c r="AO56" s="123">
        <f>AN56/AN60*10+BA56</f>
        <v>0</v>
      </c>
      <c r="AP56" s="123">
        <f>AO56*10000000+BI56*100+AM56/AM60*10+AI56/AI60*1++IF(AQ56=0,ROW(),AQ56)/2000000</f>
        <v>9.3866000000000002E-4</v>
      </c>
      <c r="AQ56" s="126">
        <f>VLOOKUP(AE56,db_fifarank,2,FALSE)</f>
        <v>1877.32</v>
      </c>
      <c r="AR56" s="125">
        <f>AP56/AP60</f>
        <v>9.3777974366581059E-4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0</v>
      </c>
      <c r="L57" s="31">
        <f>VLOOKUP(1,AD56:AN59,3,FALSE)</f>
        <v>0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0 - 0</v>
      </c>
      <c r="P57" s="32">
        <f>L57*3+M57</f>
        <v>0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2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0</v>
      </c>
      <c r="AI57" s="123">
        <f>SUMIF($E$7:$E$78,$AE57,$F$7:$F$78) + SUMIF($H$7:$H$78,$AE57,$G$7:$G$78)</f>
        <v>0</v>
      </c>
      <c r="AJ57" s="123">
        <f>SUMIF($E$7:$E$78,$AE57,$G$7:$G$78) + SUMIF($H$7:$H$78,$AE57,$F$7:$F$78)</f>
        <v>0</v>
      </c>
      <c r="AL57" s="123">
        <f>AI57-AJ57</f>
        <v>0</v>
      </c>
      <c r="AM57" s="123">
        <f>AL57-AL60</f>
        <v>0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8.4449500000000001E-4</v>
      </c>
      <c r="AQ57" s="126">
        <f>VLOOKUP(AE57,db_fifarank,2,FALSE)</f>
        <v>1688.99</v>
      </c>
      <c r="AR57" s="125">
        <f>AP57/AP60</f>
        <v>8.4370304969537283E-4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Senegal</v>
      </c>
      <c r="K58" s="23">
        <f>L58+M58+N58</f>
        <v>0</v>
      </c>
      <c r="L58" s="23">
        <f>VLOOKUP(2,AD56:AN59,3,FALSE)</f>
        <v>0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0 - 0</v>
      </c>
      <c r="P58" s="34">
        <f>L58*3+M58</f>
        <v>0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0</v>
      </c>
      <c r="AI58" s="123">
        <f>SUMIF($E$7:$E$78,$AE58,$F$7:$F$78) + SUMIF($H$7:$H$78,$AE58,$G$7:$G$78)</f>
        <v>0</v>
      </c>
      <c r="AJ58" s="123">
        <f>SUMIF($E$7:$E$78,$AE58,$G$7:$G$78) + SUMIF($H$7:$H$78,$AE58,$F$7:$F$78)</f>
        <v>0</v>
      </c>
      <c r="AL58" s="123">
        <f>AI58-AJ58</f>
        <v>0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7.2357000000000009E-4</v>
      </c>
      <c r="AQ58" s="126">
        <f>VLOOKUP(AE58,db_fifarank,2,FALSE)</f>
        <v>1447.14</v>
      </c>
      <c r="AR58" s="125">
        <f>AP58/AP60</f>
        <v>7.2289145071087577E-4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Norway</v>
      </c>
      <c r="K59" s="23">
        <f>L59+M59+N59</f>
        <v>0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0</v>
      </c>
      <c r="O59" s="23" t="str">
        <f>VLOOKUP(3,AD56:AN59,6,FALSE) &amp; " - " &amp; VLOOKUP(3,AD56:AN59,7,FALSE)</f>
        <v>0 - 0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3</v>
      </c>
      <c r="AE59" s="124" t="str">
        <f>VLOOKUP("Norway",T,lang,FALSE)</f>
        <v>Norway</v>
      </c>
      <c r="AF59" s="123">
        <f>COUNTIF($S$7:$T$78,"=" &amp; AE59 &amp; "_win")</f>
        <v>0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0</v>
      </c>
      <c r="AJ59" s="123">
        <f>SUMIF($E$7:$E$78,$AE59,$G$7:$G$78) + SUMIF($H$7:$H$78,$AE59,$F$7:$F$78)</f>
        <v>0</v>
      </c>
      <c r="AL59" s="123">
        <f>AI59-AJ59</f>
        <v>0</v>
      </c>
      <c r="AM59" s="123">
        <f>AL59-AL60</f>
        <v>0</v>
      </c>
      <c r="AN59" s="123">
        <f>AF59*3+AG59</f>
        <v>0</v>
      </c>
      <c r="AO59" s="123">
        <f>AN59/AN60*10+BA59</f>
        <v>0</v>
      </c>
      <c r="AP59" s="123">
        <f>AO59*10000000+BI59*100+AM59/AM60*10+AI59/AI60*1++IF(AQ59=0,ROW(),AQ59)/2000000</f>
        <v>7.7547E-4</v>
      </c>
      <c r="AQ59" s="126">
        <f>VLOOKUP(AE59,db_fifarank,2,FALSE)</f>
        <v>1550.94</v>
      </c>
      <c r="AR59" s="125">
        <f>AP59/AP60</f>
        <v>7.7474277994217945E-4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0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0</v>
      </c>
      <c r="O60" s="36" t="str">
        <f>VLOOKUP(4,AD56:AN59,6,FALSE) &amp; " - " &amp; VLOOKUP(4,AD56:AN59,7,FALSE)</f>
        <v>0 - 0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1</v>
      </c>
      <c r="AG60" s="123">
        <f t="shared" si="27"/>
        <v>1</v>
      </c>
      <c r="AH60" s="123">
        <f t="shared" si="27"/>
        <v>1</v>
      </c>
      <c r="AI60" s="123">
        <f>MAX(AI56:AI59)+1</f>
        <v>1</v>
      </c>
      <c r="AL60" s="123">
        <f>MIN(AL56:AL59)</f>
        <v>0</v>
      </c>
      <c r="AM60" s="123">
        <f>MAX(AM56:AM59)+1</f>
        <v>1</v>
      </c>
      <c r="AN60" s="123">
        <f>MAX(AN56:AN59)+1</f>
        <v>1</v>
      </c>
      <c r="AO60" s="123">
        <f>MAX(AO56:AO59)+1</f>
        <v>1</v>
      </c>
      <c r="AP60" s="123">
        <f>MAX(AP56:AP59)+1</f>
        <v>1.0009386600000001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0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0</v>
      </c>
      <c r="AJ62" s="123">
        <f>SUMIF($E$7:$E$78,$AE62,$G$7:$G$78) + SUMIF($H$7:$H$78,$AE62,$F$7:$F$78)</f>
        <v>0</v>
      </c>
      <c r="AL62" s="123">
        <f>AI62-AJ62</f>
        <v>0</v>
      </c>
      <c r="AM62" s="123">
        <f>AL62-AL66</f>
        <v>0</v>
      </c>
      <c r="AN62" s="123">
        <f>AF62*3+AG62</f>
        <v>0</v>
      </c>
      <c r="AO62" s="123">
        <f>AN62/AN66*10+BA62</f>
        <v>0</v>
      </c>
      <c r="AP62" s="123">
        <f>AO62*10000000+BI62*100+AM62/AM66*10+AI62/AI66*1++IF(AQ62=0,ROW(),AQ62)/2000000</f>
        <v>9.3740999999999996E-4</v>
      </c>
      <c r="AQ62" s="126">
        <f>VLOOKUP(AE62,db_fifarank,2,FALSE)</f>
        <v>1874.82</v>
      </c>
      <c r="AR62" s="125">
        <f>AP62/AP66</f>
        <v>9.3653208545777108E-4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0</v>
      </c>
      <c r="L63" s="31">
        <f>VLOOKUP(1,AD62:AN65,3,FALSE)</f>
        <v>0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0 - 0</v>
      </c>
      <c r="P63" s="32">
        <f>L63*3+M63</f>
        <v>0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0</v>
      </c>
      <c r="AG63" s="123">
        <f>COUNTIF($S$7:$T$78,"=" &amp; AE63 &amp; "_draw")</f>
        <v>0</v>
      </c>
      <c r="AH63" s="123">
        <f>COUNTIF($S$7:$T$78,"=" &amp; AE63 &amp; "_lose")</f>
        <v>0</v>
      </c>
      <c r="AI63" s="123">
        <f>SUMIF($E$7:$E$78,$AE63,$F$7:$F$78) + SUMIF($H$7:$H$78,$AE63,$G$7:$G$78)</f>
        <v>0</v>
      </c>
      <c r="AJ63" s="123">
        <f>SUMIF($E$7:$E$78,$AE63,$G$7:$G$78) + SUMIF($H$7:$H$78,$AE63,$F$7:$F$78)</f>
        <v>0</v>
      </c>
      <c r="AL63" s="123">
        <f>AI63-AJ63</f>
        <v>0</v>
      </c>
      <c r="AM63" s="123">
        <f>AL63-AL66</f>
        <v>0</v>
      </c>
      <c r="AN63" s="123">
        <f>AF63*3+AG63</f>
        <v>0</v>
      </c>
      <c r="AO63" s="123">
        <f>AN63/AN66*10+BA63</f>
        <v>0</v>
      </c>
      <c r="AP63" s="123">
        <f>AO63*10000000+BI63*100+AM63/AM66*10+AI63/AI66*1++IF(AQ63=0,ROW(),AQ63)/2000000</f>
        <v>7.8213000000000002E-4</v>
      </c>
      <c r="AQ63" s="126">
        <f>VLOOKUP(AE63,db_fifarank,2,FALSE)</f>
        <v>1564.26</v>
      </c>
      <c r="AR63" s="125">
        <f>AP63/AP66</f>
        <v>7.8139751016000102E-4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0</v>
      </c>
      <c r="L64" s="23">
        <f>VLOOKUP(2,AD62:AN65,3,FALSE)</f>
        <v>0</v>
      </c>
      <c r="M64" s="23">
        <f>VLOOKUP(2,AD62:AN65,4,FALSE)</f>
        <v>0</v>
      </c>
      <c r="N64" s="23">
        <f>VLOOKUP(2,AD62:AN65,5,FALSE)</f>
        <v>0</v>
      </c>
      <c r="O64" s="23" t="str">
        <f>VLOOKUP(2,AD62:AN65,6,FALSE) &amp; " - " &amp; VLOOKUP(2,AD62:AN65,7,FALSE)</f>
        <v>0 - 0</v>
      </c>
      <c r="P64" s="34">
        <f>L64*3+M64</f>
        <v>0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0</v>
      </c>
      <c r="AG64" s="123">
        <f>COUNTIF($S$7:$T$78,"=" &amp; AE64 &amp; "_draw")</f>
        <v>0</v>
      </c>
      <c r="AH64" s="123">
        <f>COUNTIF($S$7:$T$78,"=" &amp; AE64 &amp; "_lose")</f>
        <v>0</v>
      </c>
      <c r="AI64" s="123">
        <f>SUMIF($E$7:$E$78,$AE64,$F$7:$F$78) + SUMIF($H$7:$H$78,$AE64,$G$7:$G$78)</f>
        <v>0</v>
      </c>
      <c r="AJ64" s="123">
        <f>SUMIF($E$7:$E$78,$AE64,$G$7:$G$78) + SUMIF($H$7:$H$78,$AE64,$F$7:$F$78)</f>
        <v>0</v>
      </c>
      <c r="AL64" s="123">
        <f>AI64-AJ64</f>
        <v>0</v>
      </c>
      <c r="AM64" s="123">
        <f>AL64-AL66</f>
        <v>0</v>
      </c>
      <c r="AN64" s="123">
        <f>AF64*3+AG64</f>
        <v>0</v>
      </c>
      <c r="AO64" s="123">
        <f>AN64/AN66*10+BA64</f>
        <v>0</v>
      </c>
      <c r="AP64" s="123">
        <f>AO64*10000000+BI64*100+AM64/AM66*10+AI64/AI66*1++IF(AQ64=0,ROW(),AQ64)/2000000</f>
        <v>7.9672499999999997E-4</v>
      </c>
      <c r="AQ64" s="126">
        <f>VLOOKUP(AE64,db_fifarank,2,FALSE)</f>
        <v>1593.45</v>
      </c>
      <c r="AR64" s="125">
        <f>AP64/AP66</f>
        <v>7.9597884147421369E-4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0</v>
      </c>
      <c r="L65" s="23">
        <f>VLOOKUP(3,AD62:AN65,3,FALSE)</f>
        <v>0</v>
      </c>
      <c r="M65" s="23">
        <f>VLOOKUP(3,AD62:AN65,4,FALSE)</f>
        <v>0</v>
      </c>
      <c r="N65" s="23">
        <f>VLOOKUP(3,AD62:AN65,5,FALSE)</f>
        <v>0</v>
      </c>
      <c r="O65" s="23" t="str">
        <f>VLOOKUP(3,AD62:AN65,6,FALSE) &amp; " - " &amp; VLOOKUP(3,AD62:AN65,7,FALSE)</f>
        <v>0 - 0</v>
      </c>
      <c r="P65" s="34">
        <f>L65*3+M65</f>
        <v>0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0</v>
      </c>
      <c r="AI65" s="123">
        <f>SUMIF($E$7:$E$78,$AE65,$F$7:$F$78) + SUMIF($H$7:$H$78,$AE65,$G$7:$G$78)</f>
        <v>0</v>
      </c>
      <c r="AJ65" s="123">
        <f>SUMIF($E$7:$E$78,$AE65,$G$7:$G$78) + SUMIF($H$7:$H$78,$AE65,$F$7:$F$78)</f>
        <v>0</v>
      </c>
      <c r="AL65" s="123">
        <f>AI65-AJ65</f>
        <v>0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6.9572500000000001E-4</v>
      </c>
      <c r="AQ65" s="126">
        <f>VLOOKUP(AE65,db_fifarank,2,FALSE)</f>
        <v>1391.45</v>
      </c>
      <c r="AR65" s="125">
        <f>AP65/AP66</f>
        <v>6.9507343121484491E-4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0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0</v>
      </c>
      <c r="O66" s="36" t="str">
        <f>VLOOKUP(4,AD62:AN65,6,FALSE) &amp; " - " &amp; VLOOKUP(4,AD62:AN65,7,FALSE)</f>
        <v>0 - 0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1</v>
      </c>
      <c r="AG66" s="123">
        <f t="shared" si="28"/>
        <v>1</v>
      </c>
      <c r="AH66" s="123">
        <f t="shared" si="28"/>
        <v>1</v>
      </c>
      <c r="AI66" s="123">
        <f>MAX(AI62:AI65)+1</f>
        <v>1</v>
      </c>
      <c r="AL66" s="123">
        <f>MIN(AL62:AL65)</f>
        <v>0</v>
      </c>
      <c r="AM66" s="123">
        <f>MAX(AM62:AM65)+1</f>
        <v>1</v>
      </c>
      <c r="AN66" s="123">
        <f>MAX(AN62:AN65)+1</f>
        <v>1</v>
      </c>
      <c r="AO66" s="123">
        <f>MAX(AO62:AO65)+1</f>
        <v>1</v>
      </c>
      <c r="AP66" s="123">
        <f>MAX(AP62:AP65)+1</f>
        <v>1.0009374099999999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1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0</v>
      </c>
      <c r="AH68" s="123">
        <f>COUNTIF($S$7:$T$78,"=" &amp; AE68 &amp; "_lose")</f>
        <v>0</v>
      </c>
      <c r="AI68" s="123">
        <f>SUMIF($E$7:$E$78,$AE68,$F$7:$F$78) + SUMIF($H$7:$H$78,$AE68,$G$7:$G$78)</f>
        <v>0</v>
      </c>
      <c r="AJ68" s="123">
        <f>SUMIF($E$7:$E$78,$AE68,$G$7:$G$78) + SUMIF($H$7:$H$78,$AE68,$F$7:$F$78)</f>
        <v>0</v>
      </c>
      <c r="AL68" s="123">
        <f>AI68-AJ68</f>
        <v>0</v>
      </c>
      <c r="AM68" s="123">
        <f>AL68-AL72</f>
        <v>0</v>
      </c>
      <c r="AN68" s="123">
        <f>AF68*3+AG68</f>
        <v>0</v>
      </c>
      <c r="AO68" s="123">
        <f>AN68/AN72*10+BA68</f>
        <v>0</v>
      </c>
      <c r="AP68" s="123">
        <f>AO68*10000000+BI68*100+AM68/AM72*10+AI68/AI72*1++IF(AQ68=0,ROW(),AQ68)/2000000</f>
        <v>8.8191499999999993E-4</v>
      </c>
      <c r="AQ68" s="126">
        <f>VLOOKUP(AE68,db_fifarank,2,FALSE)</f>
        <v>1763.83</v>
      </c>
      <c r="AR68" s="125">
        <f>AP68/AP72</f>
        <v>8.8113791125899203E-4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Portugal</v>
      </c>
      <c r="K69" s="31">
        <f>L69+M69+N69</f>
        <v>0</v>
      </c>
      <c r="L69" s="31">
        <f>VLOOKUP(1,AD68:AN71,3,FALSE)</f>
        <v>0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0 - 0</v>
      </c>
      <c r="P69" s="32">
        <f>L69*3+M69</f>
        <v>0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0</v>
      </c>
      <c r="AH69" s="123">
        <f>COUNTIF($S$7:$T$78,"=" &amp; AE69 &amp; "_lose")</f>
        <v>0</v>
      </c>
      <c r="AI69" s="123">
        <f>SUMIF($E$7:$E$78,$AE69,$F$7:$F$78) + SUMIF($H$7:$H$78,$AE69,$G$7:$G$78)</f>
        <v>0</v>
      </c>
      <c r="AJ69" s="123">
        <f>SUMIF($E$7:$E$78,$AE69,$G$7:$G$78) + SUMIF($H$7:$H$78,$AE69,$F$7:$F$78)</f>
        <v>0</v>
      </c>
      <c r="AL69" s="123">
        <f>AI69-AJ69</f>
        <v>0</v>
      </c>
      <c r="AM69" s="123">
        <f>AL69-AL72</f>
        <v>0</v>
      </c>
      <c r="AN69" s="123">
        <f>AF69*3+AG69</f>
        <v>0</v>
      </c>
      <c r="AO69" s="123">
        <f>AN69/AN72*10+BA69</f>
        <v>0</v>
      </c>
      <c r="AP69" s="123">
        <f>AO69*10000000+BI69*100+AM69/AM72*10+AI69/AI72*1++IF(AQ69=0,ROW(),AQ69)/2000000</f>
        <v>7.391749999999999E-4</v>
      </c>
      <c r="AQ69" s="126">
        <f>VLOOKUP(AE69,db_fifarank,2,FALSE)</f>
        <v>1478.35</v>
      </c>
      <c r="AR69" s="125">
        <f>AP69/AP72</f>
        <v>7.385236848844451E-4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Colombia</v>
      </c>
      <c r="K70" s="23">
        <f>L70+M70+N70</f>
        <v>0</v>
      </c>
      <c r="L70" s="23">
        <f>VLOOKUP(2,AD68:AN71,3,FALSE)</f>
        <v>0</v>
      </c>
      <c r="M70" s="23">
        <f>VLOOKUP(2,AD68:AN71,4,FALSE)</f>
        <v>0</v>
      </c>
      <c r="N70" s="23">
        <f>VLOOKUP(2,AD68:AN71,5,FALSE)</f>
        <v>0</v>
      </c>
      <c r="O70" s="23" t="str">
        <f>VLOOKUP(2,AD68:AN71,6,FALSE) &amp; " - " &amp; VLOOKUP(2,AD68:AN71,7,FALSE)</f>
        <v>0 - 0</v>
      </c>
      <c r="P70" s="34">
        <f>L70*3+M70</f>
        <v>0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0</v>
      </c>
      <c r="AI70" s="123">
        <f>SUMIF($E$7:$E$78,$AE70,$F$7:$F$78) + SUMIF($H$7:$H$78,$AE70,$G$7:$G$78)</f>
        <v>0</v>
      </c>
      <c r="AJ70" s="123">
        <f>SUMIF($E$7:$E$78,$AE70,$G$7:$G$78) + SUMIF($H$7:$H$78,$AE70,$F$7:$F$78)</f>
        <v>0</v>
      </c>
      <c r="AL70" s="123">
        <f>AI70-AJ70</f>
        <v>0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7.3266999999999994E-4</v>
      </c>
      <c r="AQ70" s="126">
        <f>VLOOKUP(AE70,db_fifarank,2,FALSE)</f>
        <v>1465.34</v>
      </c>
      <c r="AR70" s="125">
        <f>AP70/AP72</f>
        <v>7.3202441668655794E-4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0</v>
      </c>
      <c r="L71" s="23">
        <f>VLOOKUP(3,AD68:AN71,3,FALSE)</f>
        <v>0</v>
      </c>
      <c r="M71" s="23">
        <f>VLOOKUP(3,AD68:AN71,4,FALSE)</f>
        <v>0</v>
      </c>
      <c r="N71" s="23">
        <f>VLOOKUP(3,AD68:AN71,5,FALSE)</f>
        <v>0</v>
      </c>
      <c r="O71" s="23" t="str">
        <f>VLOOKUP(3,AD68:AN71,6,FALSE) &amp; " - " &amp; VLOOKUP(3,AD68:AN71,7,FALSE)</f>
        <v>0 - 0</v>
      </c>
      <c r="P71" s="34">
        <f>L71*3+M71</f>
        <v>0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2</v>
      </c>
      <c r="AE71" s="124" t="str">
        <f>VLOOKUP("Colombia",T,lang,FALSE)</f>
        <v>Colombia</v>
      </c>
      <c r="AF71" s="123">
        <f>COUNTIF($S$7:$T$78,"=" &amp; AE71 &amp; "_win")</f>
        <v>0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0</v>
      </c>
      <c r="AJ71" s="123">
        <f>SUMIF($E$7:$E$78,$AE71,$G$7:$G$78) + SUMIF($H$7:$H$78,$AE71,$F$7:$F$78)</f>
        <v>0</v>
      </c>
      <c r="AL71" s="123">
        <f>AI71-AJ71</f>
        <v>0</v>
      </c>
      <c r="AM71" s="123">
        <f>AL71-AL72</f>
        <v>0</v>
      </c>
      <c r="AN71" s="123">
        <f>AF71*3+AG71</f>
        <v>0</v>
      </c>
      <c r="AO71" s="123">
        <f>AN71/AN72*10+BA71</f>
        <v>0</v>
      </c>
      <c r="AP71" s="123">
        <f>AO71*10000000+BI71*100+AM71/AM72*10+AI71/AI72*1++IF(AQ71=0,ROW(),AQ71)/2000000</f>
        <v>8.4654499999999998E-4</v>
      </c>
      <c r="AQ71" s="126">
        <f>VLOOKUP(AE71,db_fifarank,2,FALSE)</f>
        <v>1693.09</v>
      </c>
      <c r="AR71" s="125">
        <f>AP71/AP72</f>
        <v>8.4579907710691335E-4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0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0</v>
      </c>
      <c r="O72" s="36" t="str">
        <f>VLOOKUP(4,AD68:AN71,6,FALSE) &amp; " - " &amp; VLOOKUP(4,AD68:AN71,7,FALSE)</f>
        <v>0 - 0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1</v>
      </c>
      <c r="AG72" s="123">
        <f t="shared" si="35"/>
        <v>1</v>
      </c>
      <c r="AH72" s="123">
        <f t="shared" si="35"/>
        <v>1</v>
      </c>
      <c r="AI72" s="123">
        <f>MAX(AI68:AI71)+1</f>
        <v>1</v>
      </c>
      <c r="AL72" s="123">
        <f>MIN(AL68:AL71)</f>
        <v>0</v>
      </c>
      <c r="AM72" s="123">
        <f>MAX(AM68:AM71)+1</f>
        <v>1</v>
      </c>
      <c r="AN72" s="123">
        <f>MAX(AN68:AN71)+1</f>
        <v>1</v>
      </c>
      <c r="AO72" s="123">
        <f>MAX(AO68:AO71)+1</f>
        <v>1</v>
      </c>
      <c r="AP72" s="123">
        <f>MAX(AP68:AP71)+1</f>
        <v>1.0008819149999999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0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0</v>
      </c>
      <c r="AJ74" s="123">
        <f>SUMIF($E$7:$E$78,$AE74,$G$7:$G$78) + SUMIF($H$7:$H$78,$AE74,$F$7:$F$78)</f>
        <v>0</v>
      </c>
      <c r="AL74" s="123">
        <f>AI74-AJ74</f>
        <v>0</v>
      </c>
      <c r="AM74" s="123">
        <f>AL74-AL78</f>
        <v>0</v>
      </c>
      <c r="AN74" s="123">
        <f>AF74*3+AG74</f>
        <v>0</v>
      </c>
      <c r="AO74" s="123">
        <f>AN74/AN78*10+BA74</f>
        <v>0</v>
      </c>
      <c r="AP74" s="123">
        <f>AO74*10000000+BI74*100+AM74/AM78*10+AI74/AI78*1++IF(AQ74=0,ROW(),AQ74)/2000000</f>
        <v>9.1298500000000006E-4</v>
      </c>
      <c r="AQ74" s="126">
        <f>VLOOKUP(AE74,db_fifarank,2,FALSE)</f>
        <v>1825.97</v>
      </c>
      <c r="AR74" s="125">
        <f>AP74/AP78</f>
        <v>9.1215221870660421E-4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0</v>
      </c>
      <c r="L75" s="31">
        <f>VLOOKUP(1,AD74:AN77,3,FALSE)</f>
        <v>0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0 - 0</v>
      </c>
      <c r="P75" s="32">
        <f>L75*3+M75</f>
        <v>0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0</v>
      </c>
      <c r="AI75" s="123">
        <f>SUMIF($E$7:$E$78,$AE75,$F$7:$F$78) + SUMIF($H$7:$H$78,$AE75,$G$7:$G$78)</f>
        <v>0</v>
      </c>
      <c r="AJ75" s="123">
        <f>SUMIF($E$7:$E$78,$AE75,$G$7:$G$78) + SUMIF($H$7:$H$78,$AE75,$F$7:$F$78)</f>
        <v>0</v>
      </c>
      <c r="AL75" s="123">
        <f>AI75-AJ75</f>
        <v>0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8.5853500000000001E-4</v>
      </c>
      <c r="AQ75" s="126">
        <f>VLOOKUP(AE75,db_fifarank,2,FALSE)</f>
        <v>1717.07</v>
      </c>
      <c r="AR75" s="125">
        <f>AP75/AP78</f>
        <v>8.5775188539491268E-4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0</v>
      </c>
      <c r="L76" s="23">
        <f>VLOOKUP(2,AD74:AN77,3,FALSE)</f>
        <v>0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0 - 0</v>
      </c>
      <c r="P76" s="34">
        <f>L76*3+M76</f>
        <v>0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4</v>
      </c>
      <c r="AE76" s="124" t="str">
        <f>VLOOKUP("Ghana",T,lang,FALSE)</f>
        <v>Ghana</v>
      </c>
      <c r="AF76" s="123">
        <f>COUNTIF($S$7:$T$78,"=" &amp; AE76 &amp; "_win")</f>
        <v>0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0</v>
      </c>
      <c r="AJ76" s="123">
        <f>SUMIF($E$7:$E$78,$AE76,$G$7:$G$78) + SUMIF($H$7:$H$78,$AE76,$F$7:$F$78)</f>
        <v>0</v>
      </c>
      <c r="AL76" s="123">
        <f>AI76-AJ76</f>
        <v>0</v>
      </c>
      <c r="AM76" s="123">
        <f>AL76-AL78</f>
        <v>0</v>
      </c>
      <c r="AN76" s="123">
        <f>AF76*3+AG76</f>
        <v>0</v>
      </c>
      <c r="AO76" s="123">
        <f>AN76/AN78*10+BA76</f>
        <v>0</v>
      </c>
      <c r="AP76" s="123">
        <f>AO76*10000000+BI76*100+AM76/AM78*10+AI76/AI78*1++IF(AQ76=0,ROW(),AQ76)/2000000</f>
        <v>6.7315499999999993E-4</v>
      </c>
      <c r="AQ76" s="126">
        <f>VLOOKUP(AE76,db_fifarank,2,FALSE)</f>
        <v>1346.31</v>
      </c>
      <c r="AR76" s="125">
        <f>AP76/AP78</f>
        <v>6.7254098017321647E-4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0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0</v>
      </c>
      <c r="O77" s="23" t="str">
        <f>VLOOKUP(3,AD74:AN77,6,FALSE) &amp; " - " &amp; VLOOKUP(3,AD74:AN77,7,FALSE)</f>
        <v>0 - 0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0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0</v>
      </c>
      <c r="AL77" s="123">
        <f>AI77-AJ77</f>
        <v>0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7.6961735090288596E-4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Ghana</v>
      </c>
      <c r="K78" s="36">
        <f>L78+M78+N78</f>
        <v>0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0</v>
      </c>
      <c r="O78" s="36" t="str">
        <f>VLOOKUP(4,AD74:AN77,6,FALSE) &amp; " - " &amp; VLOOKUP(4,AD74:AN77,7,FALSE)</f>
        <v>0 - 0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1</v>
      </c>
      <c r="AG78" s="123">
        <f t="shared" si="36"/>
        <v>1</v>
      </c>
      <c r="AH78" s="123">
        <f t="shared" si="36"/>
        <v>1</v>
      </c>
      <c r="AI78" s="123">
        <f>MAX(AI74:AI77)+1</f>
        <v>1</v>
      </c>
      <c r="AL78" s="123">
        <f>MIN(AL74:AL77)</f>
        <v>0</v>
      </c>
      <c r="AM78" s="123">
        <f>MAX(AM74:AM77)+1</f>
        <v>1</v>
      </c>
      <c r="AN78" s="123">
        <f>MAX(AN74:AN77)+1</f>
        <v>1</v>
      </c>
      <c r="AO78" s="123">
        <f>MAX(AO74:AO77)+1</f>
        <v>1</v>
      </c>
      <c r="AP78" s="123">
        <f>MAX(AP74:AP77)+1</f>
        <v>1.000912985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11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0</v>
      </c>
      <c r="AH80" s="123">
        <f>VLOOKUP($AE80,$AE$8:$AQ$78,4,FALSE)</f>
        <v>1</v>
      </c>
      <c r="AI80" s="123">
        <f>VLOOKUP($AE80,$AE$8:$AQ$78,5,FALSE)</f>
        <v>1</v>
      </c>
      <c r="AJ80" s="123">
        <f>VLOOKUP($AE80,$AE$8:$AQ$78,6,FALSE)</f>
        <v>2</v>
      </c>
      <c r="AK80" s="123" t="s">
        <v>3180</v>
      </c>
      <c r="AL80" s="123">
        <f>VLOOKUP($AE80,$AE$8:$AQ$78,8,FALSE)</f>
        <v>-1</v>
      </c>
      <c r="AM80" s="123">
        <f>AL80-$AL$92</f>
        <v>1</v>
      </c>
      <c r="AN80" s="123">
        <f>VLOOKUP($AE80,$AE$8:$AQ$78,10,FALSE)</f>
        <v>0</v>
      </c>
      <c r="AP80" s="123">
        <f>AN80/AN92*10000+AM80/AM92*1000+AI80/AI92*100+IF(AQ80=0,ROW(),AQ80)/2000000</f>
        <v>383.33408402333333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Ⓒ Morocco</v>
      </c>
      <c r="K81" s="97">
        <f>L81+M81+N81</f>
        <v>1</v>
      </c>
      <c r="L81" s="97">
        <f>VLOOKUP(1,$AD$80:$AN$91,3,FALSE)</f>
        <v>0</v>
      </c>
      <c r="M81" s="97">
        <f>VLOOKUP(1,$AD$80:$AN$91,4,FALSE)</f>
        <v>1</v>
      </c>
      <c r="N81" s="97">
        <f>VLOOKUP(1,$AD$80:$AN$91,5,FALSE)</f>
        <v>0</v>
      </c>
      <c r="O81" s="97" t="str">
        <f>VLOOKUP(1,$AD$80:$AN$91,6,FALSE) &amp; " - " &amp; VLOOKUP(1,$AD$80:$AN$91,7,FALSE)</f>
        <v>1 - 1</v>
      </c>
      <c r="P81" s="98">
        <f>L81*3+M81</f>
        <v>1</v>
      </c>
      <c r="AD81" s="123">
        <f t="shared" ref="AD81:AD91" si="38">COUNTIF($AP$80:$AP$91,CONCATENATE("&gt;=",AP81))</f>
        <v>2</v>
      </c>
      <c r="AE81" s="124" t="str">
        <f>J17</f>
        <v>Qatar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0</v>
      </c>
      <c r="AI81" s="123">
        <f t="shared" ref="AI81:AI90" si="41">VLOOKUP($AE81,$AE$8:$AQ$78,5,FALSE)</f>
        <v>1</v>
      </c>
      <c r="AJ81" s="123">
        <f t="shared" ref="AJ81:AJ90" si="42">VLOOKUP($AE81,$AE$8:$AQ$78,6,FALSE)</f>
        <v>1</v>
      </c>
      <c r="AK81" s="123" t="s">
        <v>3181</v>
      </c>
      <c r="AL81" s="123">
        <f t="shared" ref="AL81:AL90" si="43">VLOOKUP($AE81,$AE$8:$AQ$78,8,FALSE)</f>
        <v>0</v>
      </c>
      <c r="AM81" s="123">
        <f t="shared" ref="AM81:AM91" si="44">AL81-$AL$92</f>
        <v>2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5716.667394146667</v>
      </c>
      <c r="AQ81" s="126">
        <f t="shared" si="37"/>
        <v>1454.96</v>
      </c>
      <c r="AR81" s="125" t="str">
        <f>AR80&amp;IF(AD81&lt;=8,RIGHT(AK81,1),"")</f>
        <v>B</v>
      </c>
      <c r="AS81" s="129" t="str">
        <f t="shared" ref="AS81:AS91" si="46">IF(AD81&lt;=8,AE81,"")</f>
        <v>Qatar</v>
      </c>
      <c r="AT81" s="130" t="str">
        <f>"Ⓑ "&amp;AE81</f>
        <v>Ⓑ Qatar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Ⓑ Qatar</v>
      </c>
      <c r="K82" s="100">
        <f t="shared" ref="K82:K92" si="47">L82+M82+N82</f>
        <v>1</v>
      </c>
      <c r="L82" s="100">
        <f>VLOOKUP(2,$AD$80:$AN$91,3,FALSE)</f>
        <v>0</v>
      </c>
      <c r="M82" s="100">
        <f>VLOOKUP(2,$AD$80:$AN$91,4,FALSE)</f>
        <v>1</v>
      </c>
      <c r="N82" s="100">
        <f>VLOOKUP(2,$AD$80:$AN$91,5,FALSE)</f>
        <v>0</v>
      </c>
      <c r="O82" s="100" t="str">
        <f>VLOOKUP(2,$AD$80:$AN$91,6,FALSE) &amp; " - " &amp; VLOOKUP(2,$AD$80:$AN$91,7,FALSE)</f>
        <v>1 - 1</v>
      </c>
      <c r="P82" s="101">
        <f t="shared" ref="P82:P92" si="48">L82*3+M82</f>
        <v>1</v>
      </c>
      <c r="AD82" s="123">
        <f t="shared" si="38"/>
        <v>1</v>
      </c>
      <c r="AE82" s="124" t="str">
        <f>J23</f>
        <v>Morocco</v>
      </c>
      <c r="AF82" s="123">
        <f t="shared" si="39"/>
        <v>0</v>
      </c>
      <c r="AG82" s="123">
        <f t="shared" ref="AG82:AG91" si="49">VLOOKUP($AE82,$AE$8:$AQ$78,3,FALSE)</f>
        <v>1</v>
      </c>
      <c r="AH82" s="123">
        <f t="shared" si="40"/>
        <v>0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2</v>
      </c>
      <c r="AN82" s="123">
        <f t="shared" si="45"/>
        <v>1</v>
      </c>
      <c r="AP82" s="123">
        <f>AN82/AN92*10000+AM82/AM92*1000+AI82/AI92*100+IF(AQ82=0,ROW(),AQ82)/2000000</f>
        <v>5716.667544601667</v>
      </c>
      <c r="AQ82" s="126">
        <f t="shared" si="37"/>
        <v>1755.87</v>
      </c>
      <c r="AR82" s="125" t="str">
        <f t="shared" ref="AR82:AR91" si="50">AR81&amp;IF(AD82&lt;=8,RIGHT(AK82,1),"")</f>
        <v>BC</v>
      </c>
      <c r="AS82" s="129" t="str">
        <f t="shared" si="46"/>
        <v>Morocco</v>
      </c>
      <c r="AT82" s="130" t="str">
        <f>"Ⓒ "&amp;AE82</f>
        <v>Ⓒ Morocco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Ⓙ Algeria</v>
      </c>
      <c r="K83" s="100">
        <f t="shared" si="47"/>
        <v>0</v>
      </c>
      <c r="L83" s="100">
        <f>VLOOKUP(3,$AD$80:$AN$91,3,FALSE)</f>
        <v>0</v>
      </c>
      <c r="M83" s="100">
        <f>VLOOKUP(3,$AD$80:$AN$91,4,FALSE)</f>
        <v>0</v>
      </c>
      <c r="N83" s="100">
        <f>VLOOKUP(3,$AD$80:$AN$91,5,FALSE)</f>
        <v>0</v>
      </c>
      <c r="O83" s="100" t="str">
        <f>VLOOKUP(3,$AD$80:$AN$91,6,FALSE) &amp; " - " &amp; VLOOKUP(3,$AD$80:$AN$91,7,FALSE)</f>
        <v>0 - 0</v>
      </c>
      <c r="P83" s="101">
        <f t="shared" si="48"/>
        <v>0</v>
      </c>
      <c r="AD83" s="123">
        <f t="shared" si="38"/>
        <v>12</v>
      </c>
      <c r="AE83" s="124" t="str">
        <f>J29</f>
        <v>Turkey</v>
      </c>
      <c r="AF83" s="123">
        <f t="shared" si="39"/>
        <v>0</v>
      </c>
      <c r="AG83" s="123">
        <f t="shared" si="49"/>
        <v>0</v>
      </c>
      <c r="AH83" s="123">
        <f t="shared" si="40"/>
        <v>1</v>
      </c>
      <c r="AI83" s="123">
        <f t="shared" si="41"/>
        <v>0</v>
      </c>
      <c r="AJ83" s="123">
        <f t="shared" si="42"/>
        <v>2</v>
      </c>
      <c r="AK83" s="123" t="s">
        <v>3184</v>
      </c>
      <c r="AL83" s="123">
        <f t="shared" si="43"/>
        <v>-2</v>
      </c>
      <c r="AM83" s="123">
        <f t="shared" si="44"/>
        <v>0</v>
      </c>
      <c r="AN83" s="123">
        <f t="shared" si="45"/>
        <v>0</v>
      </c>
      <c r="AP83" s="123">
        <f>AN83/AN92*10000+AM83/AM92*1000+AI83/AI92*100+IF(AQ83=0,ROW(),AQ83)/2000000</f>
        <v>7.9951999999999996E-4</v>
      </c>
      <c r="AQ83" s="126">
        <f t="shared" si="37"/>
        <v>1599.04</v>
      </c>
      <c r="AR83" s="125" t="str">
        <f t="shared" si="50"/>
        <v>BC</v>
      </c>
      <c r="AS83" s="129" t="str">
        <f t="shared" si="46"/>
        <v/>
      </c>
      <c r="AT83" s="130" t="str">
        <f>"Ⓓ "&amp;AE83</f>
        <v>Ⓓ Turkey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Ⓖ Egypt</v>
      </c>
      <c r="K84" s="100">
        <f t="shared" si="47"/>
        <v>0</v>
      </c>
      <c r="L84" s="100">
        <f>VLOOKUP(4,$AD$80:$AN$91,3,FALSE)</f>
        <v>0</v>
      </c>
      <c r="M84" s="100">
        <f>VLOOKUP(4,$AD$80:$AN$91,4,FALSE)</f>
        <v>0</v>
      </c>
      <c r="N84" s="100">
        <f>VLOOKUP(4,$AD$80:$AN$91,5,FALSE)</f>
        <v>0</v>
      </c>
      <c r="O84" s="100" t="str">
        <f>VLOOKUP(4,$AD$80:$AN$91,6,FALSE) &amp; " - " &amp; VLOOKUP(4,$AD$80:$AN$91,7,FALSE)</f>
        <v>0 - 0</v>
      </c>
      <c r="P84" s="101">
        <f t="shared" si="48"/>
        <v>0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7</v>
      </c>
      <c r="AE84" s="124" t="str">
        <f>J35</f>
        <v>Ivory Coast</v>
      </c>
      <c r="AF84" s="123">
        <f t="shared" si="39"/>
        <v>0</v>
      </c>
      <c r="AG84" s="123">
        <f t="shared" si="49"/>
        <v>0</v>
      </c>
      <c r="AH84" s="123">
        <f t="shared" si="40"/>
        <v>0</v>
      </c>
      <c r="AI84" s="123">
        <f t="shared" si="41"/>
        <v>0</v>
      </c>
      <c r="AJ84" s="123">
        <f t="shared" si="42"/>
        <v>0</v>
      </c>
      <c r="AK84" s="123" t="s">
        <v>3185</v>
      </c>
      <c r="AL84" s="123">
        <f t="shared" si="43"/>
        <v>0</v>
      </c>
      <c r="AM84" s="123">
        <f t="shared" si="44"/>
        <v>2</v>
      </c>
      <c r="AN84" s="123">
        <f t="shared" si="45"/>
        <v>0</v>
      </c>
      <c r="AP84" s="123">
        <f>AN84/AN92*10000+AM84/AM92*1000+AI84/AI92*100+IF(AQ84=0,ROW(),AQ84)/2000000</f>
        <v>666.66743315666668</v>
      </c>
      <c r="AQ84" s="126">
        <f t="shared" si="37"/>
        <v>1532.98</v>
      </c>
      <c r="AR84" s="125" t="str">
        <f t="shared" si="50"/>
        <v>BCE</v>
      </c>
      <c r="AS84" s="129" t="str">
        <f t="shared" si="46"/>
        <v>Ivory Coast</v>
      </c>
      <c r="AT84" s="130" t="str">
        <f>"Ⓔ "&amp;AE84</f>
        <v>Ⓔ Ivory Coast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Ⓘ Norway</v>
      </c>
      <c r="K85" s="100">
        <f t="shared" si="47"/>
        <v>0</v>
      </c>
      <c r="L85" s="100">
        <f>VLOOKUP(5,$AD$80:$AN$91,3,FALSE)</f>
        <v>0</v>
      </c>
      <c r="M85" s="100">
        <f>VLOOKUP(5,$AD$80:$AN$91,4,FALSE)</f>
        <v>0</v>
      </c>
      <c r="N85" s="100">
        <f>VLOOKUP(5,$AD$80:$AN$91,5,FALSE)</f>
        <v>0</v>
      </c>
      <c r="O85" s="100" t="str">
        <f>VLOOKUP(5,$AD$80:$AN$91,6,FALSE) &amp; " - " &amp; VLOOKUP(5,$AD$80:$AN$91,7,FALSE)</f>
        <v>0 - 0</v>
      </c>
      <c r="P85" s="101">
        <f t="shared" si="48"/>
        <v>0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8</v>
      </c>
      <c r="AE85" s="124" t="str">
        <f>J41</f>
        <v>Sweden</v>
      </c>
      <c r="AF85" s="123">
        <f t="shared" si="39"/>
        <v>0</v>
      </c>
      <c r="AG85" s="123">
        <f t="shared" si="49"/>
        <v>0</v>
      </c>
      <c r="AH85" s="123">
        <f t="shared" si="40"/>
        <v>0</v>
      </c>
      <c r="AI85" s="123">
        <f t="shared" si="41"/>
        <v>0</v>
      </c>
      <c r="AJ85" s="123">
        <f t="shared" si="42"/>
        <v>0</v>
      </c>
      <c r="AK85" s="123" t="s">
        <v>3186</v>
      </c>
      <c r="AL85" s="123">
        <f t="shared" si="43"/>
        <v>0</v>
      </c>
      <c r="AM85" s="123">
        <f t="shared" si="44"/>
        <v>2</v>
      </c>
      <c r="AN85" s="123">
        <f t="shared" si="45"/>
        <v>0</v>
      </c>
      <c r="AP85" s="123">
        <f>AN85/AN92*10000+AM85/AM92*1000+AI85/AI92*100+IF(AQ85=0,ROW(),AQ85)/2000000</f>
        <v>666.66742405166667</v>
      </c>
      <c r="AQ85" s="126">
        <f t="shared" si="37"/>
        <v>1514.77</v>
      </c>
      <c r="AR85" s="125" t="str">
        <f t="shared" si="50"/>
        <v>BCEF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Ⓛ Panama</v>
      </c>
      <c r="K86" s="100">
        <f t="shared" si="47"/>
        <v>0</v>
      </c>
      <c r="L86" s="100">
        <f>VLOOKUP(6,$AD$80:$AN$91,3,FALSE)</f>
        <v>0</v>
      </c>
      <c r="M86" s="100">
        <f>VLOOKUP(6,$AD$80:$AN$91,4,FALSE)</f>
        <v>0</v>
      </c>
      <c r="N86" s="100">
        <f>VLOOKUP(6,$AD$80:$AN$91,5,FALSE)</f>
        <v>0</v>
      </c>
      <c r="O86" s="100" t="str">
        <f>VLOOKUP(6,$AD$80:$AN$91,6,FALSE) &amp; " - " &amp; VLOOKUP(6,$AD$80:$AN$91,7,FALSE)</f>
        <v>0 - 0</v>
      </c>
      <c r="P86" s="101">
        <f t="shared" si="48"/>
        <v>0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4</v>
      </c>
      <c r="AE86" s="124" t="str">
        <f>J47</f>
        <v>Egypt</v>
      </c>
      <c r="AF86" s="123">
        <f t="shared" si="39"/>
        <v>0</v>
      </c>
      <c r="AG86" s="123">
        <f t="shared" si="49"/>
        <v>0</v>
      </c>
      <c r="AH86" s="123">
        <f t="shared" si="40"/>
        <v>0</v>
      </c>
      <c r="AI86" s="123">
        <f t="shared" si="41"/>
        <v>0</v>
      </c>
      <c r="AJ86" s="123">
        <f t="shared" si="42"/>
        <v>0</v>
      </c>
      <c r="AK86" s="123" t="s">
        <v>3187</v>
      </c>
      <c r="AL86" s="123">
        <f t="shared" si="43"/>
        <v>0</v>
      </c>
      <c r="AM86" s="123">
        <f t="shared" si="44"/>
        <v>2</v>
      </c>
      <c r="AN86" s="123">
        <f t="shared" si="45"/>
        <v>0</v>
      </c>
      <c r="AP86" s="123">
        <f>AN86/AN92*10000+AM86/AM92*1000+AI86/AI92*100+IF(AQ86=0,ROW(),AQ86)/2000000</f>
        <v>666.66744828666663</v>
      </c>
      <c r="AQ86" s="126">
        <f t="shared" si="37"/>
        <v>1563.24</v>
      </c>
      <c r="AR86" s="125" t="str">
        <f t="shared" si="50"/>
        <v>BCEFG</v>
      </c>
      <c r="AS86" s="129" t="str">
        <f t="shared" si="46"/>
        <v>Egypt</v>
      </c>
      <c r="AT86" s="130" t="str">
        <f>"Ⓖ "&amp;AE86</f>
        <v>Ⓖ Egypt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Ⓔ Ivory Coast</v>
      </c>
      <c r="K87" s="100">
        <f t="shared" si="47"/>
        <v>0</v>
      </c>
      <c r="L87" s="100">
        <f>VLOOKUP(7,$AD$80:$AN$91,3,FALSE)</f>
        <v>0</v>
      </c>
      <c r="M87" s="100">
        <f>VLOOKUP(7,$AD$80:$AN$91,4,FALSE)</f>
        <v>0</v>
      </c>
      <c r="N87" s="100">
        <f>VLOOKUP(7,$AD$80:$AN$91,5,FALSE)</f>
        <v>0</v>
      </c>
      <c r="O87" s="100" t="str">
        <f>VLOOKUP(7,$AD$80:$AN$91,6,FALSE) &amp; " - " &amp; VLOOKUP(7,$AD$80:$AN$91,7,FALSE)</f>
        <v>0 - 0</v>
      </c>
      <c r="P87" s="101">
        <f t="shared" si="48"/>
        <v>0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10</v>
      </c>
      <c r="AE87" s="124" t="str">
        <f>J53</f>
        <v>Saudi Arabia</v>
      </c>
      <c r="AF87" s="123">
        <f t="shared" si="39"/>
        <v>0</v>
      </c>
      <c r="AG87" s="123">
        <f t="shared" si="49"/>
        <v>0</v>
      </c>
      <c r="AH87" s="123">
        <f t="shared" si="40"/>
        <v>0</v>
      </c>
      <c r="AI87" s="123">
        <f t="shared" si="41"/>
        <v>0</v>
      </c>
      <c r="AJ87" s="123">
        <f t="shared" si="42"/>
        <v>0</v>
      </c>
      <c r="AK87" s="123" t="s">
        <v>3188</v>
      </c>
      <c r="AL87" s="123">
        <f t="shared" si="43"/>
        <v>0</v>
      </c>
      <c r="AM87" s="123">
        <f t="shared" si="44"/>
        <v>2</v>
      </c>
      <c r="AN87" s="123">
        <f t="shared" si="45"/>
        <v>0</v>
      </c>
      <c r="AP87" s="123">
        <f>AN87/AN92*10000+AM87/AM92*1000+AI87/AI92*100+IF(AQ87=0,ROW(),AQ87)/2000000</f>
        <v>666.6673773816666</v>
      </c>
      <c r="AQ87" s="126">
        <f t="shared" si="37"/>
        <v>1421.43</v>
      </c>
      <c r="AR87" s="125" t="str">
        <f t="shared" si="50"/>
        <v>BCEFG</v>
      </c>
      <c r="AS87" s="129" t="str">
        <f t="shared" si="46"/>
        <v/>
      </c>
      <c r="AT87" s="130" t="str">
        <f>"Ⓗ "&amp;AE87</f>
        <v>Ⓗ Saudi Arabia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Ⓕ Sweden</v>
      </c>
      <c r="K88" s="100">
        <f t="shared" si="47"/>
        <v>0</v>
      </c>
      <c r="L88" s="100">
        <f>VLOOKUP(8,$AD$80:$AN$91,3,FALSE)</f>
        <v>0</v>
      </c>
      <c r="M88" s="100">
        <f>VLOOKUP(8,$AD$80:$AN$91,4,FALSE)</f>
        <v>0</v>
      </c>
      <c r="N88" s="100">
        <f>VLOOKUP(8,$AD$80:$AN$91,5,FALSE)</f>
        <v>0</v>
      </c>
      <c r="O88" s="100" t="str">
        <f>VLOOKUP(8,$AD$80:$AN$91,6,FALSE) &amp; " - " &amp; VLOOKUP(8,$AD$80:$AN$91,7,FALSE)</f>
        <v>0 - 0</v>
      </c>
      <c r="P88" s="101">
        <f t="shared" si="48"/>
        <v>0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5</v>
      </c>
      <c r="AE88" s="124" t="str">
        <f>J59</f>
        <v>Norway</v>
      </c>
      <c r="AF88" s="123">
        <f t="shared" si="39"/>
        <v>0</v>
      </c>
      <c r="AG88" s="123">
        <f t="shared" si="49"/>
        <v>0</v>
      </c>
      <c r="AH88" s="123">
        <f t="shared" si="40"/>
        <v>0</v>
      </c>
      <c r="AI88" s="123">
        <f t="shared" si="41"/>
        <v>0</v>
      </c>
      <c r="AJ88" s="123">
        <f t="shared" si="42"/>
        <v>0</v>
      </c>
      <c r="AK88" s="123" t="s">
        <v>3189</v>
      </c>
      <c r="AL88" s="123">
        <f t="shared" si="43"/>
        <v>0</v>
      </c>
      <c r="AM88" s="123">
        <f t="shared" si="44"/>
        <v>2</v>
      </c>
      <c r="AN88" s="123">
        <f t="shared" si="45"/>
        <v>0</v>
      </c>
      <c r="AP88" s="123">
        <f>AN88/AN92*10000+AM88/AM92*1000+AI88/AI92*100+IF(AQ88=0,ROW(),AQ88)/2000000</f>
        <v>666.66744213666664</v>
      </c>
      <c r="AQ88" s="126">
        <f t="shared" si="37"/>
        <v>1550.94</v>
      </c>
      <c r="AR88" s="125" t="str">
        <f t="shared" si="50"/>
        <v>BCEFGI</v>
      </c>
      <c r="AS88" s="129" t="str">
        <f t="shared" si="46"/>
        <v>Norway</v>
      </c>
      <c r="AT88" s="130" t="str">
        <f>"Ⓘ "&amp;AE88</f>
        <v>Ⓘ Norway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Ⓚ DR Congo</v>
      </c>
      <c r="K89" s="103">
        <f t="shared" si="47"/>
        <v>0</v>
      </c>
      <c r="L89" s="103">
        <f>VLOOKUP(9,$AD$80:$AN$91,3,FALSE)</f>
        <v>0</v>
      </c>
      <c r="M89" s="103">
        <f>VLOOKUP(9,$AD$80:$AN$91,4,FALSE)</f>
        <v>0</v>
      </c>
      <c r="N89" s="103">
        <f>VLOOKUP(9,$AD$80:$AN$91,5,FALSE)</f>
        <v>0</v>
      </c>
      <c r="O89" s="103" t="str">
        <f>VLOOKUP(9,$AD$80:$AN$91,6,FALSE) &amp; " - " &amp; VLOOKUP(9,$AD$80:$AN$91,7,FALSE)</f>
        <v>0 - 0</v>
      </c>
      <c r="P89" s="104">
        <f t="shared" si="48"/>
        <v>0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0</v>
      </c>
      <c r="AG89" s="123">
        <f t="shared" si="49"/>
        <v>0</v>
      </c>
      <c r="AH89" s="123">
        <f t="shared" si="40"/>
        <v>0</v>
      </c>
      <c r="AI89" s="123">
        <f t="shared" si="41"/>
        <v>0</v>
      </c>
      <c r="AJ89" s="123">
        <f t="shared" si="42"/>
        <v>0</v>
      </c>
      <c r="AK89" s="123" t="s">
        <v>3190</v>
      </c>
      <c r="AL89" s="123">
        <f t="shared" si="43"/>
        <v>0</v>
      </c>
      <c r="AM89" s="123">
        <f t="shared" si="44"/>
        <v>2</v>
      </c>
      <c r="AN89" s="123">
        <f t="shared" si="45"/>
        <v>0</v>
      </c>
      <c r="AP89" s="123">
        <f>AN89/AN92*10000+AM89/AM92*1000+AI89/AI92*100+IF(AQ89=0,ROW(),AQ89)/2000000</f>
        <v>666.66744879666658</v>
      </c>
      <c r="AQ89" s="126">
        <f t="shared" si="37"/>
        <v>1564.26</v>
      </c>
      <c r="AR89" s="125" t="str">
        <f t="shared" si="50"/>
        <v>BCEFGIJ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Ⓗ Saudi Arabia</v>
      </c>
      <c r="K90" s="103">
        <f t="shared" si="47"/>
        <v>0</v>
      </c>
      <c r="L90" s="103">
        <f>VLOOKUP(10,$AD$80:$AN$91,3,FALSE)</f>
        <v>0</v>
      </c>
      <c r="M90" s="103">
        <f>VLOOKUP(10,$AD$80:$AN$91,4,FALSE)</f>
        <v>0</v>
      </c>
      <c r="N90" s="103">
        <f>VLOOKUP(10,$AD$80:$AN$91,5,FALSE)</f>
        <v>0</v>
      </c>
      <c r="O90" s="103" t="str">
        <f>VLOOKUP(10,$AD$80:$AN$91,6,FALSE) &amp; " - " &amp; VLOOKUP(10,$AD$80:$AN$91,7,FALSE)</f>
        <v>0 - 0</v>
      </c>
      <c r="P90" s="104">
        <f t="shared" si="48"/>
        <v>0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9</v>
      </c>
      <c r="AE90" s="124" t="str">
        <f>J71</f>
        <v>DR Congo</v>
      </c>
      <c r="AF90" s="123">
        <f t="shared" si="39"/>
        <v>0</v>
      </c>
      <c r="AG90" s="123">
        <f t="shared" si="49"/>
        <v>0</v>
      </c>
      <c r="AH90" s="123">
        <f t="shared" si="40"/>
        <v>0</v>
      </c>
      <c r="AI90" s="123">
        <f t="shared" si="41"/>
        <v>0</v>
      </c>
      <c r="AJ90" s="123">
        <f t="shared" si="42"/>
        <v>0</v>
      </c>
      <c r="AK90" s="123" t="s">
        <v>3191</v>
      </c>
      <c r="AL90" s="123">
        <f t="shared" si="43"/>
        <v>0</v>
      </c>
      <c r="AM90" s="123">
        <f t="shared" si="44"/>
        <v>2</v>
      </c>
      <c r="AN90" s="123">
        <f t="shared" si="45"/>
        <v>0</v>
      </c>
      <c r="AP90" s="123">
        <f>AN90/AN92*10000+AM90/AM92*1000+AI90/AI92*100+IF(AQ90=0,ROW(),AQ90)/2000000</f>
        <v>666.66740584166666</v>
      </c>
      <c r="AQ90" s="126">
        <f t="shared" si="37"/>
        <v>1478.35</v>
      </c>
      <c r="AR90" s="125" t="str">
        <f t="shared" si="50"/>
        <v>BCEFGIJ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Ⓐ Czech Republic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1 - 2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6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0</v>
      </c>
      <c r="AI91" s="123">
        <f>VLOOKUP($AE91,$AE$8:$AQ$78,5,FALSE)</f>
        <v>0</v>
      </c>
      <c r="AJ91" s="123">
        <f>VLOOKUP($AE91,$AE$8:$AQ$78,6,FALSE)</f>
        <v>0</v>
      </c>
      <c r="AK91" s="123" t="s">
        <v>3192</v>
      </c>
      <c r="AL91" s="123">
        <f>VLOOKUP($AE91,$AE$8:$AQ$78,8,FALSE)</f>
        <v>0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666.66743698666664</v>
      </c>
      <c r="AQ91" s="126">
        <f t="shared" si="37"/>
        <v>1540.64</v>
      </c>
      <c r="AR91" s="125" t="str">
        <f t="shared" si="50"/>
        <v>BCEFGIJL</v>
      </c>
      <c r="AS91" s="129" t="str">
        <f t="shared" si="46"/>
        <v>Panama</v>
      </c>
      <c r="AT91" s="130" t="str">
        <f>"Ⓛ "&amp;AE91</f>
        <v>Ⓛ Panama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Ⓓ Turkey</v>
      </c>
      <c r="K92" s="106">
        <f t="shared" si="47"/>
        <v>1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1</v>
      </c>
      <c r="O92" s="106" t="str">
        <f>VLOOKUP(12,$AD$80:$AN$91,6,FALSE) &amp; " - " &amp; VLOOKUP(12,$AD$80:$AN$91,7,FALSE)</f>
        <v>0 - 2</v>
      </c>
      <c r="P92" s="107">
        <f t="shared" si="48"/>
        <v>0</v>
      </c>
      <c r="AF92" s="123">
        <f>MAX(AF80:AF91)+1</f>
        <v>1</v>
      </c>
      <c r="AG92" s="123">
        <f>MAX(AG80:AG91)+1</f>
        <v>2</v>
      </c>
      <c r="AH92" s="123">
        <f>MAX(AH80:AH91)+1</f>
        <v>2</v>
      </c>
      <c r="AI92" s="123">
        <f>MAX(AI80:AI91)+1</f>
        <v>2</v>
      </c>
      <c r="AJ92" s="123">
        <f>MAX(AJ80:AJ91)+1</f>
        <v>3</v>
      </c>
      <c r="AL92" s="123">
        <f>MIN(AL80:AL91)</f>
        <v>-2</v>
      </c>
      <c r="AM92" s="123">
        <f>MAX(AM80:AM91)+1</f>
        <v>3</v>
      </c>
      <c r="AN92" s="123">
        <f>MAX(AN80:AN91)+1</f>
        <v>2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102</v>
      </c>
      <c r="C3" s="121" t="str">
        <f>'2026 World Cup'!AR91</f>
        <v>BCEFGIJL</v>
      </c>
      <c r="D3" s="121" t="str">
        <f>VLOOKUP($C3,$C$6:$K$500,2,FALSE)</f>
        <v>3E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3C</v>
      </c>
      <c r="H3" s="121" t="str">
        <f>VLOOKUP($C3,$C$6:$K$500,6,FALSE)</f>
        <v>3J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3I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2026-06-14T09:59:33Z</dcterms:modified>
  <cp:category>Sports</cp:category>
  <cp:contentStatus/>
</cp:coreProperties>
</file>
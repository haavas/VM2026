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D96CB73-D0D8-4EB8-BA59-1F902786D4D9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<sst xmlns="http://schemas.openxmlformats.org/spreadsheetml/2006/main" count="9786" uniqueCount="3698">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</sst>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15" zoomScaleNormal="100" workbookViewId="0">
      <selection activeCell="G40" sqref="G40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0.10064732500000001</v>
      </c>
      <c r="AQ33" s="126">
        <f>VLOOKUP(AE33,db_fifarank,2,FALSE)</f>
        <v>1294.6500000000001</v>
      </c>
      <c r="AR33" s="125">
        <f>AP33/AP36</f>
        <v>1.1742186384192819E-9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3.5722259614285714</v>
      </c>
      <c r="AQ35" s="126">
        <f>VLOOKUP(AE35,db_fifarank,2,FALSE)</f>
        <v>1594.78</v>
      </c>
      <c r="AR35" s="125">
        <f>AP35/AP36</f>
        <v>4.1675964110866009E-8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1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8</v>
      </c>
      <c r="AN38" s="123">
        <f>AF38*3+AG38</f>
        <v>4</v>
      </c>
      <c r="AO38" s="123">
        <f>AN38/AN42*10+BA38</f>
        <v>8</v>
      </c>
      <c r="AP38" s="123">
        <f>AO38*10000000+BI38*100+AM38/AM42*10+AI38/AI42*1++IF(AQ38=0,ROW(),AQ38)/2000000</f>
        <v>80000009.764767826</v>
      </c>
      <c r="AQ38" s="126">
        <f>VLOOKUP(AE38,db_fifarank,2,FALSE)</f>
        <v>1757.87</v>
      </c>
      <c r="AR38" s="125">
        <f>AP38/AP42</f>
        <v>0.99999998750000163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2</v>
      </c>
      <c r="AP39" s="123">
        <f>AO39*10000000+BI39*100+AM39/AM42*10+AI39/AI42*1++IF(AQ39=0,ROW(),AQ39)/2000000</f>
        <v>20000004.695274659</v>
      </c>
      <c r="AQ39" s="126">
        <f>VLOOKUP(AE39,db_fifarank,2,FALSE)</f>
        <v>1660.43</v>
      </c>
      <c r="AR39" s="125">
        <f>AP39/AP42</f>
        <v>0.25000002505103042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Sweden</v>
      </c>
      <c r="K40" s="23">
        <f>L40+M40+N40</f>
        <v>2</v>
      </c>
      <c r="L40" s="23">
        <f>VLOOKUP(2,AD38:AN41,3,FALSE)</f>
        <v>1</v>
      </c>
      <c r="M40" s="23">
        <f>VLOOKUP(2,AD38:AN41,4,FALSE)</f>
        <v>0</v>
      </c>
      <c r="N40" s="23">
        <f>VLOOKUP(2,AD38:AN41,5,FALSE)</f>
        <v>1</v>
      </c>
      <c r="O40" s="23" t="str">
        <f>VLOOKUP(2,AD38:AN41,6,FALSE) &amp; " - " &amp; VLOOKUP(2,AD38:AN41,7,FALSE)</f>
        <v>6 - 6</v>
      </c>
      <c r="P40" s="34">
        <f>L40*3+M40</f>
        <v>3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2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4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60000005.195201829</v>
      </c>
      <c r="AQ40" s="126">
        <f>VLOOKUP(AE40,db_fifarank,2,FALSE)</f>
        <v>1514.77</v>
      </c>
      <c r="AR40" s="125">
        <f>AP40/AP42</f>
        <v>0.74999996402032931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1.5717688510034155E-9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8</v>
      </c>
      <c r="AL42" s="123">
        <f>MIN(AL38:AL41)</f>
        <v>-4</v>
      </c>
      <c r="AM42" s="123">
        <f>MAX(AM38:AM41)+1</f>
        <v>9</v>
      </c>
      <c r="AN42" s="123">
        <f>MAX(AN38:AN41)+1</f>
        <v>5</v>
      </c>
      <c r="AO42" s="123">
        <f>MAX(AO38:AO41)+1</f>
        <v>9</v>
      </c>
      <c r="AP42" s="123">
        <f>MAX(AP38:AP41)+1</f>
        <v>80000010.764767826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7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3066.6674173566666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Ⓒ Scotland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1 - 1</v>
      </c>
      <c r="P81" s="98">
        <f>L81*3+M81</f>
        <v>3</v>
      </c>
      <c r="AD81" s="123">
        <f t="shared" ref="AD81:AD91" si="38">COUNTIF($AP$80:$AP$91,CONCATENATE("&gt;=",AP81))</f>
        <v>8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2566.6673595866664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Ⓓ Paraguay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2 - 4</v>
      </c>
      <c r="P82" s="101">
        <f t="shared" ref="P82:P92" si="48">L82*3+M82</f>
        <v>3</v>
      </c>
      <c r="AD82" s="123">
        <f t="shared" si="38"/>
        <v>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8283.3340825083342</v>
      </c>
      <c r="AQ82" s="126">
        <f t="shared" si="37"/>
        <v>1498.35</v>
      </c>
      <c r="AR82" s="125" t="str">
        <f t="shared" ref="AR82:AR91" si="50">AR81&amp;IF(AD82&lt;=8,RIGHT(AK82,1),"")</f>
        <v>ABC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Ⓕ Japan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2 - 2</v>
      </c>
      <c r="P83" s="101">
        <f t="shared" si="48"/>
        <v>1</v>
      </c>
      <c r="AD83" s="123">
        <f t="shared" si="38"/>
        <v>2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7816.6674184166668</v>
      </c>
      <c r="AQ83" s="126">
        <f t="shared" si="37"/>
        <v>1503.5</v>
      </c>
      <c r="AR83" s="125" t="str">
        <f t="shared" si="50"/>
        <v>ABCD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Belgium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500.00079739</v>
      </c>
      <c r="AQ84" s="126">
        <f t="shared" si="37"/>
        <v>1594.78</v>
      </c>
      <c r="AR84" s="125" t="str">
        <f t="shared" si="50"/>
        <v>ABCD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Ⓚ DR Congo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3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1</v>
      </c>
      <c r="AP85" s="123">
        <f>AN85/AN92*10000+AM85/AM92*1000+AI85/AI92*100+IF(AQ85=0,ROW(),AQ85)/2000000</f>
        <v>3316.6674968816665</v>
      </c>
      <c r="AQ85" s="126">
        <f t="shared" si="37"/>
        <v>1660.43</v>
      </c>
      <c r="AR85" s="125" t="str">
        <f t="shared" si="50"/>
        <v>ABCDF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Ⓗ Spain</v>
      </c>
      <c r="K86" s="100">
        <f t="shared" si="47"/>
        <v>1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1</v>
      </c>
      <c r="AP86" s="123">
        <f>AN86/AN92*10000+AM86/AM92*1000+AI86/AI92*100+IF(AQ86=0,ROW(),AQ86)/2000000</f>
        <v>3283.3342006883336</v>
      </c>
      <c r="AQ86" s="126">
        <f t="shared" si="37"/>
        <v>1734.71</v>
      </c>
      <c r="AR86" s="125" t="str">
        <f t="shared" si="50"/>
        <v>ABCDFG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Ⓐ Czech Republic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2 - 3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6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1</v>
      </c>
      <c r="AP87" s="123">
        <f>AN87/AN92*10000+AM87/AM92*1000+AI87/AI92*100+IF(AQ87=0,ROW(),AQ87)/2000000</f>
        <v>3250.0009381999998</v>
      </c>
      <c r="AQ87" s="126">
        <f t="shared" si="37"/>
        <v>1876.4</v>
      </c>
      <c r="AR87" s="125" t="str">
        <f t="shared" si="50"/>
        <v>ABCDFGH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Ⓑ Bosnia and Herzegovina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2 - 5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1</v>
      </c>
      <c r="AN88" s="123">
        <f t="shared" si="45"/>
        <v>0</v>
      </c>
      <c r="AP88" s="123">
        <f>AN88/AN92*10000+AM88/AM92*1000+AI88/AI92*100+IF(AQ88=0,ROW(),AQ88)/2000000</f>
        <v>283.33417782833334</v>
      </c>
      <c r="AQ88" s="126">
        <f t="shared" si="37"/>
        <v>1688.99</v>
      </c>
      <c r="AR88" s="125" t="str">
        <f t="shared" si="50"/>
        <v>ABCDFGH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0</v>
      </c>
      <c r="AP89" s="123">
        <f>AN89/AN92*10000+AM89/AM92*1000+AI89/AI92*100+IF(AQ89=0,ROW(),AQ89)/2000000</f>
        <v>283.33402905833333</v>
      </c>
      <c r="AQ89" s="126">
        <f t="shared" si="37"/>
        <v>1391.45</v>
      </c>
      <c r="AR89" s="125" t="str">
        <f t="shared" si="50"/>
        <v>ABCDFGH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5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3283.3340725083335</v>
      </c>
      <c r="AQ90" s="126">
        <f t="shared" si="37"/>
        <v>1478.35</v>
      </c>
      <c r="AR90" s="125" t="str">
        <f t="shared" si="50"/>
        <v>ABCDFGHK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ABCDFGHK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6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458</v>
      </c>
      <c r="C3" s="121" t="str">
        <f>'2026 World Cup'!AR91</f>
        <v>ABCDFGHK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2026-06-20T22:18:58Z</dcterms:modified>
  <cp:category>Sports</cp:category>
  <cp:contentStatus/>
</cp:coreProperties>
</file>
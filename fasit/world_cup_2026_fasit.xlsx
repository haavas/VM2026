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17D60778-0CC0-47C3-8C64-B9F512B57544}" xr6:coauthVersionLast="47" xr6:coauthVersionMax="47" xr10:uidLastSave="{00000000-0000-0000-0000-000000000000}"/>
  <bookViews>
    <workbookView xWindow="6120" yWindow="2910" windowWidth="28800" windowHeight="15345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S68" i="3"/>
  <c r="S23" i="3"/>
  <c r="S48" i="3"/>
  <c r="S43" i="3"/>
  <c r="S19" i="3"/>
  <c r="S20" i="3"/>
  <c r="S44" i="3"/>
  <c r="T44" i="3" s="1"/>
  <c r="S46" i="3"/>
  <c r="S21" i="3"/>
  <c r="S45" i="3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T49" i="3"/>
  <c r="S47" i="3"/>
  <c r="S67" i="3"/>
  <c r="T68" i="3"/>
  <c r="T48" i="3"/>
  <c r="T43" i="3"/>
  <c r="S72" i="3"/>
  <c r="T20" i="3"/>
  <c r="T46" i="3"/>
  <c r="S70" i="3"/>
  <c r="T45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T53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23" i="3" l="1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<sst xmlns="http://schemas.openxmlformats.org/spreadsheetml/2006/main" count="9786" uniqueCount="3698">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</sst>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39" zoomScaleNormal="100" workbookViewId="0">
      <selection activeCell="G45" sqref="G45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4</v>
      </c>
      <c r="AN51" s="123">
        <f>AF51*3+AG51</f>
        <v>1</v>
      </c>
      <c r="AO51" s="123">
        <f>AN51/AN54*10+BA51</f>
        <v>2</v>
      </c>
      <c r="AP51" s="123">
        <f>AO51*10000000+BI51*100+AM51/AM54*10+AI51/AI54*1++IF(AQ51=0,ROW(),AQ51)/2000000</f>
        <v>20000004.44512751</v>
      </c>
      <c r="AQ51" s="126">
        <f>VLOOKUP(AE51,db_fifarank,2,FALSE)</f>
        <v>1366.13</v>
      </c>
      <c r="AR51" s="125">
        <f>AP51/AP54</f>
        <v>0.25000002215838124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2.9805825242718447</v>
      </c>
      <c r="AP52" s="123">
        <f>AO52*10000000+BI52*100+AM52/AM54*10+AI52/AI54*1++IF(AQ52=0,ROW(),AQ52)/2000000</f>
        <v>29805923.501681589</v>
      </c>
      <c r="AQ52" s="126">
        <f>VLOOKUP(AE52,db_fifarank,2,FALSE)</f>
        <v>1421.43</v>
      </c>
      <c r="AR52" s="125">
        <f>AP52/AP54</f>
        <v>0.37257399398662516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2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1</v>
      </c>
      <c r="O53" s="23" t="str">
        <f>VLOOKUP(3,AD50:AN53,6,FALSE) &amp; " - " &amp; VLOOKUP(3,AD50:AN53,7,FALSE)</f>
        <v>1 - 5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4</v>
      </c>
      <c r="AN53" s="123">
        <f>AF53*3+AG53</f>
        <v>1</v>
      </c>
      <c r="AO53" s="123">
        <f>AN53/AN54*10+BA53</f>
        <v>2.9805825242718447</v>
      </c>
      <c r="AP53" s="123">
        <f>AO53*10000000+BI53*100+AM53/AM54*10+AI53/AI54*1++IF(AQ53=0,ROW(),AQ53)/2000000</f>
        <v>29805927.946251854</v>
      </c>
      <c r="AQ53" s="126">
        <f>VLOOKUP(AE53,db_fifarank,2,FALSE)</f>
        <v>1673.07</v>
      </c>
      <c r="AR53" s="125">
        <f>AP53/AP54</f>
        <v>0.37257404954374601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1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1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3 - 1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1</v>
      </c>
      <c r="AL64" s="123">
        <f>AI64-AJ64</f>
        <v>2</v>
      </c>
      <c r="AM64" s="123">
        <f>AL64-AL66</f>
        <v>5</v>
      </c>
      <c r="AN64" s="123">
        <f>AF64*3+AG64</f>
        <v>3</v>
      </c>
      <c r="AO64" s="123">
        <f>AN64/AN66*10+BA64</f>
        <v>7.5</v>
      </c>
      <c r="AP64" s="123">
        <f>AO64*10000000+BI64*100+AM64/AM66*10+AI64/AI66*1++IF(AQ64=0,ROW(),AQ64)/2000000</f>
        <v>75000007.89365387</v>
      </c>
      <c r="AQ64" s="126">
        <f>VLOOKUP(AE64,db_fifarank,2,FALSE)</f>
        <v>1593.45</v>
      </c>
      <c r="AR64" s="125">
        <f>AP64/AP66</f>
        <v>0.99999996761717624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1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1 - 3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1</v>
      </c>
      <c r="AI65" s="123">
        <f>SUMIF($E$7:$E$78,$AE65,$F$7:$F$78) + SUMIF($H$7:$H$78,$AE65,$G$7:$G$78)</f>
        <v>1</v>
      </c>
      <c r="AJ65" s="123">
        <f>SUMIF($E$7:$E$78,$AE65,$G$7:$G$78) + SUMIF($H$7:$H$78,$AE65,$F$7:$F$78)</f>
        <v>3</v>
      </c>
      <c r="AL65" s="123">
        <f>AI65-AJ65</f>
        <v>-2</v>
      </c>
      <c r="AM65" s="123">
        <f>AL65-AL66</f>
        <v>1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1.6792671535714283</v>
      </c>
      <c r="AQ65" s="126">
        <f>VLOOKUP(AE65,db_fifarank,2,FALSE)</f>
        <v>1391.45</v>
      </c>
      <c r="AR65" s="125">
        <f>AP65/AP66</f>
        <v>2.2390225632684331E-8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6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3</v>
      </c>
      <c r="AN80" s="123">
        <f>VLOOKUP($AE80,$AE$8:$AQ$78,10,FALSE)</f>
        <v>1</v>
      </c>
      <c r="AP80" s="123">
        <f>AN80/AN92*10000+AM80/AM92*1000+AI80/AI92*100+IF(AQ80=0,ROW(),AQ80)/2000000</f>
        <v>3128.5721792614286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8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1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2728.5721214914283</v>
      </c>
      <c r="AQ81" s="126">
        <f t="shared" si="37"/>
        <v>1385.84</v>
      </c>
      <c r="AR81" s="125" t="str">
        <f>AR80&amp;IF(AD81&lt;=8,RIGHT(AK81,1),"")</f>
        <v>AB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4</v>
      </c>
      <c r="AN82" s="123">
        <f t="shared" si="45"/>
        <v>3</v>
      </c>
      <c r="AP82" s="123">
        <f>AN82/AN92*10000+AM82/AM92*1000+AI82/AI92*100+IF(AQ82=0,ROW(),AQ82)/2000000</f>
        <v>8314.286463460714</v>
      </c>
      <c r="AQ82" s="126">
        <f t="shared" si="37"/>
        <v>1498.35</v>
      </c>
      <c r="AR82" s="125" t="str">
        <f t="shared" ref="AR82:AR91" si="50">AR81&amp;IF(AD82&lt;=8,RIGHT(AK82,1),"")</f>
        <v>ABC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Ⓓ Paraguay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3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2</v>
      </c>
      <c r="AN83" s="123">
        <f t="shared" si="45"/>
        <v>3</v>
      </c>
      <c r="AP83" s="123">
        <f>AN83/AN92*10000+AM83/AM92*1000+AI83/AI92*100+IF(AQ83=0,ROW(),AQ83)/2000000</f>
        <v>7928.5721803214283</v>
      </c>
      <c r="AQ83" s="126">
        <f t="shared" si="37"/>
        <v>1503.5</v>
      </c>
      <c r="AR83" s="125" t="str">
        <f t="shared" si="50"/>
        <v>ABCD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Ⓖ Belgium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3</v>
      </c>
      <c r="AN84" s="123">
        <f t="shared" si="45"/>
        <v>1</v>
      </c>
      <c r="AP84" s="123">
        <f>AN84/AN92*10000+AM84/AM92*1000+AI84/AI92*100+IF(AQ84=0,ROW(),AQ84)/2000000</f>
        <v>3100.0007973900001</v>
      </c>
      <c r="AQ84" s="126">
        <f t="shared" si="37"/>
        <v>1594.78</v>
      </c>
      <c r="AR84" s="125" t="str">
        <f t="shared" si="50"/>
        <v>ABCDE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Ⓚ DR Congo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1 - 1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4</v>
      </c>
      <c r="AN85" s="123">
        <f t="shared" si="45"/>
        <v>3</v>
      </c>
      <c r="AP85" s="123">
        <f>AN85/AN92*10000+AM85/AM92*1000+AI85/AI92*100+IF(AQ85=0,ROW(),AQ85)/2000000</f>
        <v>8385.715043099286</v>
      </c>
      <c r="AQ85" s="126">
        <f t="shared" si="37"/>
        <v>1514.77</v>
      </c>
      <c r="AR85" s="125" t="str">
        <f t="shared" si="50"/>
        <v>ABCDEF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Ⓐ Czech Republic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2 - 3</v>
      </c>
      <c r="P86" s="101">
        <f t="shared" si="48"/>
        <v>1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4</v>
      </c>
      <c r="AN86" s="123">
        <f t="shared" si="45"/>
        <v>1</v>
      </c>
      <c r="AP86" s="123">
        <f>AN86/AN92*10000+AM86/AM92*1000+AI86/AI92*100+IF(AQ86=0,ROW(),AQ86)/2000000</f>
        <v>3314.2865816407143</v>
      </c>
      <c r="AQ86" s="126">
        <f t="shared" si="37"/>
        <v>1734.71</v>
      </c>
      <c r="AR86" s="125" t="str">
        <f t="shared" si="50"/>
        <v>ABCDEFG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Ⓔ Ecuador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0 - 1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9</v>
      </c>
      <c r="AE87" s="124" t="str">
        <f>J53</f>
        <v>Saudi Arabia</v>
      </c>
      <c r="AF87" s="123">
        <f t="shared" si="39"/>
        <v>0</v>
      </c>
      <c r="AG87" s="123">
        <f t="shared" si="49"/>
        <v>1</v>
      </c>
      <c r="AH87" s="123">
        <f t="shared" si="40"/>
        <v>1</v>
      </c>
      <c r="AI87" s="123">
        <f t="shared" si="41"/>
        <v>1</v>
      </c>
      <c r="AJ87" s="123">
        <f t="shared" si="42"/>
        <v>5</v>
      </c>
      <c r="AK87" s="123" t="s">
        <v>3188</v>
      </c>
      <c r="AL87" s="123">
        <f t="shared" si="43"/>
        <v>-4</v>
      </c>
      <c r="AM87" s="123">
        <f t="shared" si="44"/>
        <v>0</v>
      </c>
      <c r="AN87" s="123">
        <f t="shared" si="45"/>
        <v>1</v>
      </c>
      <c r="AP87" s="123">
        <f>AN87/AN92*10000+AM87/AM92*1000+AI87/AI92*100+IF(AQ87=0,ROW(),AQ87)/2000000</f>
        <v>2514.2864250007142</v>
      </c>
      <c r="AQ87" s="126">
        <f t="shared" si="37"/>
        <v>1421.43</v>
      </c>
      <c r="AR87" s="125" t="str">
        <f t="shared" si="50"/>
        <v>ABCDEFG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Ⓑ Bosnia and Herzegovina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2 - 5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414.2865587807143</v>
      </c>
      <c r="AQ88" s="126">
        <f t="shared" si="37"/>
        <v>1688.99</v>
      </c>
      <c r="AR88" s="125" t="str">
        <f t="shared" si="50"/>
        <v>ABCDEFG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Ⓗ Saudi Arabia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1 - 5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12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1</v>
      </c>
      <c r="AI89" s="123">
        <f t="shared" si="41"/>
        <v>1</v>
      </c>
      <c r="AJ89" s="123">
        <f t="shared" si="42"/>
        <v>3</v>
      </c>
      <c r="AK89" s="123" t="s">
        <v>3190</v>
      </c>
      <c r="AL89" s="123">
        <f t="shared" si="43"/>
        <v>-2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414.28641001071429</v>
      </c>
      <c r="AQ89" s="126">
        <f t="shared" si="37"/>
        <v>1391.45</v>
      </c>
      <c r="AR89" s="125" t="str">
        <f t="shared" si="50"/>
        <v>ABCDEFG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Ⓛ Panama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5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4</v>
      </c>
      <c r="AN90" s="123">
        <f t="shared" si="45"/>
        <v>1</v>
      </c>
      <c r="AP90" s="123">
        <f>AN90/AN92*10000+AM90/AM92*1000+AI90/AI92*100+IF(AQ90=0,ROW(),AQ90)/2000000</f>
        <v>3314.2864534607143</v>
      </c>
      <c r="AQ90" s="126">
        <f t="shared" si="37"/>
        <v>1478.35</v>
      </c>
      <c r="AR90" s="125" t="str">
        <f t="shared" si="50"/>
        <v>ABCDEFGK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10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3</v>
      </c>
      <c r="AN91" s="123">
        <f>VLOOKUP($AE91,$AE$8:$AQ$78,10,FALSE)</f>
        <v>0</v>
      </c>
      <c r="AP91" s="123">
        <f>AN91/AN92*10000+AM91/AM92*1000+AI91/AI92*100+IF(AQ91=0,ROW(),AQ91)/2000000</f>
        <v>600.00077032000002</v>
      </c>
      <c r="AQ91" s="126">
        <f t="shared" si="37"/>
        <v>1540.64</v>
      </c>
      <c r="AR91" s="125" t="str">
        <f t="shared" si="50"/>
        <v>ABCDEFGK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1 - 3</v>
      </c>
      <c r="P92" s="107">
        <f t="shared" si="48"/>
        <v>0</v>
      </c>
      <c r="AF92" s="123">
        <f>MAX(AF80:AF91)+1</f>
        <v>2</v>
      </c>
      <c r="AG92" s="123">
        <f>MAX(AG80:AG91)+1</f>
        <v>2</v>
      </c>
      <c r="AH92" s="123">
        <f>MAX(AH80:AH91)+1</f>
        <v>2</v>
      </c>
      <c r="AI92" s="123">
        <f>MAX(AI80:AI91)+1</f>
        <v>7</v>
      </c>
      <c r="AJ92" s="123">
        <f>MAX(AJ80:AJ91)+1</f>
        <v>7</v>
      </c>
      <c r="AL92" s="123">
        <f>MIN(AL80:AL91)</f>
        <v>-4</v>
      </c>
      <c r="AM92" s="123">
        <f>MAX(AM80:AM91)+1</f>
        <v>5</v>
      </c>
      <c r="AN92" s="123">
        <f>MAX(AN80:AN91)+1</f>
        <v>4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492</v>
      </c>
      <c r="C3" s="121" t="str">
        <f>'2026 World Cup'!AR91</f>
        <v>ABCDEFGK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3E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2026-06-21T18:10:39Z</dcterms:modified>
  <cp:category>Sports</cp:category>
  <cp:contentStatus/>
</cp:coreProperties>
</file>
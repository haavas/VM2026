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6FB08FDD-5B17-404C-8054-364EA19B5ABB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S37" i="3"/>
  <c r="S11" i="3"/>
  <c r="S56" i="3"/>
  <c r="S13" i="3"/>
  <c r="S32" i="3"/>
  <c r="S14" i="3"/>
  <c r="S8" i="3"/>
  <c r="S9" i="3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10" i="3"/>
  <c r="T37" i="3"/>
  <c r="S55" i="3"/>
  <c r="T11" i="3"/>
  <c r="T56" i="3"/>
  <c r="T13" i="3"/>
  <c r="T32" i="3"/>
  <c r="S57" i="3"/>
  <c r="T14" i="3"/>
  <c r="T8" i="3"/>
  <c r="T9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/>
  <c r="AP26" i="3" s="1"/>
  <c r="BI69" i="3" l="1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AP12" i="3" s="1"/>
  <c r="AR8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36" i="3" l="1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21" i="3"/>
  <c r="AR29" i="3"/>
  <c r="AR28" i="3"/>
  <c r="AR27" i="3"/>
  <c r="AR71" i="3"/>
  <c r="AR70" i="3"/>
  <c r="AR69" i="3"/>
  <c r="AR22" i="3" l="1"/>
  <c r="AR76" i="3"/>
  <c r="AR77" i="3"/>
  <c r="AR75" i="3"/>
  <c r="AD75" i="3" s="1"/>
  <c r="AR34" i="3"/>
  <c r="AR35" i="3"/>
  <c r="AR40" i="3"/>
  <c r="AR33" i="3"/>
  <c r="AD34" i="3" s="1"/>
  <c r="AR65" i="3"/>
  <c r="AR41" i="3"/>
  <c r="AD41" i="3" s="1"/>
  <c r="AR23" i="3"/>
  <c r="AD22" i="3" s="1"/>
  <c r="AR51" i="3"/>
  <c r="AR52" i="3"/>
  <c r="AR53" i="3"/>
  <c r="AR46" i="3"/>
  <c r="AR15" i="3"/>
  <c r="AR45" i="3"/>
  <c r="AR63" i="3"/>
  <c r="AR47" i="3"/>
  <c r="AR64" i="3"/>
  <c r="AR39" i="3"/>
  <c r="AD56" i="3"/>
  <c r="AR16" i="3"/>
  <c r="AD15" i="3" s="1"/>
  <c r="AR17" i="3"/>
  <c r="AD59" i="3"/>
  <c r="AD74" i="3"/>
  <c r="AD76" i="3"/>
  <c r="AD77" i="3"/>
  <c r="AD69" i="3"/>
  <c r="AD68" i="3"/>
  <c r="AD70" i="3"/>
  <c r="AD71" i="3"/>
  <c r="AD63" i="3"/>
  <c r="AD62" i="3"/>
  <c r="AD33" i="3"/>
  <c r="AD27" i="3"/>
  <c r="AD26" i="3"/>
  <c r="AD28" i="3"/>
  <c r="AD29" i="3"/>
  <c r="AD9" i="3"/>
  <c r="AD8" i="3"/>
  <c r="AD10" i="3"/>
  <c r="AD11" i="3"/>
  <c r="N58" i="3"/>
  <c r="AD32" i="3" l="1"/>
  <c r="L59" i="3"/>
  <c r="AD47" i="3"/>
  <c r="AD20" i="3"/>
  <c r="AD53" i="3"/>
  <c r="M59" i="3"/>
  <c r="AD21" i="3"/>
  <c r="N24" i="3" s="1"/>
  <c r="L58" i="3"/>
  <c r="M58" i="3"/>
  <c r="O60" i="3"/>
  <c r="AD35" i="3"/>
  <c r="M34" i="3" s="1"/>
  <c r="AD14" i="3"/>
  <c r="J18" i="3" s="1"/>
  <c r="AD39" i="3"/>
  <c r="AD44" i="3"/>
  <c r="L57" i="3"/>
  <c r="AD64" i="3"/>
  <c r="M66" i="3" s="1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J48" i="3" s="1"/>
  <c r="AD40" i="3"/>
  <c r="AD52" i="3"/>
  <c r="AD38" i="3"/>
  <c r="N40" i="3" s="1"/>
  <c r="AD50" i="3"/>
  <c r="N59" i="3"/>
  <c r="AD17" i="3"/>
  <c r="AI88" i="3"/>
  <c r="K58" i="3"/>
  <c r="P59" i="3"/>
  <c r="K59" i="3"/>
  <c r="J12" i="3"/>
  <c r="N12" i="3"/>
  <c r="O9" i="3"/>
  <c r="N9" i="3"/>
  <c r="O12" i="3"/>
  <c r="M9" i="3"/>
  <c r="L12" i="3"/>
  <c r="M12" i="3"/>
  <c r="J9" i="3"/>
  <c r="AS8" i="3" s="1"/>
  <c r="BL50" i="3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23" i="3"/>
  <c r="AE82" i="3" s="1"/>
  <c r="AQ82" i="3" s="1"/>
  <c r="J22" i="3"/>
  <c r="AS21" i="3" s="1"/>
  <c r="BL23" i="3" s="1"/>
  <c r="J21" i="3"/>
  <c r="AS20" i="3" s="1"/>
  <c r="BL42" i="3" s="1"/>
  <c r="BS44" i="3" s="1"/>
  <c r="L21" i="3"/>
  <c r="L24" i="3"/>
  <c r="O21" i="3"/>
  <c r="N21" i="3"/>
  <c r="M23" i="3"/>
  <c r="O22" i="3"/>
  <c r="M21" i="3"/>
  <c r="N23" i="3"/>
  <c r="N22" i="3"/>
  <c r="O23" i="3"/>
  <c r="J30" i="3"/>
  <c r="J29" i="3"/>
  <c r="AE83" i="3" s="1"/>
  <c r="AQ83" i="3" s="1"/>
  <c r="J28" i="3"/>
  <c r="AS27" i="3" s="1"/>
  <c r="BL62" i="3" s="1"/>
  <c r="BS61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3" i="3"/>
  <c r="AS32" i="3" s="1"/>
  <c r="BL10" i="3" s="1"/>
  <c r="N33" i="3"/>
  <c r="L33" i="3"/>
  <c r="O33" i="3"/>
  <c r="M33" i="3"/>
  <c r="M35" i="3"/>
  <c r="L36" i="3"/>
  <c r="O35" i="3"/>
  <c r="O36" i="3"/>
  <c r="L35" i="3"/>
  <c r="M36" i="3"/>
  <c r="N35" i="3"/>
  <c r="N36" i="3"/>
  <c r="J45" i="3"/>
  <c r="AS44" i="3" s="1"/>
  <c r="BL38" i="3" s="1"/>
  <c r="M45" i="3"/>
  <c r="N45" i="3"/>
  <c r="L45" i="3"/>
  <c r="O45" i="3"/>
  <c r="M54" i="3"/>
  <c r="M51" i="3"/>
  <c r="L51" i="3"/>
  <c r="N51" i="3"/>
  <c r="J51" i="3"/>
  <c r="AS50" i="3" s="1"/>
  <c r="BL30" i="3" s="1"/>
  <c r="N54" i="3"/>
  <c r="J54" i="3"/>
  <c r="O51" i="3"/>
  <c r="L63" i="3"/>
  <c r="M63" i="3"/>
  <c r="N63" i="3"/>
  <c r="O63" i="3"/>
  <c r="L65" i="3"/>
  <c r="M65" i="3"/>
  <c r="N65" i="3"/>
  <c r="O65" i="3"/>
  <c r="L66" i="3"/>
  <c r="J65" i="3"/>
  <c r="AE89" i="3" s="1"/>
  <c r="AQ89" i="3" s="1"/>
  <c r="J63" i="3"/>
  <c r="AS62" i="3" s="1"/>
  <c r="BL58" i="3" s="1"/>
  <c r="BS60" i="3" s="1"/>
  <c r="BZ64" i="3" s="1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L75" i="3"/>
  <c r="O75" i="3"/>
  <c r="N75" i="3"/>
  <c r="J75" i="3"/>
  <c r="AS74" i="3" s="1"/>
  <c r="BL54" i="3" s="1"/>
  <c r="M75" i="3"/>
  <c r="N76" i="3"/>
  <c r="J78" i="3"/>
  <c r="M76" i="3"/>
  <c r="L76" i="3"/>
  <c r="N78" i="3"/>
  <c r="M78" i="3"/>
  <c r="L78" i="3"/>
  <c r="O78" i="3"/>
  <c r="O76" i="3"/>
  <c r="J76" i="3"/>
  <c r="AS75" i="3" s="1"/>
  <c r="BL27" i="3" s="1"/>
  <c r="L77" i="3"/>
  <c r="O77" i="3"/>
  <c r="J77" i="3"/>
  <c r="AE91" i="3" s="1"/>
  <c r="AQ91" i="3" s="1"/>
  <c r="M77" i="3"/>
  <c r="N77" i="3"/>
  <c r="J34" i="3" l="1"/>
  <c r="AS33" i="3" s="1"/>
  <c r="BL46" i="3" s="1"/>
  <c r="P58" i="3"/>
  <c r="N16" i="3"/>
  <c r="O16" i="3"/>
  <c r="M18" i="3"/>
  <c r="AN88" i="3"/>
  <c r="M24" i="3"/>
  <c r="M22" i="3"/>
  <c r="M39" i="3"/>
  <c r="O39" i="3"/>
  <c r="L40" i="3"/>
  <c r="K40" i="3" s="1"/>
  <c r="L42" i="3"/>
  <c r="K42" i="3" s="1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P22" i="3" s="1"/>
  <c r="N18" i="3"/>
  <c r="K18" i="3" s="1"/>
  <c r="N52" i="3"/>
  <c r="O34" i="3"/>
  <c r="M42" i="3"/>
  <c r="L16" i="3"/>
  <c r="P16" i="3" s="1"/>
  <c r="L23" i="3"/>
  <c r="K23" i="3" s="1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K66" i="3" s="1"/>
  <c r="AL88" i="3"/>
  <c r="M52" i="3"/>
  <c r="AJ88" i="3"/>
  <c r="L54" i="3"/>
  <c r="P54" i="3" s="1"/>
  <c r="O54" i="3"/>
  <c r="AG88" i="3"/>
  <c r="K57" i="3"/>
  <c r="L41" i="3"/>
  <c r="M48" i="3"/>
  <c r="J42" i="3"/>
  <c r="O46" i="3"/>
  <c r="L48" i="3"/>
  <c r="K48" i="3" s="1"/>
  <c r="N41" i="3"/>
  <c r="L52" i="3"/>
  <c r="P52" i="3" s="1"/>
  <c r="O18" i="3"/>
  <c r="L47" i="3"/>
  <c r="P47" i="3" s="1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41" i="3" s="1"/>
  <c r="P57" i="3"/>
  <c r="L46" i="3"/>
  <c r="P46" i="3" s="1"/>
  <c r="O42" i="3"/>
  <c r="N47" i="3"/>
  <c r="N48" i="3"/>
  <c r="J46" i="3"/>
  <c r="AS45" i="3" s="1"/>
  <c r="BL63" i="3" s="1"/>
  <c r="M46" i="3"/>
  <c r="AT88" i="3"/>
  <c r="N42" i="3"/>
  <c r="P60" i="3"/>
  <c r="K60" i="3"/>
  <c r="M15" i="3"/>
  <c r="K15" i="3" s="1"/>
  <c r="O15" i="3"/>
  <c r="J15" i="3"/>
  <c r="AS14" i="3" s="1"/>
  <c r="BL66" i="3" s="1"/>
  <c r="P75" i="3"/>
  <c r="AF91" i="3"/>
  <c r="AG91" i="3"/>
  <c r="AH91" i="3"/>
  <c r="AI91" i="3"/>
  <c r="AJ91" i="3"/>
  <c r="AL91" i="3"/>
  <c r="AN91" i="3"/>
  <c r="AT91" i="3"/>
  <c r="P77" i="3"/>
  <c r="K77" i="3"/>
  <c r="K78" i="3"/>
  <c r="P78" i="3"/>
  <c r="P76" i="3"/>
  <c r="K76" i="3"/>
  <c r="K75" i="3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AF89" i="3"/>
  <c r="AG89" i="3"/>
  <c r="AH89" i="3"/>
  <c r="AI89" i="3"/>
  <c r="AJ89" i="3"/>
  <c r="AL89" i="3"/>
  <c r="AN89" i="3"/>
  <c r="AT89" i="3"/>
  <c r="P66" i="3"/>
  <c r="P65" i="3"/>
  <c r="K65" i="3"/>
  <c r="P64" i="3"/>
  <c r="P63" i="3"/>
  <c r="K63" i="3"/>
  <c r="K54" i="3"/>
  <c r="K53" i="3"/>
  <c r="AL87" i="3"/>
  <c r="K51" i="3"/>
  <c r="P51" i="3"/>
  <c r="K45" i="3"/>
  <c r="P45" i="3"/>
  <c r="AF85" i="3"/>
  <c r="AG85" i="3"/>
  <c r="AH85" i="3"/>
  <c r="AI85" i="3"/>
  <c r="AJ85" i="3"/>
  <c r="AL85" i="3"/>
  <c r="AT85" i="3"/>
  <c r="P35" i="3"/>
  <c r="K35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22" i="3"/>
  <c r="K24" i="3"/>
  <c r="P24" i="3"/>
  <c r="P21" i="3"/>
  <c r="K21" i="3"/>
  <c r="AF82" i="3"/>
  <c r="AG82" i="3"/>
  <c r="AH82" i="3"/>
  <c r="AI82" i="3"/>
  <c r="AJ82" i="3"/>
  <c r="AL82" i="3"/>
  <c r="AN82" i="3"/>
  <c r="AT82" i="3"/>
  <c r="P18" i="3"/>
  <c r="AF81" i="3"/>
  <c r="AG81" i="3"/>
  <c r="AI81" i="3"/>
  <c r="AJ81" i="3"/>
  <c r="AL81" i="3"/>
  <c r="AT81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P42" i="3" l="1"/>
  <c r="P23" i="3"/>
  <c r="P40" i="3"/>
  <c r="K64" i="3"/>
  <c r="P15" i="3"/>
  <c r="K34" i="3"/>
  <c r="P39" i="3"/>
  <c r="K16" i="3"/>
  <c r="P53" i="3"/>
  <c r="AH87" i="3"/>
  <c r="AH81" i="3"/>
  <c r="AG86" i="3"/>
  <c r="AG92" i="3" s="1"/>
  <c r="AG87" i="3"/>
  <c r="AJ87" i="3"/>
  <c r="P34" i="3"/>
  <c r="K39" i="3"/>
  <c r="K52" i="3"/>
  <c r="AN86" i="3"/>
  <c r="AL86" i="3"/>
  <c r="AL92" i="3" s="1"/>
  <c r="AM88" i="3" s="1"/>
  <c r="AF86" i="3"/>
  <c r="P17" i="3"/>
  <c r="AT87" i="3"/>
  <c r="AN81" i="3"/>
  <c r="AN85" i="3"/>
  <c r="AN87" i="3"/>
  <c r="AJ86" i="3"/>
  <c r="AJ92" i="3" s="1"/>
  <c r="K47" i="3"/>
  <c r="AI86" i="3"/>
  <c r="AH86" i="3"/>
  <c r="AI87" i="3"/>
  <c r="K41" i="3"/>
  <c r="AF87" i="3"/>
  <c r="AT86" i="3"/>
  <c r="K46" i="3"/>
  <c r="K17" i="3"/>
  <c r="P48" i="3"/>
  <c r="AN92" i="3" l="1"/>
  <c r="AH92" i="3"/>
  <c r="AF92" i="3"/>
  <c r="AI92" i="3"/>
  <c r="AS92" i="3"/>
  <c r="AM83" i="3"/>
  <c r="AM91" i="3"/>
  <c r="AM82" i="3"/>
  <c r="AM90" i="3"/>
  <c r="AM89" i="3"/>
  <c r="AM80" i="3"/>
  <c r="AM81" i="3"/>
  <c r="AM87" i="3"/>
  <c r="AM86" i="3"/>
  <c r="AM85" i="3"/>
  <c r="AM84" i="3"/>
  <c r="AM92" i="3" l="1"/>
  <c r="AP87" i="3" s="1"/>
  <c r="S85" i="3"/>
  <c r="T85" i="3" s="1" a="1"/>
  <c r="T85" i="3" s="1"/>
  <c r="BS13" i="3"/>
  <c r="S84" i="3"/>
  <c r="T84" i="3" s="1" a="1"/>
  <c r="T84" i="3" s="1"/>
  <c r="BS12" i="3"/>
  <c r="BZ16" i="3" l="1"/>
  <c r="S95" i="3"/>
  <c r="T95" i="3" s="1" a="1"/>
  <c r="T95" i="3" s="1"/>
  <c r="AP81" i="3"/>
  <c r="AP84" i="3"/>
  <c r="AP86" i="3"/>
  <c r="AP89" i="3"/>
  <c r="AP90" i="3"/>
  <c r="AP88" i="3"/>
  <c r="AP82" i="3"/>
  <c r="AP83" i="3"/>
  <c r="AP91" i="3"/>
  <c r="AP85" i="3"/>
  <c r="AP80" i="3"/>
  <c r="AD85" i="3" l="1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2" i="3"/>
  <c r="AS82" i="3" s="1"/>
  <c r="AD90" i="3"/>
  <c r="AS90" i="3" s="1"/>
  <c r="AD88" i="3"/>
  <c r="AS88" i="3" s="1"/>
  <c r="AD87" i="3"/>
  <c r="AS87" i="3" s="1"/>
  <c r="AD80" i="3"/>
  <c r="AD81" i="3"/>
  <c r="AS81" i="3" s="1"/>
  <c r="J92" i="3" l="1"/>
  <c r="M88" i="3"/>
  <c r="O87" i="3"/>
  <c r="AS80" i="3"/>
  <c r="O83" i="3"/>
  <c r="L83" i="3"/>
  <c r="N84" i="3"/>
  <c r="M87" i="3"/>
  <c r="M85" i="3"/>
  <c r="L88" i="3"/>
  <c r="P88" i="3" s="1"/>
  <c r="J87" i="3"/>
  <c r="N85" i="3"/>
  <c r="L84" i="3"/>
  <c r="J85" i="3"/>
  <c r="L91" i="3"/>
  <c r="N82" i="3"/>
  <c r="J86" i="3"/>
  <c r="N81" i="3"/>
  <c r="J88" i="3"/>
  <c r="L81" i="3"/>
  <c r="N90" i="3"/>
  <c r="O91" i="3"/>
  <c r="O90" i="3"/>
  <c r="O88" i="3"/>
  <c r="O86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N89" i="3"/>
  <c r="L92" i="3"/>
  <c r="J81" i="3"/>
  <c r="J89" i="3"/>
  <c r="O81" i="3"/>
  <c r="M90" i="3"/>
  <c r="L86" i="3"/>
  <c r="N83" i="3"/>
  <c r="O82" i="3"/>
  <c r="M84" i="3"/>
  <c r="N92" i="3"/>
  <c r="J82" i="3"/>
  <c r="J90" i="3"/>
  <c r="M82" i="3"/>
  <c r="M86" i="3"/>
  <c r="N86" i="3"/>
  <c r="L87" i="3"/>
  <c r="M92" i="3"/>
  <c r="J83" i="3"/>
  <c r="J91" i="3"/>
  <c r="M81" i="3"/>
  <c r="L85" i="3"/>
  <c r="O84" i="3"/>
  <c r="L89" i="3"/>
  <c r="M89" i="3"/>
  <c r="O85" i="3"/>
  <c r="N88" i="3"/>
  <c r="J84" i="3"/>
  <c r="P92" i="3" l="1"/>
  <c r="K91" i="3"/>
  <c r="K82" i="3"/>
  <c r="P81" i="3"/>
  <c r="K84" i="3"/>
  <c r="K90" i="3"/>
  <c r="K83" i="3"/>
  <c r="K81" i="3"/>
  <c r="K87" i="3"/>
  <c r="P86" i="3"/>
  <c r="K92" i="3"/>
  <c r="P84" i="3"/>
  <c r="P87" i="3"/>
  <c r="K85" i="3"/>
  <c r="P82" i="3"/>
  <c r="P85" i="3"/>
  <c r="P83" i="3"/>
  <c r="P90" i="3"/>
  <c r="K89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<sst xmlns="http://schemas.openxmlformats.org/spreadsheetml/2006/main" count="9786" uniqueCount="3698">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</sst>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8" sqref="G8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/>
      <c r="G8" s="20"/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/>
      </c>
      <c r="T8" s="127" t="str">
        <f t="shared" si="2"/>
        <v/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 t="str">
        <f t="shared" si="6"/>
        <v/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/>
      <c r="G9" s="20"/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/>
      </c>
      <c r="T9" s="127" t="str">
        <f t="shared" si="2"/>
        <v/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 t="str">
        <f t="shared" si="6"/>
        <v/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/>
      <c r="G10" s="20"/>
      <c r="H10" s="80" t="str">
        <f>AE27</f>
        <v>Paraguay</v>
      </c>
      <c r="J10" s="33" t="str">
        <f>VLOOKUP(2,AD8:AN11,2,FALSE)</f>
        <v>Korea Republic</v>
      </c>
      <c r="K10" s="23">
        <f>L10+M10+N10</f>
        <v>0</v>
      </c>
      <c r="L10" s="23">
        <f>VLOOKUP(2,AD8:AN11,3,FALSE)</f>
        <v>0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0 - 0</v>
      </c>
      <c r="P10" s="34">
        <f>L10*3+M10</f>
        <v>0</v>
      </c>
      <c r="R10" s="123">
        <f>DATE(2026,6,12)+TIME(14,0,0)+gmt_delta</f>
        <v>46186.041666666672</v>
      </c>
      <c r="S10" s="127" t="str">
        <f t="shared" si="1"/>
        <v/>
      </c>
      <c r="T10" s="127" t="str">
        <f t="shared" si="2"/>
        <v/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 t="str">
        <f t="shared" si="6"/>
        <v/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0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0</v>
      </c>
      <c r="AJ10" s="123">
        <f>SUMIF($E$7:$E$78,$AE10,$G$7:$G$78) + SUMIF($H$7:$H$78,$AE10,$F$7:$F$78)</f>
        <v>0</v>
      </c>
      <c r="AL10" s="123">
        <f>AI10-AJ10</f>
        <v>0</v>
      </c>
      <c r="AM10" s="123">
        <f>AL10-AL12</f>
        <v>2</v>
      </c>
      <c r="AN10" s="123">
        <f>AF10*3+AG10</f>
        <v>0</v>
      </c>
      <c r="AO10" s="123">
        <f>AN10/AN12*10+BA10</f>
        <v>0</v>
      </c>
      <c r="AP10" s="123">
        <f>AO10*10000000+BI10*100+AM10/AM12*10+AI10/AI12*1++IF(AQ10=0,ROW(),AQ10)/2000000</f>
        <v>4.0007943299999997</v>
      </c>
      <c r="AQ10" s="126">
        <f>VLOOKUP(AE10,db_fifarank,2,FALSE)</f>
        <v>1588.66</v>
      </c>
      <c r="AR10" s="125">
        <f>AP10/AP12</f>
        <v>5.3343917523963915E-8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/>
      <c r="G11" s="20"/>
      <c r="H11" s="80" t="str">
        <f>AE23</f>
        <v>Scotland</v>
      </c>
      <c r="J11" s="33" t="str">
        <f>VLOOKUP(3,AD8:AN11,2,FALSE)</f>
        <v>Czech Republic</v>
      </c>
      <c r="K11" s="23">
        <f>L11+M11+N11</f>
        <v>0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0</v>
      </c>
      <c r="O11" s="23" t="str">
        <f>VLOOKUP(3,AD8:AN11,6,FALSE) &amp; " - " &amp; VLOOKUP(3,AD8:AN11,7,FALSE)</f>
        <v>0 - 0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/>
      </c>
      <c r="T11" s="127" t="str">
        <f t="shared" si="2"/>
        <v/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 t="str">
        <f t="shared" si="6"/>
        <v/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0</v>
      </c>
      <c r="AI11" s="123">
        <f>SUMIF($E$7:$E$78,$AE11,$F$7:$F$78) + SUMIF($H$7:$H$78,$AE11,$G$7:$G$78)</f>
        <v>0</v>
      </c>
      <c r="AJ11" s="123">
        <f>SUMIF($E$7:$E$78,$AE11,$G$7:$G$78) + SUMIF($H$7:$H$78,$AE11,$F$7:$F$78)</f>
        <v>0</v>
      </c>
      <c r="AL11" s="123">
        <f>AI11-AJ11</f>
        <v>0</v>
      </c>
      <c r="AM11" s="123">
        <f>AL11-AL12</f>
        <v>2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4.0007506900000003</v>
      </c>
      <c r="AQ11" s="126">
        <f>VLOOKUP(AE11,db_fifarank,2,FALSE)</f>
        <v>1501.38</v>
      </c>
      <c r="AR11" s="125">
        <f>AP11/AP12</f>
        <v>5.3343335657372259E-8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/>
      <c r="G12" s="20"/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/>
      </c>
      <c r="T12" s="127" t="str">
        <f t="shared" si="2"/>
        <v/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 t="str">
        <f t="shared" si="6"/>
        <v/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/>
      <c r="G13" s="20"/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/>
      </c>
      <c r="T13" s="127" t="str">
        <f t="shared" si="2"/>
        <v/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 t="str">
        <f t="shared" si="6"/>
        <v/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/>
      <c r="G14" s="20"/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/>
      </c>
      <c r="T14" s="127" t="str">
        <f t="shared" si="2"/>
        <v/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 t="str">
        <f t="shared" si="6"/>
        <v/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0</v>
      </c>
      <c r="AH14" s="123">
        <f>COUNTIF($S$7:$T$78,"=" &amp; AE14 &amp; "_lose")</f>
        <v>0</v>
      </c>
      <c r="AI14" s="123">
        <f>SUMIF($E$7:$E$78,$AE14,$F$7:$F$78) + SUMIF($H$7:$H$78,$AE14,$G$7:$G$78)</f>
        <v>0</v>
      </c>
      <c r="AJ14" s="123">
        <f>SUMIF($E$7:$E$78,$AE14,$G$7:$G$78) + SUMIF($H$7:$H$78,$AE14,$F$7:$F$78)</f>
        <v>0</v>
      </c>
      <c r="AL14" s="123">
        <f>AI14-AJ14</f>
        <v>0</v>
      </c>
      <c r="AM14" s="123">
        <f>AL14-AL18</f>
        <v>0</v>
      </c>
      <c r="AN14" s="123">
        <f>AF14*3+AG14</f>
        <v>0</v>
      </c>
      <c r="AO14" s="123">
        <f>AN14/AN18*10+BA14</f>
        <v>0</v>
      </c>
      <c r="AP14" s="123">
        <f>AO14*10000000+BI14*100+AM14/AM18*10+AI14/AI18*1++IF(AQ14=0,ROW(),AQ14)/2000000</f>
        <v>7.7824000000000003E-4</v>
      </c>
      <c r="AQ14" s="126">
        <f>VLOOKUP(AE14,db_fifarank,2,FALSE)</f>
        <v>1556.48</v>
      </c>
      <c r="AR14" s="125">
        <f>AP14/AP18</f>
        <v>7.7759871434028365E-4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0</v>
      </c>
      <c r="L15" s="31">
        <f>VLOOKUP(1,AD14:AN17,3,FALSE)</f>
        <v>0</v>
      </c>
      <c r="M15" s="31">
        <f>VLOOKUP(1,AD14:AN17,4,FALSE)</f>
        <v>0</v>
      </c>
      <c r="N15" s="31">
        <f>VLOOKUP(1,AD14:AN17,5,FALSE)</f>
        <v>0</v>
      </c>
      <c r="O15" s="31" t="str">
        <f>VLOOKUP(1,AD14:AN17,6,FALSE) &amp; " - " &amp; VLOOKUP(1,AD14:AN17,7,FALSE)</f>
        <v>0 - 0</v>
      </c>
      <c r="P15" s="32">
        <f>L15*3+M15</f>
        <v>0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0</v>
      </c>
      <c r="AH15" s="123">
        <f>COUNTIF($S$7:$T$78,"=" &amp; AE15 &amp; "_lose")</f>
        <v>0</v>
      </c>
      <c r="AI15" s="123">
        <f>SUMIF($E$7:$E$78,$AE15,$F$7:$F$78) + SUMIF($H$7:$H$78,$AE15,$G$7:$G$78)</f>
        <v>0</v>
      </c>
      <c r="AJ15" s="123">
        <f>SUMIF($E$7:$E$78,$AE15,$G$7:$G$78) + SUMIF($H$7:$H$78,$AE15,$F$7:$F$78)</f>
        <v>0</v>
      </c>
      <c r="AL15" s="123">
        <f>AI15-AJ15</f>
        <v>0</v>
      </c>
      <c r="AM15" s="123">
        <f>AL15-AL18</f>
        <v>0</v>
      </c>
      <c r="AN15" s="123">
        <f>AF15*3+AG15</f>
        <v>0</v>
      </c>
      <c r="AO15" s="123">
        <f>AN15/AN18*10+BA15</f>
        <v>0</v>
      </c>
      <c r="AP15" s="123">
        <f>AO15*10000000+BI15*100+AM15/AM18*10+AI15/AI18*1++IF(AQ15=0,ROW(),AQ15)/2000000</f>
        <v>6.9291999999999997E-4</v>
      </c>
      <c r="AQ15" s="126">
        <f>VLOOKUP(AE15,db_fifarank,2,FALSE)</f>
        <v>1385.84</v>
      </c>
      <c r="AR15" s="125">
        <f>AP15/AP18</f>
        <v>6.9234901976340118E-4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0</v>
      </c>
      <c r="L16" s="23">
        <f>VLOOKUP(2,AD14:AN17,3,FALSE)</f>
        <v>0</v>
      </c>
      <c r="M16" s="23">
        <f>VLOOKUP(2,AD14:AN17,4,FALSE)</f>
        <v>0</v>
      </c>
      <c r="N16" s="23">
        <f>VLOOKUP(2,AD14:AN17,5,FALSE)</f>
        <v>0</v>
      </c>
      <c r="O16" s="23" t="str">
        <f>VLOOKUP(2,AD14:AN17,6,FALSE) &amp; " - " &amp; VLOOKUP(2,AD14:AN17,7,FALSE)</f>
        <v>0 - 0</v>
      </c>
      <c r="P16" s="34">
        <f>L16*3+M16</f>
        <v>0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0</v>
      </c>
      <c r="AJ16" s="123">
        <f>SUMIF($E$7:$E$78,$AE16,$G$7:$G$78) + SUMIF($H$7:$H$78,$AE16,$F$7:$F$78)</f>
        <v>0</v>
      </c>
      <c r="AL16" s="123">
        <f>AI16-AJ16</f>
        <v>0</v>
      </c>
      <c r="AM16" s="123">
        <f>AL16-AL18</f>
        <v>0</v>
      </c>
      <c r="AN16" s="123">
        <f>AF16*3+AG16</f>
        <v>0</v>
      </c>
      <c r="AO16" s="123">
        <f>AN16/AN18*10+BA16</f>
        <v>0</v>
      </c>
      <c r="AP16" s="123">
        <f>AO16*10000000+BI16*100+AM16/AM18*10+AI16/AI18*1++IF(AQ16=0,ROW(),AQ16)/2000000</f>
        <v>7.2747999999999997E-4</v>
      </c>
      <c r="AQ16" s="126">
        <f>VLOOKUP(AE16,db_fifarank,2,FALSE)</f>
        <v>1454.96</v>
      </c>
      <c r="AR16" s="125">
        <f>AP16/AP18</f>
        <v>7.268805416173282E-4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0</v>
      </c>
      <c r="L17" s="23">
        <f>VLOOKUP(3,AD14:AN17,3,FALSE)</f>
        <v>0</v>
      </c>
      <c r="M17" s="23">
        <f>VLOOKUP(3,AD14:AN17,4,FALSE)</f>
        <v>0</v>
      </c>
      <c r="N17" s="23">
        <f>VLOOKUP(3,AD14:AN17,5,FALSE)</f>
        <v>0</v>
      </c>
      <c r="O17" s="23" t="str">
        <f>VLOOKUP(3,AD14:AN17,6,FALSE) &amp; " - " &amp; VLOOKUP(3,AD14:AN17,7,FALSE)</f>
        <v>0 - 0</v>
      </c>
      <c r="P17" s="34">
        <f>L17*3+M17</f>
        <v>0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0</v>
      </c>
      <c r="AH17" s="123">
        <f>COUNTIF($S$7:$T$78,"=" &amp; AE17 &amp; "_lose")</f>
        <v>0</v>
      </c>
      <c r="AI17" s="123">
        <f>SUMIF($E$7:$E$78,$AE17,$F$7:$F$78) + SUMIF($H$7:$H$78,$AE17,$G$7:$G$78)</f>
        <v>0</v>
      </c>
      <c r="AJ17" s="123">
        <f>SUMIF($E$7:$E$78,$AE17,$G$7:$G$78) + SUMIF($H$7:$H$78,$AE17,$F$7:$F$78)</f>
        <v>0</v>
      </c>
      <c r="AL17" s="123">
        <f>AI17-AJ17</f>
        <v>0</v>
      </c>
      <c r="AM17" s="123">
        <f>AL17-AL18</f>
        <v>0</v>
      </c>
      <c r="AN17" s="123">
        <f>AF17*3+AG17</f>
        <v>0</v>
      </c>
      <c r="AO17" s="123">
        <f>AN17/AN18*10+BA17</f>
        <v>0</v>
      </c>
      <c r="AP17" s="123">
        <f>AO17*10000000+BI17*100+AM17/AM18*10+AI17/AI18*1++IF(AQ17=0,ROW(),AQ17)/2000000</f>
        <v>8.2470000000000004E-4</v>
      </c>
      <c r="AQ17" s="126">
        <f>VLOOKUP(AE17,db_fifarank,2,FALSE)</f>
        <v>1649.4</v>
      </c>
      <c r="AR17" s="125">
        <f>AP17/AP18</f>
        <v>8.2402043035108958E-4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0</v>
      </c>
      <c r="L18" s="36">
        <f>VLOOKUP(4,AD14:AN17,3,FALSE)</f>
        <v>0</v>
      </c>
      <c r="M18" s="36">
        <f>VLOOKUP(4,AD14:AN17,4,FALSE)</f>
        <v>0</v>
      </c>
      <c r="N18" s="36">
        <f>VLOOKUP(4,AD14:AN17,5,FALSE)</f>
        <v>0</v>
      </c>
      <c r="O18" s="36" t="str">
        <f>VLOOKUP(4,AD14:AN17,6,FALSE) &amp; " - " &amp; VLOOKUP(4,AD14:AN17,7,FALSE)</f>
        <v>0 - 0</v>
      </c>
      <c r="P18" s="37">
        <f>L18*3+M18</f>
        <v>0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1</v>
      </c>
      <c r="AL18" s="123">
        <f>MIN(AL14:AL17)</f>
        <v>0</v>
      </c>
      <c r="AM18" s="123">
        <f>MAX(AM14:AM17)+1</f>
        <v>1</v>
      </c>
      <c r="AN18" s="123">
        <f>MAX(AN14:AN17)+1</f>
        <v>1</v>
      </c>
      <c r="AO18" s="123">
        <f>MAX(AO14:AO17)+1</f>
        <v>1</v>
      </c>
      <c r="AP18" s="123">
        <f>MAX(AP14:AP17)+1</f>
        <v>1.0008246999999999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0</v>
      </c>
      <c r="AJ20" s="123">
        <f>SUMIF($E$7:$E$78,$AE20,$G$7:$G$78) + SUMIF($H$7:$H$78,$AE20,$F$7:$F$78)</f>
        <v>0</v>
      </c>
      <c r="AL20" s="123">
        <f>AI20-AJ20</f>
        <v>0</v>
      </c>
      <c r="AM20" s="123">
        <f>AL20-AL24</f>
        <v>0</v>
      </c>
      <c r="AN20" s="123">
        <f>AF20*3+AG20</f>
        <v>0</v>
      </c>
      <c r="AO20" s="123">
        <f>AN20/AN24*10+BA20</f>
        <v>0</v>
      </c>
      <c r="AP20" s="123">
        <f>AO20*10000000+BI20*100+AM20/AM24*10+AI20/AI24*1++IF(AQ20=0,ROW(),AQ20)/2000000</f>
        <v>8.8058000000000006E-4</v>
      </c>
      <c r="AQ20" s="126">
        <f>VLOOKUP(AE20,db_fifarank,2,FALSE)</f>
        <v>1761.16</v>
      </c>
      <c r="AR20" s="125">
        <f>AP20/AP24</f>
        <v>8.7980526108319542E-4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Brazil</v>
      </c>
      <c r="K21" s="31">
        <f>L21+M21+N21</f>
        <v>0</v>
      </c>
      <c r="L21" s="31">
        <f>VLOOKUP(1,AD20:AN23,3,FALSE)</f>
        <v>0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0 - 0</v>
      </c>
      <c r="P21" s="32">
        <f>L21*3+M21</f>
        <v>0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0</v>
      </c>
      <c r="AH21" s="123">
        <f>COUNTIF($S$7:$T$78,"=" &amp; AE21 &amp; "_lose")</f>
        <v>0</v>
      </c>
      <c r="AI21" s="123">
        <f>SUMIF($E$7:$E$78,$AE21,$F$7:$F$78) + SUMIF($H$7:$H$78,$AE21,$G$7:$G$78)</f>
        <v>0</v>
      </c>
      <c r="AJ21" s="123">
        <f>SUMIF($E$7:$E$78,$AE21,$G$7:$G$78) + SUMIF($H$7:$H$78,$AE21,$F$7:$F$78)</f>
        <v>0</v>
      </c>
      <c r="AL21" s="123">
        <f>AI21-AJ21</f>
        <v>0</v>
      </c>
      <c r="AM21" s="123">
        <f>AL21-AL24</f>
        <v>0</v>
      </c>
      <c r="AN21" s="123">
        <f>AF21*3+AG21</f>
        <v>0</v>
      </c>
      <c r="AO21" s="123">
        <f>AN21/AN24*10+BA21</f>
        <v>0</v>
      </c>
      <c r="AP21" s="123">
        <f>AO21*10000000+BI21*100+AM21/AM24*10+AI21/AI24*1++IF(AQ21=0,ROW(),AQ21)/2000000</f>
        <v>8.7793499999999994E-4</v>
      </c>
      <c r="AQ21" s="126">
        <f>VLOOKUP(AE21,db_fifarank,2,FALSE)</f>
        <v>1755.87</v>
      </c>
      <c r="AR21" s="125">
        <f>AP21/AP24</f>
        <v>8.771625881681108E-4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Morocco</v>
      </c>
      <c r="K22" s="23">
        <f>L22+M22+N22</f>
        <v>0</v>
      </c>
      <c r="L22" s="23">
        <f>VLOOKUP(2,AD20:AN23,3,FALSE)</f>
        <v>0</v>
      </c>
      <c r="M22" s="23">
        <f>VLOOKUP(2,AD20:AN23,4,FALSE)</f>
        <v>0</v>
      </c>
      <c r="N22" s="23">
        <f>VLOOKUP(2,AD20:AN23,5,FALSE)</f>
        <v>0</v>
      </c>
      <c r="O22" s="23" t="str">
        <f>VLOOKUP(2,AD20:AN23,6,FALSE) &amp; " - " &amp; VLOOKUP(2,AD20:AN23,7,FALSE)</f>
        <v>0 - 0</v>
      </c>
      <c r="P22" s="34">
        <f>L22*3+M22</f>
        <v>0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0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0</v>
      </c>
      <c r="AL22" s="123">
        <f>AI22-AJ22</f>
        <v>0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6.4528677337310309E-4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Scotland</v>
      </c>
      <c r="K23" s="23">
        <f>L23+M23+N23</f>
        <v>0</v>
      </c>
      <c r="L23" s="23">
        <f>VLOOKUP(3,AD20:AN23,3,FALSE)</f>
        <v>0</v>
      </c>
      <c r="M23" s="23">
        <f>VLOOKUP(3,AD20:AN23,4,FALSE)</f>
        <v>0</v>
      </c>
      <c r="N23" s="23">
        <f>VLOOKUP(3,AD20:AN23,5,FALSE)</f>
        <v>0</v>
      </c>
      <c r="O23" s="23" t="str">
        <f>VLOOKUP(3,AD20:AN23,6,FALSE) &amp; " - " &amp; VLOOKUP(3,AD20:AN23,7,FALSE)</f>
        <v>0 - 0</v>
      </c>
      <c r="P23" s="34">
        <f>L23*3+M23</f>
        <v>0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0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0</v>
      </c>
      <c r="AJ23" s="123">
        <f>SUMIF($E$7:$E$78,$AE23,$G$7:$G$78) + SUMIF($H$7:$H$78,$AE23,$F$7:$F$78)</f>
        <v>0</v>
      </c>
      <c r="AL23" s="123">
        <f>AI23-AJ23</f>
        <v>0</v>
      </c>
      <c r="AM23" s="123">
        <f>AL23-AL24</f>
        <v>0</v>
      </c>
      <c r="AN23" s="123">
        <f>AF23*3+AG23</f>
        <v>0</v>
      </c>
      <c r="AO23" s="123">
        <f>AN23/AN24*10+BA23</f>
        <v>0</v>
      </c>
      <c r="AP23" s="123">
        <f>AO23*10000000+BI23*100+AM23/AM24*10+AI23/AI24*1++IF(AQ23=0,ROW(),AQ23)/2000000</f>
        <v>7.4917499999999993E-4</v>
      </c>
      <c r="AQ23" s="126">
        <f>VLOOKUP(AE23,db_fifarank,2,FALSE)</f>
        <v>1498.35</v>
      </c>
      <c r="AR23" s="125">
        <f>AP23/AP24</f>
        <v>7.4851587189352792E-4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0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0</v>
      </c>
      <c r="O24" s="36" t="str">
        <f>VLOOKUP(4,AD20:AN23,6,FALSE) &amp; " - " &amp; VLOOKUP(4,AD20:AN23,7,FALSE)</f>
        <v>0 - 0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1</v>
      </c>
      <c r="AG24" s="123">
        <f t="shared" si="14"/>
        <v>1</v>
      </c>
      <c r="AH24" s="123">
        <f t="shared" si="14"/>
        <v>1</v>
      </c>
      <c r="AI24" s="123">
        <f>MAX(AI20:AI23)+1</f>
        <v>1</v>
      </c>
      <c r="AL24" s="123">
        <f>MIN(AL20:AL23)</f>
        <v>0</v>
      </c>
      <c r="AM24" s="123">
        <f>MAX(AM20:AM23)+1</f>
        <v>1</v>
      </c>
      <c r="AN24" s="123">
        <f>MAX(AN20:AN23)+1</f>
        <v>1</v>
      </c>
      <c r="AO24" s="123">
        <f>MAX(AO20:AO23)+1</f>
        <v>1</v>
      </c>
      <c r="AP24" s="123">
        <f>MAX(AP20:AP23)+1</f>
        <v>1.00088058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0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0</v>
      </c>
      <c r="AJ26" s="123">
        <f>SUMIF($E$7:$E$78,$AE26,$G$7:$G$78) + SUMIF($H$7:$H$78,$AE26,$F$7:$F$78)</f>
        <v>0</v>
      </c>
      <c r="AL26" s="123">
        <f>AI26-AJ26</f>
        <v>0</v>
      </c>
      <c r="AM26" s="123">
        <f>AL26-AL30</f>
        <v>0</v>
      </c>
      <c r="AN26" s="123">
        <f>AF26*3+AG26</f>
        <v>0</v>
      </c>
      <c r="AO26" s="123">
        <f>AN26/AN30*10+BA26</f>
        <v>0</v>
      </c>
      <c r="AP26" s="123">
        <f>AO26*10000000+BI26*100+AM26/AM30*10+AI26/AI30*1++IF(AQ26=0,ROW(),AQ26)/2000000</f>
        <v>8.3656500000000005E-4</v>
      </c>
      <c r="AQ26" s="126">
        <f>VLOOKUP(AE26,db_fifarank,2,FALSE)</f>
        <v>1673.13</v>
      </c>
      <c r="AR26" s="125">
        <f>AP26/AP30</f>
        <v>8.3586574397389256E-4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0</v>
      </c>
      <c r="L27" s="31">
        <f>VLOOKUP(1,AD26:AN29,3,FALSE)</f>
        <v>0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0 - 0</v>
      </c>
      <c r="P27" s="32">
        <f>L27*3+M27</f>
        <v>0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0</v>
      </c>
      <c r="AI27" s="123">
        <f>SUMIF($E$7:$E$78,$AE27,$F$7:$F$78) + SUMIF($H$7:$H$78,$AE27,$G$7:$G$78)</f>
        <v>0</v>
      </c>
      <c r="AJ27" s="123">
        <f>SUMIF($E$7:$E$78,$AE27,$G$7:$G$78) + SUMIF($H$7:$H$78,$AE27,$F$7:$F$78)</f>
        <v>0</v>
      </c>
      <c r="AL27" s="123">
        <f>AI27-AJ27</f>
        <v>0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7.5175000000000003E-4</v>
      </c>
      <c r="AQ27" s="126">
        <f>VLOOKUP(AE27,db_fifarank,2,FALSE)</f>
        <v>1503.5</v>
      </c>
      <c r="AR27" s="125">
        <f>AP27/AP30</f>
        <v>7.5112163792696765E-4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Turkey</v>
      </c>
      <c r="K28" s="23">
        <f>L28+M28+N28</f>
        <v>0</v>
      </c>
      <c r="L28" s="23">
        <f>VLOOKUP(2,AD26:AN29,3,FALSE)</f>
        <v>0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0 - 0</v>
      </c>
      <c r="P28" s="34">
        <f>L28*3+M28</f>
        <v>0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3</v>
      </c>
      <c r="AE28" s="124" t="str">
        <f>VLOOKUP("Australia",T,lang,FALSE)</f>
        <v>Australia</v>
      </c>
      <c r="AF28" s="123">
        <f>COUNTIF($S$7:$T$78,"=" &amp; AE28 &amp; "_win")</f>
        <v>0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0</v>
      </c>
      <c r="AJ28" s="123">
        <f>SUMIF($E$7:$E$78,$AE28,$G$7:$G$78) + SUMIF($H$7:$H$78,$AE28,$F$7:$F$78)</f>
        <v>0</v>
      </c>
      <c r="AL28" s="123">
        <f>AI28-AJ28</f>
        <v>0</v>
      </c>
      <c r="AM28" s="123">
        <f>AL28-AL30</f>
        <v>0</v>
      </c>
      <c r="AN28" s="123">
        <f>AF28*3+AG28</f>
        <v>0</v>
      </c>
      <c r="AO28" s="123">
        <f>AN28/AN30*10+BA28</f>
        <v>0</v>
      </c>
      <c r="AP28" s="123">
        <f>AO28*10000000+BI28*100+AM28/AM30*10+AI28/AI30*1++IF(AQ28=0,ROW(),AQ28)/2000000</f>
        <v>7.9033500000000008E-4</v>
      </c>
      <c r="AQ28" s="126">
        <f>VLOOKUP(AE28,db_fifarank,2,FALSE)</f>
        <v>1580.67</v>
      </c>
      <c r="AR28" s="125">
        <f>AP28/AP30</f>
        <v>7.8967438604723647E-4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Australia</v>
      </c>
      <c r="K29" s="23">
        <f>L29+M29+N29</f>
        <v>0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0</v>
      </c>
      <c r="O29" s="23" t="str">
        <f>VLOOKUP(3,AD26:AN29,6,FALSE) &amp; " - " &amp; VLOOKUP(3,AD26:AN29,7,FALSE)</f>
        <v>0 - 0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2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0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0</v>
      </c>
      <c r="AL29" s="123">
        <f>AI29-AJ29</f>
        <v>0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7.9885170862037803E-4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0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0</v>
      </c>
      <c r="O30" s="36" t="str">
        <f>VLOOKUP(4,AD26:AN29,6,FALSE) &amp; " - " &amp; VLOOKUP(4,AD26:AN29,7,FALSE)</f>
        <v>0 - 0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1</v>
      </c>
      <c r="AG30" s="123">
        <f t="shared" si="15"/>
        <v>1</v>
      </c>
      <c r="AH30" s="123">
        <f t="shared" si="15"/>
        <v>1</v>
      </c>
      <c r="AI30" s="123">
        <f>MAX(AI26:AI29)+1</f>
        <v>1</v>
      </c>
      <c r="AL30" s="123">
        <f>MIN(AL26:AL29)</f>
        <v>0</v>
      </c>
      <c r="AM30" s="123">
        <f>MAX(AM26:AM29)+1</f>
        <v>1</v>
      </c>
      <c r="AN30" s="123">
        <f>MAX(AN26:AN29)+1</f>
        <v>1</v>
      </c>
      <c r="AO30" s="123">
        <f>MAX(AO26:AO29)+1</f>
        <v>1</v>
      </c>
      <c r="AP30" s="123">
        <f>MAX(AP26:AP29)+1</f>
        <v>1.000836565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0</v>
      </c>
      <c r="AI80" s="123">
        <f>VLOOKUP($AE80,$AE$8:$AQ$78,5,FALSE)</f>
        <v>0</v>
      </c>
      <c r="AJ80" s="123">
        <f>VLOOKUP($AE80,$AE$8:$AQ$78,6,FALSE)</f>
        <v>0</v>
      </c>
      <c r="AK80" s="123" t="s">
        <v>3180</v>
      </c>
      <c r="AL80" s="123">
        <f>VLOOKUP($AE80,$AE$8:$AQ$78,8,FALSE)</f>
        <v>0</v>
      </c>
      <c r="AM80" s="123">
        <f>AL80-$AL$92</f>
        <v>0</v>
      </c>
      <c r="AN80" s="123">
        <f>VLOOKUP($AE80,$AE$8:$AQ$78,10,FALSE)</f>
        <v>0</v>
      </c>
      <c r="AP80" s="123">
        <f>AN80/AN92*10000+AM80/AM92*1000+AI80/AI92*100+IF(AQ80=0,ROW(),AQ80)/2000000</f>
        <v>7.5069000000000004E-4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Ⓓ Australia</v>
      </c>
      <c r="K81" s="97">
        <f>L81+M81+N81</f>
        <v>0</v>
      </c>
      <c r="L81" s="97">
        <f>VLOOKUP(1,$AD$80:$AN$91,3,FALSE)</f>
        <v>0</v>
      </c>
      <c r="M81" s="97">
        <f>VLOOKUP(1,$AD$80:$AN$91,4,FALSE)</f>
        <v>0</v>
      </c>
      <c r="N81" s="97">
        <f>VLOOKUP(1,$AD$80:$AN$91,5,FALSE)</f>
        <v>0</v>
      </c>
      <c r="O81" s="97" t="str">
        <f>VLOOKUP(1,$AD$80:$AN$91,6,FALSE) &amp; " - " &amp; VLOOKUP(1,$AD$80:$AN$91,7,FALSE)</f>
        <v>0 - 0</v>
      </c>
      <c r="P81" s="98">
        <f>L81*3+M81</f>
        <v>0</v>
      </c>
      <c r="AD81" s="123">
        <f t="shared" ref="AD81:AD91" si="38">COUNTIF($AP$80:$AP$91,CONCATENATE("&gt;=",AP81))</f>
        <v>11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0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0</v>
      </c>
      <c r="AJ81" s="123">
        <f t="shared" ref="AJ81:AJ90" si="42">VLOOKUP($AE81,$AE$8:$AQ$78,6,FALSE)</f>
        <v>0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0</v>
      </c>
      <c r="AN81" s="123">
        <f t="shared" ref="AN81:AN90" si="45">VLOOKUP($AE81,$AE$8:$AQ$78,10,FALSE)</f>
        <v>0</v>
      </c>
      <c r="AP81" s="123">
        <f>AN81/AN92*10000+AM81/AM92*1000+AI81/AI92*100+IF(AQ81=0,ROW(),AQ81)/2000000</f>
        <v>7.2747999999999997E-4</v>
      </c>
      <c r="AQ81" s="126">
        <f t="shared" si="37"/>
        <v>1454.96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Ⓙ Algeria</v>
      </c>
      <c r="K82" s="100">
        <f t="shared" ref="K82:K92" si="47">L82+M82+N82</f>
        <v>0</v>
      </c>
      <c r="L82" s="100">
        <f>VLOOKUP(2,$AD$80:$AN$91,3,FALSE)</f>
        <v>0</v>
      </c>
      <c r="M82" s="100">
        <f>VLOOKUP(2,$AD$80:$AN$91,4,FALSE)</f>
        <v>0</v>
      </c>
      <c r="N82" s="100">
        <f>VLOOKUP(2,$AD$80:$AN$91,5,FALSE)</f>
        <v>0</v>
      </c>
      <c r="O82" s="100" t="str">
        <f>VLOOKUP(2,$AD$80:$AN$91,6,FALSE) &amp; " - " &amp; VLOOKUP(2,$AD$80:$AN$91,7,FALSE)</f>
        <v>0 - 0</v>
      </c>
      <c r="P82" s="101">
        <f t="shared" ref="P82:P92" si="48">L82*3+M82</f>
        <v>0</v>
      </c>
      <c r="AD82" s="123">
        <f t="shared" si="38"/>
        <v>9</v>
      </c>
      <c r="AE82" s="124" t="str">
        <f>J23</f>
        <v>Scotland</v>
      </c>
      <c r="AF82" s="123">
        <f t="shared" si="39"/>
        <v>0</v>
      </c>
      <c r="AG82" s="123">
        <f t="shared" ref="AG82:AG91" si="49">VLOOKUP($AE82,$AE$8:$AQ$78,3,FALSE)</f>
        <v>0</v>
      </c>
      <c r="AH82" s="123">
        <f t="shared" si="40"/>
        <v>0</v>
      </c>
      <c r="AI82" s="123">
        <f t="shared" si="41"/>
        <v>0</v>
      </c>
      <c r="AJ82" s="123">
        <f t="shared" si="42"/>
        <v>0</v>
      </c>
      <c r="AK82" s="123" t="s">
        <v>3182</v>
      </c>
      <c r="AL82" s="123">
        <f t="shared" si="43"/>
        <v>0</v>
      </c>
      <c r="AM82" s="123">
        <f t="shared" si="44"/>
        <v>0</v>
      </c>
      <c r="AN82" s="123">
        <f t="shared" si="45"/>
        <v>0</v>
      </c>
      <c r="AP82" s="123">
        <f>AN82/AN92*10000+AM82/AM92*1000+AI82/AI92*100+IF(AQ82=0,ROW(),AQ82)/2000000</f>
        <v>7.4917499999999993E-4</v>
      </c>
      <c r="AQ82" s="126">
        <f t="shared" si="37"/>
        <v>1498.35</v>
      </c>
      <c r="AR82" s="125" t="str">
        <f t="shared" ref="AR82:AR91" si="50">AR81&amp;IF(AD82&lt;=8,RIGHT(AK82,1),"")</f>
        <v>A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Ⓖ Egypt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</v>
      </c>
      <c r="AE83" s="124" t="str">
        <f>J29</f>
        <v>Australia</v>
      </c>
      <c r="AF83" s="123">
        <f t="shared" si="39"/>
        <v>0</v>
      </c>
      <c r="AG83" s="123">
        <f t="shared" si="49"/>
        <v>0</v>
      </c>
      <c r="AH83" s="123">
        <f t="shared" si="40"/>
        <v>0</v>
      </c>
      <c r="AI83" s="123">
        <f t="shared" si="41"/>
        <v>0</v>
      </c>
      <c r="AJ83" s="123">
        <f t="shared" si="42"/>
        <v>0</v>
      </c>
      <c r="AK83" s="123" t="s">
        <v>3184</v>
      </c>
      <c r="AL83" s="123">
        <f t="shared" si="43"/>
        <v>0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7.9033500000000008E-4</v>
      </c>
      <c r="AQ83" s="126">
        <f t="shared" si="37"/>
        <v>1580.67</v>
      </c>
      <c r="AR83" s="125" t="str">
        <f t="shared" si="50"/>
        <v>AD</v>
      </c>
      <c r="AS83" s="129" t="str">
        <f t="shared" si="46"/>
        <v>Australia</v>
      </c>
      <c r="AT83" s="130" t="str">
        <f>"Ⓓ "&amp;AE83</f>
        <v>Ⓓ Australia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Ⓘ Norway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6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0</v>
      </c>
      <c r="AN84" s="123">
        <f t="shared" si="45"/>
        <v>0</v>
      </c>
      <c r="AP84" s="123">
        <f>AN84/AN92*10000+AM84/AM92*1000+AI84/AI92*100+IF(AQ84=0,ROW(),AQ84)/2000000</f>
        <v>7.6648999999999999E-4</v>
      </c>
      <c r="AQ84" s="126">
        <f t="shared" si="37"/>
        <v>1532.98</v>
      </c>
      <c r="AR84" s="125" t="str">
        <f t="shared" si="50"/>
        <v>ADE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Ⓛ Panama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7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0</v>
      </c>
      <c r="AN85" s="123">
        <f t="shared" si="45"/>
        <v>0</v>
      </c>
      <c r="AP85" s="123">
        <f>AN85/AN92*10000+AM85/AM92*1000+AI85/AI92*100+IF(AQ85=0,ROW(),AQ85)/2000000</f>
        <v>7.5738499999999996E-4</v>
      </c>
      <c r="AQ85" s="126">
        <f t="shared" si="37"/>
        <v>1514.77</v>
      </c>
      <c r="AR85" s="125" t="str">
        <f t="shared" si="50"/>
        <v>ADEF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Ⓔ Ivory Coast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0</v>
      </c>
      <c r="AN86" s="123">
        <f t="shared" si="45"/>
        <v>0</v>
      </c>
      <c r="AP86" s="123">
        <f>AN86/AN92*10000+AM86/AM92*1000+AI86/AI92*100+IF(AQ86=0,ROW(),AQ86)/2000000</f>
        <v>7.8162000000000001E-4</v>
      </c>
      <c r="AQ86" s="126">
        <f t="shared" si="37"/>
        <v>1563.24</v>
      </c>
      <c r="AR86" s="125" t="str">
        <f t="shared" si="50"/>
        <v>ADEFG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Ⓕ Sweden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0</v>
      </c>
      <c r="AN87" s="123">
        <f t="shared" si="45"/>
        <v>0</v>
      </c>
      <c r="AP87" s="123">
        <f>AN87/AN92*10000+AM87/AM92*1000+AI87/AI92*100+IF(AQ87=0,ROW(),AQ87)/2000000</f>
        <v>7.10715E-4</v>
      </c>
      <c r="AQ87" s="126">
        <f t="shared" si="37"/>
        <v>1421.43</v>
      </c>
      <c r="AR87" s="125" t="str">
        <f t="shared" si="50"/>
        <v>ADEFG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Ⓐ Czech Republic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4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7.7547E-4</v>
      </c>
      <c r="AQ88" s="126">
        <f t="shared" si="37"/>
        <v>1550.94</v>
      </c>
      <c r="AR88" s="125" t="str">
        <f t="shared" si="50"/>
        <v>ADEFGI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Ⓒ Scotland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2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0</v>
      </c>
      <c r="AN89" s="123">
        <f t="shared" si="45"/>
        <v>0</v>
      </c>
      <c r="AP89" s="123">
        <f>AN89/AN92*10000+AM89/AM92*1000+AI89/AI92*100+IF(AQ89=0,ROW(),AQ89)/2000000</f>
        <v>7.8213000000000002E-4</v>
      </c>
      <c r="AQ89" s="126">
        <f t="shared" si="37"/>
        <v>1564.26</v>
      </c>
      <c r="AR89" s="125" t="str">
        <f t="shared" si="50"/>
        <v>ADEFGIJ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0</v>
      </c>
      <c r="AN90" s="123">
        <f t="shared" si="45"/>
        <v>0</v>
      </c>
      <c r="AP90" s="123">
        <f>AN90/AN92*10000+AM90/AM92*1000+AI90/AI92*100+IF(AQ90=0,ROW(),AQ90)/2000000</f>
        <v>7.391749999999999E-4</v>
      </c>
      <c r="AQ90" s="126">
        <f t="shared" si="37"/>
        <v>1478.35</v>
      </c>
      <c r="AR90" s="125" t="str">
        <f t="shared" si="50"/>
        <v>ADEFGIJ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Ⓑ Qatar</v>
      </c>
      <c r="K91" s="103">
        <f t="shared" si="47"/>
        <v>0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0</v>
      </c>
      <c r="O91" s="103" t="str">
        <f>VLOOKUP(11,$AD$80:$AN$91,6,FALSE) &amp; " - " &amp; VLOOKUP(11,$AD$80:$AN$91,7,FALSE)</f>
        <v>0 - 0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5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0</v>
      </c>
      <c r="AN91" s="123">
        <f>VLOOKUP($AE91,$AE$8:$AQ$78,10,FALSE)</f>
        <v>0</v>
      </c>
      <c r="AP91" s="123">
        <f>AN91/AN92*10000+AM91/AM92*1000+AI91/AI92*100+IF(AQ91=0,ROW(),AQ91)/2000000</f>
        <v>7.7032000000000001E-4</v>
      </c>
      <c r="AQ91" s="126">
        <f t="shared" si="37"/>
        <v>1540.64</v>
      </c>
      <c r="AR91" s="125" t="str">
        <f t="shared" si="50"/>
        <v>ADEFGIJL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Saudi Arabia</v>
      </c>
      <c r="K92" s="106">
        <f t="shared" si="47"/>
        <v>0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0</v>
      </c>
      <c r="O92" s="106" t="str">
        <f>VLOOKUP(12,$AD$80:$AN$91,6,FALSE) &amp; " - " &amp; VLOOKUP(12,$AD$80:$AN$91,7,FALSE)</f>
        <v>0 - 0</v>
      </c>
      <c r="P92" s="107">
        <f t="shared" si="48"/>
        <v>0</v>
      </c>
      <c r="AF92" s="123">
        <f>MAX(AF80:AF91)+1</f>
        <v>1</v>
      </c>
      <c r="AG92" s="123">
        <f>MAX(AG80:AG91)+1</f>
        <v>1</v>
      </c>
      <c r="AH92" s="123">
        <f>MAX(AH80:AH91)+1</f>
        <v>1</v>
      </c>
      <c r="AI92" s="123">
        <f>MAX(AI80:AI91)+1</f>
        <v>1</v>
      </c>
      <c r="AJ92" s="123">
        <f>MAX(AJ80:AJ91)+1</f>
        <v>1</v>
      </c>
      <c r="AL92" s="123">
        <f>MIN(AL80:AL91)</f>
        <v>0</v>
      </c>
      <c r="AM92" s="123">
        <f>MAX(AM80:AM91)+1</f>
        <v>1</v>
      </c>
      <c r="AN92" s="123">
        <f>MAX(AN80:AN91)+1</f>
        <v>1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194</v>
      </c>
      <c r="C3" s="121" t="str">
        <f>'2026 World Cup'!AR91</f>
        <v>ADEFGIJL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2026-06-11T20:54:51Z</dcterms:modified>
  <cp:category>Sports</cp:category>
  <cp:contentStatus/>
</cp:coreProperties>
</file>
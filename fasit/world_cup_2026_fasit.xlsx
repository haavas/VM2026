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9271FDD6-2770-444D-8AEC-F635EAD88D99}" xr6:coauthVersionLast="47" xr6:coauthVersionMax="47" xr10:uidLastSave="{00000000-0000-0000-0000-000000000000}"/>
  <bookViews>
    <workbookView xWindow="1440" yWindow="2920" windowWidth="28800" windowHeight="1534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N71" i="3" s="1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12" i="3" l="1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<sst xmlns="http://schemas.openxmlformats.org/spreadsheetml/2006/main" count="9786" uniqueCount="3698">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</sst>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25" sqref="G25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3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4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75000008.750938654</v>
      </c>
      <c r="AQ56" s="126">
        <f>VLOOKUP(AE56,db_fifarank,2,FALSE)</f>
        <v>1877.32</v>
      </c>
      <c r="AR56" s="125">
        <f>AP56/AP60</f>
        <v>0.99999998666666845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3 - 1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0.250844495</v>
      </c>
      <c r="AQ57" s="126">
        <f>VLOOKUP(AE57,db_fifarank,2,FALSE)</f>
        <v>1688.99</v>
      </c>
      <c r="AR57" s="125">
        <f>AP57/AP60</f>
        <v>3.3445928318277399E-9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3</v>
      </c>
      <c r="AL58" s="123">
        <f>AI58-AJ58</f>
        <v>-2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0.25072357000000001</v>
      </c>
      <c r="AQ58" s="126">
        <f>VLOOKUP(AE58,db_fifarank,2,FALSE)</f>
        <v>1447.14</v>
      </c>
      <c r="AR58" s="125">
        <f>AP58/AP60</f>
        <v>3.3429804987040298E-9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3</v>
      </c>
      <c r="AJ59" s="123">
        <f>SUMIF($E$7:$E$78,$AE59,$G$7:$G$78) + SUMIF($H$7:$H$78,$AE59,$F$7:$F$78)</f>
        <v>1</v>
      </c>
      <c r="AL59" s="123">
        <f>AI59-AJ59</f>
        <v>2</v>
      </c>
      <c r="AM59" s="123">
        <f>AL59-AL60</f>
        <v>4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75000008.750775471</v>
      </c>
      <c r="AQ59" s="126">
        <f>VLOOKUP(AE59,db_fifarank,2,FALSE)</f>
        <v>1550.94</v>
      </c>
      <c r="AR59" s="125">
        <f>AP59/AP60</f>
        <v>0.99999998666449263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1 - 3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4</v>
      </c>
      <c r="AL60" s="123">
        <f>MIN(AL56:AL59)</f>
        <v>-2</v>
      </c>
      <c r="AM60" s="123">
        <f>MAX(AM56:AM59)+1</f>
        <v>5</v>
      </c>
      <c r="AN60" s="123">
        <f>MAX(AN56:AN59)+1</f>
        <v>4</v>
      </c>
      <c r="AO60" s="123">
        <f>MAX(AO56:AO59)+1</f>
        <v>8.5</v>
      </c>
      <c r="AP60" s="123">
        <f>MAX(AP56:AP59)+1</f>
        <v>75000009.750938654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9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10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Ⓛ Panama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Ⓚ DR Congo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33.334177828333331</v>
      </c>
      <c r="AQ88" s="126">
        <f t="shared" si="37"/>
        <v>1688.99</v>
      </c>
      <c r="AR88" s="125" t="str">
        <f t="shared" si="50"/>
        <v>BCFGH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Ⓐ Czech Republic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1 - 2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Ⓔ Ecuador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8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BCFGHJK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7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BCFGHJKL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4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85</v>
      </c>
      <c r="C3" s="121" t="str">
        <f>'2026 World Cup'!AR91</f>
        <v>BCFGHJKL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2026-06-16T23:58:24Z</dcterms:modified>
  <cp:category>Sports</cp:category>
  <cp:contentStatus/>
</cp:coreProperties>
</file>
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77C3DA3A-E235-4A4A-991B-04BFACAAD419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S37" i="3"/>
  <c r="S11" i="3"/>
  <c r="S56" i="3"/>
  <c r="S13" i="3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10" i="3"/>
  <c r="T37" i="3"/>
  <c r="S55" i="3"/>
  <c r="T11" i="3"/>
  <c r="T56" i="3"/>
  <c r="T13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21" i="3"/>
  <c r="AR29" i="3"/>
  <c r="AR28" i="3"/>
  <c r="AR27" i="3"/>
  <c r="AR71" i="3"/>
  <c r="AR70" i="3"/>
  <c r="AR69" i="3"/>
  <c r="AR9" i="3" l="1"/>
  <c r="AR10" i="3"/>
  <c r="AR11" i="3"/>
  <c r="AR22" i="3"/>
  <c r="AR76" i="3"/>
  <c r="AR77" i="3"/>
  <c r="AR75" i="3"/>
  <c r="AD75" i="3" s="1"/>
  <c r="AR34" i="3"/>
  <c r="AR35" i="3"/>
  <c r="AR40" i="3"/>
  <c r="AR33" i="3"/>
  <c r="AD34" i="3" s="1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9" i="3"/>
  <c r="AD68" i="3"/>
  <c r="AD70" i="3"/>
  <c r="AD71" i="3"/>
  <c r="AD27" i="3"/>
  <c r="AD26" i="3"/>
  <c r="AD28" i="3"/>
  <c r="AD29" i="3"/>
  <c r="AD9" i="3"/>
  <c r="AD8" i="3"/>
  <c r="AD10" i="3"/>
  <c r="AD11" i="3"/>
  <c r="AD22" i="3" l="1"/>
  <c r="AD15" i="3"/>
  <c r="AD62" i="3"/>
  <c r="AD33" i="3"/>
  <c r="AD77" i="3"/>
  <c r="AD76" i="3"/>
  <c r="AD41" i="3"/>
  <c r="AD63" i="3"/>
  <c r="L65" i="3" s="1"/>
  <c r="AD74" i="3"/>
  <c r="M76" i="3" s="1"/>
  <c r="AD32" i="3"/>
  <c r="L33" i="3" s="1"/>
  <c r="L59" i="3"/>
  <c r="P59" i="3" s="1"/>
  <c r="AD47" i="3"/>
  <c r="AD20" i="3"/>
  <c r="N21" i="3" s="1"/>
  <c r="AD53" i="3"/>
  <c r="M59" i="3"/>
  <c r="AD21" i="3"/>
  <c r="L58" i="3"/>
  <c r="M58" i="3"/>
  <c r="K58" i="3" s="1"/>
  <c r="O60" i="3"/>
  <c r="AD35" i="3"/>
  <c r="AD14" i="3"/>
  <c r="J18" i="3" s="1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BS61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O35" i="3"/>
  <c r="O36" i="3"/>
  <c r="L35" i="3"/>
  <c r="M36" i="3"/>
  <c r="N35" i="3"/>
  <c r="N36" i="3"/>
  <c r="L63" i="3"/>
  <c r="M63" i="3"/>
  <c r="N63" i="3"/>
  <c r="O63" i="3"/>
  <c r="M65" i="3"/>
  <c r="N65" i="3"/>
  <c r="O65" i="3"/>
  <c r="J65" i="3"/>
  <c r="AE89" i="3" s="1"/>
  <c r="AQ89" i="3" s="1"/>
  <c r="J63" i="3"/>
  <c r="AS62" i="3" s="1"/>
  <c r="BL58" i="3" s="1"/>
  <c r="BS60" i="3" s="1"/>
  <c r="BZ64" i="3" s="1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M75" i="3"/>
  <c r="J78" i="3"/>
  <c r="M78" i="3"/>
  <c r="L78" i="3"/>
  <c r="N77" i="3"/>
  <c r="M66" i="3" l="1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P75" i="3" s="1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K78" i="3" s="1"/>
  <c r="L76" i="3"/>
  <c r="P76" i="3" s="1"/>
  <c r="O33" i="3"/>
  <c r="M35" i="3"/>
  <c r="M33" i="3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K51" i="3" s="1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K24" i="3" s="1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I91" i="3"/>
  <c r="AL91" i="3"/>
  <c r="AN91" i="3"/>
  <c r="AT91" i="3"/>
  <c r="P77" i="3"/>
  <c r="K77" i="3"/>
  <c r="P78" i="3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AF89" i="3"/>
  <c r="AG89" i="3"/>
  <c r="AH89" i="3"/>
  <c r="AI89" i="3"/>
  <c r="AJ89" i="3"/>
  <c r="AL89" i="3"/>
  <c r="AN89" i="3"/>
  <c r="AT89" i="3"/>
  <c r="P66" i="3"/>
  <c r="P65" i="3"/>
  <c r="K65" i="3"/>
  <c r="P63" i="3"/>
  <c r="K63" i="3"/>
  <c r="P35" i="3"/>
  <c r="K35" i="3"/>
  <c r="P36" i="3"/>
  <c r="K36" i="3"/>
  <c r="P33" i="3"/>
  <c r="K33" i="3"/>
  <c r="AF84" i="3"/>
  <c r="AG84" i="3"/>
  <c r="AH84" i="3"/>
  <c r="AI84" i="3"/>
  <c r="AJ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AF82" i="3"/>
  <c r="AG82" i="3"/>
  <c r="AH82" i="3"/>
  <c r="AI82" i="3"/>
  <c r="AJ82" i="3"/>
  <c r="AL82" i="3"/>
  <c r="AN82" i="3"/>
  <c r="AT82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K48" i="3" l="1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92" i="3" s="1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L92" i="3" l="1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AM92" i="3"/>
  <c r="AP87" i="3" s="1"/>
  <c r="S85" i="3"/>
  <c r="T85" i="3" s="1" a="1"/>
  <c r="T85" i="3" s="1"/>
  <c r="BS13" i="3"/>
  <c r="S84" i="3"/>
  <c r="T84" i="3" s="1" a="1"/>
  <c r="T84" i="3" s="1"/>
  <c r="BS12" i="3"/>
  <c r="BZ16" i="3" l="1"/>
  <c r="S95" i="3"/>
  <c r="T95" i="3" s="1" a="1"/>
  <c r="T95" i="3" s="1"/>
  <c r="AP81" i="3"/>
  <c r="AP84" i="3"/>
  <c r="AP86" i="3"/>
  <c r="AP89" i="3"/>
  <c r="AP90" i="3"/>
  <c r="AP88" i="3"/>
  <c r="AP82" i="3"/>
  <c r="AP83" i="3"/>
  <c r="AP91" i="3"/>
  <c r="AP85" i="3"/>
  <c r="AP80" i="3"/>
  <c r="AD85" i="3" l="1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2" i="3"/>
  <c r="AS82" i="3" s="1"/>
  <c r="AD90" i="3"/>
  <c r="AS90" i="3" s="1"/>
  <c r="AD88" i="3"/>
  <c r="AS88" i="3" s="1"/>
  <c r="AD87" i="3"/>
  <c r="AS87" i="3" s="1"/>
  <c r="AD80" i="3"/>
  <c r="AD81" i="3"/>
  <c r="AS81" i="3" s="1"/>
  <c r="J92" i="3" l="1"/>
  <c r="M88" i="3"/>
  <c r="O87" i="3"/>
  <c r="AS80" i="3"/>
  <c r="O83" i="3"/>
  <c r="L83" i="3"/>
  <c r="N84" i="3"/>
  <c r="M87" i="3"/>
  <c r="M85" i="3"/>
  <c r="L88" i="3"/>
  <c r="P88" i="3" s="1"/>
  <c r="J87" i="3"/>
  <c r="N85" i="3"/>
  <c r="L84" i="3"/>
  <c r="J85" i="3"/>
  <c r="L91" i="3"/>
  <c r="N82" i="3"/>
  <c r="J86" i="3"/>
  <c r="N81" i="3"/>
  <c r="J88" i="3"/>
  <c r="L81" i="3"/>
  <c r="N90" i="3"/>
  <c r="O91" i="3"/>
  <c r="O90" i="3"/>
  <c r="O88" i="3"/>
  <c r="O86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N89" i="3"/>
  <c r="L92" i="3"/>
  <c r="J81" i="3"/>
  <c r="J89" i="3"/>
  <c r="O81" i="3"/>
  <c r="M90" i="3"/>
  <c r="L86" i="3"/>
  <c r="N83" i="3"/>
  <c r="O82" i="3"/>
  <c r="M84" i="3"/>
  <c r="N92" i="3"/>
  <c r="J82" i="3"/>
  <c r="J90" i="3"/>
  <c r="M82" i="3"/>
  <c r="M86" i="3"/>
  <c r="N86" i="3"/>
  <c r="L87" i="3"/>
  <c r="M92" i="3"/>
  <c r="J83" i="3"/>
  <c r="J91" i="3"/>
  <c r="M81" i="3"/>
  <c r="L85" i="3"/>
  <c r="O84" i="3"/>
  <c r="L89" i="3"/>
  <c r="M89" i="3"/>
  <c r="O85" i="3"/>
  <c r="N88" i="3"/>
  <c r="J84" i="3"/>
  <c r="P92" i="3" l="1"/>
  <c r="K91" i="3"/>
  <c r="K82" i="3"/>
  <c r="P81" i="3"/>
  <c r="K84" i="3"/>
  <c r="K90" i="3"/>
  <c r="K83" i="3"/>
  <c r="K81" i="3"/>
  <c r="K87" i="3"/>
  <c r="P86" i="3"/>
  <c r="K92" i="3"/>
  <c r="P84" i="3"/>
  <c r="P87" i="3"/>
  <c r="K85" i="3"/>
  <c r="P82" i="3"/>
  <c r="P85" i="3"/>
  <c r="P83" i="3"/>
  <c r="P90" i="3"/>
  <c r="K89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<sst xmlns="http://schemas.openxmlformats.org/spreadsheetml/2006/main" count="9786" uniqueCount="3698">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</sst>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10" sqref="G10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/>
      <c r="G10" s="20"/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/>
      </c>
      <c r="T10" s="127" t="str">
        <f t="shared" si="2"/>
        <v/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 t="str">
        <f t="shared" si="6"/>
        <v/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/>
      <c r="G14" s="20"/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/>
      </c>
      <c r="T14" s="127" t="str">
        <f t="shared" si="2"/>
        <v/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 t="str">
        <f t="shared" si="6"/>
        <v/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5.9805825242718447</v>
      </c>
      <c r="AP14" s="123">
        <f>AO14*10000000+BI14*100+AM14/AM18*10+AI14/AI18*1++IF(AQ14=0,ROW(),AQ14)/2000000</f>
        <v>59805923.80174911</v>
      </c>
      <c r="AQ14" s="126">
        <f>VLOOKUP(AE14,db_fifarank,2,FALSE)</f>
        <v>1556.48</v>
      </c>
      <c r="AR14" s="125">
        <f>AP14/AP18</f>
        <v>0.99999998327924866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Canada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2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5.9805825242718447</v>
      </c>
      <c r="AP15" s="123">
        <f>AO15*10000000+BI15*100+AM15/AM18*10+AI15/AI18*1++IF(AQ15=0,ROW(),AQ15)/2000000</f>
        <v>59805923.801663786</v>
      </c>
      <c r="AQ15" s="126">
        <f>VLOOKUP(AE15,db_fifarank,2,FALSE)</f>
        <v>1385.84</v>
      </c>
      <c r="AR15" s="125">
        <f>AP15/AP18</f>
        <v>0.99999998327782191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Bosnia and Herzegovina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0</v>
      </c>
      <c r="AL16" s="123">
        <f>AI16-AJ16</f>
        <v>0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1.2164012218045725E-11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Switzerland</v>
      </c>
      <c r="K17" s="23">
        <f>L17+M17+N17</f>
        <v>0</v>
      </c>
      <c r="L17" s="23">
        <f>VLOOKUP(3,AD14:AN17,3,FALSE)</f>
        <v>0</v>
      </c>
      <c r="M17" s="23">
        <f>VLOOKUP(3,AD14:AN17,4,FALSE)</f>
        <v>0</v>
      </c>
      <c r="N17" s="23">
        <f>VLOOKUP(3,AD14:AN17,5,FALSE)</f>
        <v>0</v>
      </c>
      <c r="O17" s="23" t="str">
        <f>VLOOKUP(3,AD14:AN17,6,FALSE) &amp; " - " &amp; VLOOKUP(3,AD14:AN17,7,FALSE)</f>
        <v>0 - 0</v>
      </c>
      <c r="P17" s="34">
        <f>L17*3+M17</f>
        <v>0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3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0</v>
      </c>
      <c r="AJ17" s="123">
        <f>SUMIF($E$7:$E$78,$AE17,$G$7:$G$78) + SUMIF($H$7:$H$78,$AE17,$F$7:$F$78)</f>
        <v>0</v>
      </c>
      <c r="AL17" s="123">
        <f>AI17-AJ17</f>
        <v>0</v>
      </c>
      <c r="AM17" s="123">
        <f>AL17-AL18</f>
        <v>0</v>
      </c>
      <c r="AN17" s="123">
        <f>AF17*3+AG17</f>
        <v>0</v>
      </c>
      <c r="AO17" s="123">
        <f>AN17/AN18*10+BA17</f>
        <v>0</v>
      </c>
      <c r="AP17" s="123">
        <f>AO17*10000000+BI17*100+AM17/AM18*10+AI17/AI18*1++IF(AQ17=0,ROW(),AQ17)/2000000</f>
        <v>8.2470000000000004E-4</v>
      </c>
      <c r="AQ17" s="126">
        <f>VLOOKUP(AE17,db_fifarank,2,FALSE)</f>
        <v>1649.4</v>
      </c>
      <c r="AR17" s="125">
        <f>AP17/AP18</f>
        <v>1.3789603667760363E-11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Qatar</v>
      </c>
      <c r="K18" s="36">
        <f>L18+M18+N18</f>
        <v>0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0</v>
      </c>
      <c r="O18" s="36" t="str">
        <f>VLOOKUP(4,AD14:AN17,6,FALSE) &amp; " - " &amp; VLOOKUP(4,AD14:AN17,7,FALSE)</f>
        <v>0 - 0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2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6.9805825242718447</v>
      </c>
      <c r="AP18" s="123">
        <f>MAX(AP14:AP17)+1</f>
        <v>59805924.80174911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0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0</v>
      </c>
      <c r="AJ26" s="123">
        <f>SUMIF($E$7:$E$78,$AE26,$G$7:$G$78) + SUMIF($H$7:$H$78,$AE26,$F$7:$F$78)</f>
        <v>0</v>
      </c>
      <c r="AL26" s="123">
        <f>AI26-AJ26</f>
        <v>0</v>
      </c>
      <c r="AM26" s="123">
        <f>AL26-AL30</f>
        <v>0</v>
      </c>
      <c r="AN26" s="123">
        <f>AF26*3+AG26</f>
        <v>0</v>
      </c>
      <c r="AO26" s="123">
        <f>AN26/AN30*10+BA26</f>
        <v>0</v>
      </c>
      <c r="AP26" s="123">
        <f>AO26*10000000+BI26*100+AM26/AM30*10+AI26/AI30*1++IF(AQ26=0,ROW(),AQ26)/2000000</f>
        <v>8.3656500000000005E-4</v>
      </c>
      <c r="AQ26" s="126">
        <f>VLOOKUP(AE26,db_fifarank,2,FALSE)</f>
        <v>1673.13</v>
      </c>
      <c r="AR26" s="125">
        <f>AP26/AP30</f>
        <v>8.3586574397389256E-4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0</v>
      </c>
      <c r="L27" s="31">
        <f>VLOOKUP(1,AD26:AN29,3,FALSE)</f>
        <v>0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0 - 0</v>
      </c>
      <c r="P27" s="32">
        <f>L27*3+M27</f>
        <v>0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0</v>
      </c>
      <c r="AI27" s="123">
        <f>SUMIF($E$7:$E$78,$AE27,$F$7:$F$78) + SUMIF($H$7:$H$78,$AE27,$G$7:$G$78)</f>
        <v>0</v>
      </c>
      <c r="AJ27" s="123">
        <f>SUMIF($E$7:$E$78,$AE27,$G$7:$G$78) + SUMIF($H$7:$H$78,$AE27,$F$7:$F$78)</f>
        <v>0</v>
      </c>
      <c r="AL27" s="123">
        <f>AI27-AJ27</f>
        <v>0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7.5175000000000003E-4</v>
      </c>
      <c r="AQ27" s="126">
        <f>VLOOKUP(AE27,db_fifarank,2,FALSE)</f>
        <v>1503.5</v>
      </c>
      <c r="AR27" s="125">
        <f>AP27/AP30</f>
        <v>7.5112163792696765E-4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0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7.9033500000000008E-4</v>
      </c>
      <c r="AQ28" s="126">
        <f>VLOOKUP(AE28,db_fifarank,2,FALSE)</f>
        <v>1580.67</v>
      </c>
      <c r="AR28" s="125">
        <f>AP28/AP30</f>
        <v>7.8967438604723647E-4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7.9885170862037803E-4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0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0</v>
      </c>
      <c r="O30" s="36" t="str">
        <f>VLOOKUP(4,AD26:AN29,6,FALSE) &amp; " - " &amp; VLOOKUP(4,AD26:AN29,7,FALSE)</f>
        <v>0 - 0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1</v>
      </c>
      <c r="AG30" s="123">
        <f t="shared" si="15"/>
        <v>1</v>
      </c>
      <c r="AH30" s="123">
        <f t="shared" si="15"/>
        <v>1</v>
      </c>
      <c r="AI30" s="123">
        <f>MAX(AI26:AI29)+1</f>
        <v>1</v>
      </c>
      <c r="AL30" s="123">
        <f>MIN(AL26:AL29)</f>
        <v>0</v>
      </c>
      <c r="AM30" s="123">
        <f>MAX(AM26:AM29)+1</f>
        <v>1</v>
      </c>
      <c r="AN30" s="123">
        <f>MAX(AN26:AN29)+1</f>
        <v>1</v>
      </c>
      <c r="AO30" s="123">
        <f>MAX(AO26:AO29)+1</f>
        <v>1</v>
      </c>
      <c r="AP30" s="123">
        <f>MAX(AP26:AP29)+1</f>
        <v>1.000836565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50.000750689999997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Switzerland</v>
      </c>
      <c r="K81" s="97">
        <f>L81+M81+N81</f>
        <v>0</v>
      </c>
      <c r="L81" s="97">
        <f>VLOOKUP(1,$AD$80:$AN$91,3,FALSE)</f>
        <v>0</v>
      </c>
      <c r="M81" s="97">
        <f>VLOOKUP(1,$AD$80:$AN$91,4,FALSE)</f>
        <v>0</v>
      </c>
      <c r="N81" s="97">
        <f>VLOOKUP(1,$AD$80:$AN$91,5,FALSE)</f>
        <v>0</v>
      </c>
      <c r="O81" s="97" t="str">
        <f>VLOOKUP(1,$AD$80:$AN$91,6,FALSE) &amp; " - " &amp; VLOOKUP(1,$AD$80:$AN$91,7,FALSE)</f>
        <v>0 - 0</v>
      </c>
      <c r="P81" s="98">
        <f>L81*3+M81</f>
        <v>0</v>
      </c>
      <c r="AD81" s="123">
        <f t="shared" ref="AD81:AD91" si="38">COUNTIF($AP$80:$AP$91,CONCATENATE("&gt;=",AP81))</f>
        <v>1</v>
      </c>
      <c r="AE81" s="124" t="str">
        <f>J17</f>
        <v>Switzerland</v>
      </c>
      <c r="AF81" s="123">
        <f t="shared" ref="AF81:AF91" si="39">VLOOKUP($AE81,$AE$8:$AQ$78,2,FALSE)</f>
        <v>0</v>
      </c>
      <c r="AG81" s="123">
        <f>VLOOKUP($AE81,$AE$8:$AQ$78,3,FALSE)</f>
        <v>0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0</v>
      </c>
      <c r="AJ81" s="123">
        <f t="shared" ref="AJ81:AJ90" si="42">VLOOKUP($AE81,$AE$8:$AQ$78,6,FALSE)</f>
        <v>0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1</v>
      </c>
      <c r="AN81" s="123">
        <f t="shared" ref="AN81:AN90" si="45">VLOOKUP($AE81,$AE$8:$AQ$78,10,FALSE)</f>
        <v>0</v>
      </c>
      <c r="AP81" s="123">
        <f>AN81/AN92*10000+AM81/AM92*1000+AI81/AI92*100+IF(AQ81=0,ROW(),AQ81)/2000000</f>
        <v>500.00082470000001</v>
      </c>
      <c r="AQ81" s="126">
        <f t="shared" si="37"/>
        <v>1649.4</v>
      </c>
      <c r="AR81" s="125" t="str">
        <f>AR80&amp;IF(AD81&lt;=8,RIGHT(AK81,1),"")</f>
        <v>B</v>
      </c>
      <c r="AS81" s="129" t="str">
        <f t="shared" ref="AS81:AS91" si="46">IF(AD81&lt;=8,AE81,"")</f>
        <v>Switzerland</v>
      </c>
      <c r="AT81" s="130" t="str">
        <f>"Ⓑ "&amp;AE81</f>
        <v>Ⓑ Switzerland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Ⓓ Australia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9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1</v>
      </c>
      <c r="AN82" s="123">
        <f t="shared" si="45"/>
        <v>0</v>
      </c>
      <c r="AP82" s="123">
        <f>AN82/AN92*10000+AM82/AM92*1000+AI82/AI92*100+IF(AQ82=0,ROW(),AQ82)/2000000</f>
        <v>500.00074917500001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2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500.00079033499998</v>
      </c>
      <c r="AQ83" s="126">
        <f t="shared" si="37"/>
        <v>1580.67</v>
      </c>
      <c r="AR83" s="125" t="str">
        <f t="shared" si="50"/>
        <v>BD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500.00076648999999</v>
      </c>
      <c r="AQ84" s="126">
        <f t="shared" si="37"/>
        <v>1532.98</v>
      </c>
      <c r="AR84" s="125" t="str">
        <f t="shared" si="50"/>
        <v>BDE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1</v>
      </c>
      <c r="AN85" s="123">
        <f t="shared" si="45"/>
        <v>0</v>
      </c>
      <c r="AP85" s="123">
        <f>AN85/AN92*10000+AM85/AM92*1000+AI85/AI92*100+IF(AQ85=0,ROW(),AQ85)/2000000</f>
        <v>500.00075738499999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1</v>
      </c>
      <c r="AN86" s="123">
        <f t="shared" si="45"/>
        <v>0</v>
      </c>
      <c r="AP86" s="123">
        <f>AN86/AN92*10000+AM86/AM92*1000+AI86/AI92*100+IF(AQ86=0,ROW(),AQ86)/2000000</f>
        <v>500.00078162</v>
      </c>
      <c r="AQ86" s="126">
        <f t="shared" si="37"/>
        <v>1563.24</v>
      </c>
      <c r="AR86" s="125" t="str">
        <f t="shared" si="50"/>
        <v>BDEFG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1</v>
      </c>
      <c r="AN87" s="123">
        <f t="shared" si="45"/>
        <v>0</v>
      </c>
      <c r="AP87" s="123">
        <f>AN87/AN92*10000+AM87/AM92*1000+AI87/AI92*100+IF(AQ87=0,ROW(),AQ87)/2000000</f>
        <v>500.00071071500003</v>
      </c>
      <c r="AQ87" s="126">
        <f t="shared" si="37"/>
        <v>1421.43</v>
      </c>
      <c r="AR87" s="125" t="str">
        <f t="shared" si="50"/>
        <v>BDEFG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500.00077547000001</v>
      </c>
      <c r="AQ88" s="126">
        <f t="shared" si="37"/>
        <v>1550.94</v>
      </c>
      <c r="AR88" s="125" t="str">
        <f t="shared" si="50"/>
        <v>BDEFGI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500.00078213</v>
      </c>
      <c r="AQ89" s="126">
        <f t="shared" si="37"/>
        <v>1564.26</v>
      </c>
      <c r="AR89" s="125" t="str">
        <f t="shared" si="50"/>
        <v>BDEFGIJ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1</v>
      </c>
      <c r="AN90" s="123">
        <f t="shared" si="45"/>
        <v>0</v>
      </c>
      <c r="AP90" s="123">
        <f>AN90/AN92*10000+AM90/AM92*1000+AI90/AI92*100+IF(AQ90=0,ROW(),AQ90)/2000000</f>
        <v>500.00073917499998</v>
      </c>
      <c r="AQ90" s="126">
        <f t="shared" si="37"/>
        <v>1478.35</v>
      </c>
      <c r="AR90" s="125" t="str">
        <f t="shared" si="50"/>
        <v>BDEFGIJ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BDEFGIJL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Czech Republic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0</v>
      </c>
      <c r="AF92" s="123">
        <f>MAX(AF80:AF91)+1</f>
        <v>1</v>
      </c>
      <c r="AG92" s="123">
        <f>MAX(AG80:AG91)+1</f>
        <v>1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-1</v>
      </c>
      <c r="AM92" s="123">
        <f>MAX(AM80:AM91)+1</f>
        <v>2</v>
      </c>
      <c r="AN92" s="123">
        <f>MAX(AN80:AN91)+1</f>
        <v>1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74</v>
      </c>
      <c r="C3" s="121" t="str">
        <f>'2026 World Cup'!AR91</f>
        <v>BDEFGIJL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2026-06-12T22:35:29Z</dcterms:modified>
  <cp:category>Sports</cp:category>
  <cp:contentStatus/>
</cp:coreProperties>
</file>
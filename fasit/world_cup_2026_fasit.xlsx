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avas\git\VM2026\fasit\"/>
    </mc:Choice>
  </mc:AlternateContent>
  <xr:revisionPtr revIDLastSave="0" documentId="13_ncr:1_{C2A71133-A3E6-461B-9315-DAE7F4FC0512}" xr6:coauthVersionLast="47" xr6:coauthVersionMax="47" xr10:uidLastSave="{00000000-0000-0000-0000-000000000000}"/>
  <bookViews>
    <workbookView xWindow="760" yWindow="760" windowWidth="17180" windowHeight="1849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S68" i="3"/>
  <c r="S23" i="3"/>
  <c r="S48" i="3"/>
  <c r="S43" i="3"/>
  <c r="S19" i="3"/>
  <c r="S20" i="3"/>
  <c r="S44" i="3"/>
  <c r="S46" i="3"/>
  <c r="S21" i="3"/>
  <c r="S45" i="3"/>
  <c r="S18" i="3"/>
  <c r="T18" i="3" s="1"/>
  <c r="S63" i="3"/>
  <c r="S17" i="3"/>
  <c r="T17" i="3" s="1"/>
  <c r="S41" i="3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T49" i="3"/>
  <c r="S47" i="3"/>
  <c r="S67" i="3"/>
  <c r="T68" i="3"/>
  <c r="T48" i="3"/>
  <c r="T43" i="3"/>
  <c r="S72" i="3"/>
  <c r="T20" i="3"/>
  <c r="T44" i="3"/>
  <c r="T46" i="3"/>
  <c r="S70" i="3"/>
  <c r="T45" i="3"/>
  <c r="S42" i="3"/>
  <c r="S64" i="3"/>
  <c r="T63" i="3"/>
  <c r="T41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60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<sst xmlns="http://schemas.openxmlformats.org/spreadsheetml/2006/main" count="9786" uniqueCount="3698">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</sst>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4.5" x14ac:dyDescent="0.35"/>
  <cols>
    <col min="1" max="1" width="24.1796875" bestFit="1" customWidth="1"/>
    <col min="2" max="42" width="14" customWidth="1"/>
  </cols>
  <sheetData>
    <row r="1" spans="1:4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3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3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3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3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3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3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3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3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3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3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3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3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3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3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3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3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3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3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3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3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3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3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3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3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3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3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3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3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3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3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3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3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3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3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3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3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3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3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3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3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3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3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3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3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3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3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3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3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3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3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3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3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3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3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3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3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3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3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3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3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3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3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3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3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3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3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3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3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3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3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3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3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3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3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3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3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3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3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3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3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3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3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3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3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3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3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3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3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3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3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3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3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3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3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3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3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3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3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3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3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3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3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3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3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3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3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3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3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3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3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3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3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3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3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3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3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3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3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3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3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35">
      <c r="A145" s="1"/>
    </row>
    <row r="146" spans="1:42" x14ac:dyDescent="0.35">
      <c r="A146" s="1"/>
    </row>
    <row r="147" spans="1:42" x14ac:dyDescent="0.35">
      <c r="A147" s="1"/>
    </row>
    <row r="148" spans="1:42" x14ac:dyDescent="0.35">
      <c r="A148" s="1"/>
    </row>
    <row r="149" spans="1:42" x14ac:dyDescent="0.35">
      <c r="A149" s="1"/>
    </row>
    <row r="150" spans="1:42" x14ac:dyDescent="0.35">
      <c r="A150" s="1"/>
    </row>
    <row r="151" spans="1:42" x14ac:dyDescent="0.35">
      <c r="A151" s="1"/>
    </row>
    <row r="152" spans="1:42" x14ac:dyDescent="0.35">
      <c r="A152" s="1"/>
    </row>
    <row r="153" spans="1:42" x14ac:dyDescent="0.35">
      <c r="A153" s="1"/>
    </row>
    <row r="154" spans="1:42" x14ac:dyDescent="0.35">
      <c r="A154" s="1"/>
    </row>
    <row r="155" spans="1:42" x14ac:dyDescent="0.35">
      <c r="A155" s="1"/>
    </row>
    <row r="156" spans="1:42" x14ac:dyDescent="0.35">
      <c r="A156" s="1"/>
    </row>
    <row r="157" spans="1:42" x14ac:dyDescent="0.3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796875" defaultRowHeight="14.5" x14ac:dyDescent="0.35"/>
  <cols>
    <col min="1" max="1" width="1.1796875" style="10" customWidth="1"/>
    <col min="2" max="2" width="18.81640625" style="10" bestFit="1" customWidth="1"/>
    <col min="3" max="3" width="20.26953125" style="10" customWidth="1"/>
    <col min="4" max="4" width="9.1796875" style="10"/>
    <col min="5" max="5" width="1.1796875" style="10" customWidth="1"/>
    <col min="6" max="6" width="9.1796875" style="10"/>
    <col min="7" max="7" width="27.453125" style="10" bestFit="1" customWidth="1"/>
    <col min="8" max="8" width="2.7265625" style="10" customWidth="1"/>
    <col min="9" max="9" width="1.1796875" style="10" customWidth="1"/>
    <col min="10" max="16384" width="9.1796875" style="10"/>
  </cols>
  <sheetData>
    <row r="1" spans="2:27" ht="7.5" customHeight="1" x14ac:dyDescent="0.35"/>
    <row r="2" spans="2:27" ht="16" thickBot="1" x14ac:dyDescent="0.4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35">
      <c r="B3" s="42"/>
      <c r="C3" s="43"/>
      <c r="D3" s="44"/>
      <c r="F3" s="42"/>
      <c r="G3" s="43"/>
      <c r="H3" s="44"/>
    </row>
    <row r="4" spans="2:27" x14ac:dyDescent="0.3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3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3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3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3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3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3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35">
      <c r="B11" s="54"/>
      <c r="C11" s="43"/>
      <c r="D11" s="44"/>
      <c r="F11" s="51"/>
      <c r="G11" s="52"/>
      <c r="H11" s="53"/>
    </row>
    <row r="12" spans="2:27" ht="15" customHeight="1" x14ac:dyDescent="0.3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3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3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3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3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3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5" x14ac:dyDescent="0.3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3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3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3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3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3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3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3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3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3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3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3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3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3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3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3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3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3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3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3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3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3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3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3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3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3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3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3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3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3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3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3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3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3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3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3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3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3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3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3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3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3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3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3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3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3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3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3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3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3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3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3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3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3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3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35" sqref="G35"/>
    </sheetView>
  </sheetViews>
  <sheetFormatPr defaultColWidth="9.1796875" defaultRowHeight="14.5" x14ac:dyDescent="0.35"/>
  <cols>
    <col min="1" max="1" width="4.81640625" style="3" customWidth="1"/>
    <col min="2" max="2" width="6.1796875" style="3" customWidth="1"/>
    <col min="3" max="3" width="11.7265625" style="3" bestFit="1" customWidth="1"/>
    <col min="4" max="4" width="9" style="4" customWidth="1"/>
    <col min="5" max="5" width="22.453125" style="5" customWidth="1"/>
    <col min="6" max="7" width="4.26953125" style="6" customWidth="1"/>
    <col min="8" max="8" width="22.453125" style="7" customWidth="1"/>
    <col min="9" max="9" width="3.453125" style="2" customWidth="1"/>
    <col min="10" max="10" width="19.453125" style="8" customWidth="1"/>
    <col min="11" max="14" width="5.453125" style="9" customWidth="1"/>
    <col min="15" max="15" width="7.7265625" style="9" customWidth="1"/>
    <col min="16" max="16" width="6.7265625" style="9" customWidth="1"/>
    <col min="17" max="17" width="3.453125" style="68" customWidth="1"/>
    <col min="18" max="18" width="15.453125" style="123" hidden="1" customWidth="1"/>
    <col min="19" max="20" width="16" style="127" hidden="1" customWidth="1"/>
    <col min="21" max="28" width="4" style="123" hidden="1" customWidth="1"/>
    <col min="29" max="29" width="4.26953125" style="124" hidden="1" customWidth="1"/>
    <col min="30" max="30" width="5.453125" style="123" hidden="1" customWidth="1"/>
    <col min="31" max="31" width="13.453125" style="124" hidden="1" customWidth="1"/>
    <col min="32" max="36" width="5.453125" style="123" hidden="1" customWidth="1"/>
    <col min="37" max="39" width="6" style="123" hidden="1" customWidth="1"/>
    <col min="40" max="40" width="5.453125" style="123" hidden="1" customWidth="1"/>
    <col min="41" max="42" width="6" style="123" hidden="1" customWidth="1"/>
    <col min="43" max="43" width="7.1796875" style="125" hidden="1" customWidth="1"/>
    <col min="44" max="44" width="10" style="125" hidden="1" customWidth="1"/>
    <col min="45" max="45" width="15.26953125" style="125" hidden="1" customWidth="1"/>
    <col min="46" max="50" width="4.7265625" style="126" hidden="1" customWidth="1"/>
    <col min="51" max="51" width="9.1796875" style="125" hidden="1" customWidth="1"/>
    <col min="52" max="61" width="9.1796875" style="126" hidden="1" customWidth="1"/>
    <col min="62" max="62" width="9.1796875" style="112" hidden="1" customWidth="1"/>
    <col min="63" max="63" width="3.26953125" style="2" customWidth="1"/>
    <col min="64" max="64" width="19.7265625" style="2" customWidth="1"/>
    <col min="65" max="67" width="3" style="2" customWidth="1"/>
    <col min="68" max="69" width="2" style="111" customWidth="1"/>
    <col min="70" max="70" width="3.26953125" style="2" customWidth="1"/>
    <col min="71" max="71" width="19.7265625" style="2" customWidth="1"/>
    <col min="72" max="74" width="3" style="2" customWidth="1"/>
    <col min="75" max="76" width="2" style="111" customWidth="1"/>
    <col min="77" max="77" width="4" style="2" customWidth="1"/>
    <col min="78" max="78" width="19.7265625" style="2" customWidth="1"/>
    <col min="79" max="81" width="3" style="2" customWidth="1"/>
    <col min="82" max="83" width="2" style="111" customWidth="1"/>
    <col min="84" max="84" width="3.81640625" style="2" customWidth="1"/>
    <col min="85" max="85" width="19.7265625" style="2" customWidth="1"/>
    <col min="86" max="88" width="3" style="2" customWidth="1"/>
    <col min="89" max="90" width="2" style="111" customWidth="1"/>
    <col min="91" max="91" width="3.7265625" style="2" customWidth="1"/>
    <col min="92" max="92" width="19.7265625" style="2" customWidth="1"/>
    <col min="93" max="95" width="3" style="2" customWidth="1"/>
    <col min="96" max="96" width="2" style="111" customWidth="1"/>
    <col min="97" max="16384" width="9.1796875" style="2"/>
  </cols>
  <sheetData>
    <row r="1" spans="1:95" ht="46" x14ac:dyDescent="0.3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3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3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35"/>
    <row r="5" spans="1:95" x14ac:dyDescent="0.3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3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3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3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3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3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3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3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3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3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3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3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3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3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3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3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3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3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3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3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3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3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3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3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3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3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3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3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3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3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3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3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3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3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3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3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3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3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3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3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3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3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3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3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3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3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3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3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3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3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3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3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3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3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3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3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3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3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3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3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3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3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3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3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3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3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3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3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3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3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3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3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3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3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3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3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6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5566.6674173566671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3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7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5066.6673595866669</v>
      </c>
      <c r="AQ81" s="126">
        <f t="shared" si="37"/>
        <v>1385.84</v>
      </c>
      <c r="AR81" s="125" t="str">
        <f>AR80&amp;IF(AD81&lt;=8,RIGHT(AK81,1),"")</f>
        <v>AB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3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1</v>
      </c>
      <c r="AP82" s="123">
        <f>AN82/AN92*10000+AM82/AM92*1000+AI82/AI92*100+IF(AQ82=0,ROW(),AQ82)/2000000</f>
        <v>5783.3342112683331</v>
      </c>
      <c r="AQ82" s="126">
        <f t="shared" si="37"/>
        <v>1755.87</v>
      </c>
      <c r="AR82" s="125" t="str">
        <f t="shared" ref="AR82:AR91" si="50">AR81&amp;IF(AD82&lt;=8,RIGHT(AK82,1),"")</f>
        <v>ABC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3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Ⓖ Belgium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0</v>
      </c>
      <c r="AP83" s="123">
        <f>AN83/AN92*10000+AM83/AM92*1000+AI83/AI92*100+IF(AQ83=0,ROW(),AQ83)/2000000</f>
        <v>250.00079951999999</v>
      </c>
      <c r="AQ83" s="126">
        <f t="shared" si="37"/>
        <v>1599.04</v>
      </c>
      <c r="AR83" s="125" t="str">
        <f t="shared" si="50"/>
        <v>ABC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3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Ⓚ DR Congo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8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0</v>
      </c>
      <c r="AP84" s="123">
        <f>AN84/AN92*10000+AM84/AM92*1000+AI84/AI92*100+IF(AQ84=0,ROW(),AQ84)/2000000</f>
        <v>500.00079739</v>
      </c>
      <c r="AQ84" s="126">
        <f t="shared" si="37"/>
        <v>1594.78</v>
      </c>
      <c r="AR84" s="125" t="str">
        <f t="shared" si="50"/>
        <v>ABCE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3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Ⓗ Spain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1</v>
      </c>
      <c r="AP85" s="123">
        <f>AN85/AN92*10000+AM85/AM92*1000+AI85/AI92*100+IF(AQ85=0,ROW(),AQ85)/2000000</f>
        <v>5816.6674968816669</v>
      </c>
      <c r="AQ85" s="126">
        <f t="shared" si="37"/>
        <v>1660.43</v>
      </c>
      <c r="AR85" s="125" t="str">
        <f t="shared" si="50"/>
        <v>ABCEF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3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Ⓐ Czech Republic</v>
      </c>
      <c r="K86" s="100">
        <f t="shared" si="47"/>
        <v>2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2 - 3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1</v>
      </c>
      <c r="AP86" s="123">
        <f>AN86/AN92*10000+AM86/AM92*1000+AI86/AI92*100+IF(AQ86=0,ROW(),AQ86)/2000000</f>
        <v>5783.3342006883331</v>
      </c>
      <c r="AQ86" s="126">
        <f t="shared" si="37"/>
        <v>1734.71</v>
      </c>
      <c r="AR86" s="125" t="str">
        <f t="shared" si="50"/>
        <v>ABCEFG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3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Ⓑ Bosnia and Herzegovina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2 - 5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1</v>
      </c>
      <c r="AP87" s="123">
        <f>AN87/AN92*10000+AM87/AM92*1000+AI87/AI92*100+IF(AQ87=0,ROW(),AQ87)/2000000</f>
        <v>5750.0009381999998</v>
      </c>
      <c r="AQ87" s="126">
        <f t="shared" si="37"/>
        <v>1876.4</v>
      </c>
      <c r="AR87" s="125" t="str">
        <f t="shared" si="50"/>
        <v>ABCEFGH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3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Ⓔ Ecuador</v>
      </c>
      <c r="K88" s="100">
        <f t="shared" si="47"/>
        <v>1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1</v>
      </c>
      <c r="O88" s="100" t="str">
        <f>VLOOKUP(8,$AD$80:$AN$91,6,FALSE) &amp; " - " &amp; VLOOKUP(8,$AD$80:$AN$91,7,FALSE)</f>
        <v>0 - 1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10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283.33417782833334</v>
      </c>
      <c r="AQ88" s="126">
        <f t="shared" si="37"/>
        <v>1688.99</v>
      </c>
      <c r="AR88" s="125" t="str">
        <f t="shared" si="50"/>
        <v>ABCEFGH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3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Ⓛ Panama</v>
      </c>
      <c r="K89" s="103">
        <f t="shared" si="47"/>
        <v>1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11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283.33402905833333</v>
      </c>
      <c r="AQ89" s="126">
        <f t="shared" si="37"/>
        <v>1391.45</v>
      </c>
      <c r="AR89" s="125" t="str">
        <f t="shared" si="50"/>
        <v>ABCEFGH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3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Ⓘ Senegal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1 - 3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4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1</v>
      </c>
      <c r="AP90" s="123">
        <f>AN90/AN92*10000+AM90/AM92*1000+AI90/AI92*100+IF(AQ90=0,ROW(),AQ90)/2000000</f>
        <v>5783.3340725083326</v>
      </c>
      <c r="AQ90" s="126">
        <f t="shared" si="37"/>
        <v>1478.35</v>
      </c>
      <c r="AR90" s="125" t="str">
        <f t="shared" si="50"/>
        <v>ABCEFGHK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3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Ⓙ Jordan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9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ABCEFGHK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3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6</v>
      </c>
      <c r="AL92" s="123">
        <f>MIN(AL80:AL91)</f>
        <v>-3</v>
      </c>
      <c r="AM92" s="123">
        <f>MAX(AM80:AM91)+1</f>
        <v>4</v>
      </c>
      <c r="AN92" s="123">
        <f>MAX(AN80:AN91)+1</f>
        <v>2</v>
      </c>
      <c r="AS92" s="126" t="b">
        <f>SUM(K9:K78)=144</f>
        <v>0</v>
      </c>
    </row>
    <row r="93" spans="1:46" x14ac:dyDescent="0.3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3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3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3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3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3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3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3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3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796875" defaultRowHeight="14.5" x14ac:dyDescent="0.35"/>
  <cols>
    <col min="1" max="1" width="2.453125" style="82" customWidth="1"/>
    <col min="2" max="2" width="9.1796875" style="81"/>
    <col min="3" max="3" width="13.7265625" style="81" customWidth="1"/>
    <col min="4" max="11" width="9.453125" style="81" customWidth="1"/>
    <col min="12" max="16384" width="9.1796875" style="82"/>
  </cols>
  <sheetData>
    <row r="1" spans="2:11" ht="8.25" customHeight="1" x14ac:dyDescent="0.35"/>
    <row r="2" spans="2:11" ht="21" x14ac:dyDescent="0.35">
      <c r="B2" s="108" t="s">
        <v>3193</v>
      </c>
    </row>
    <row r="3" spans="2:11" x14ac:dyDescent="0.35">
      <c r="B3" s="109">
        <f>MATCH(C3,C6:C500,0)</f>
        <v>423</v>
      </c>
      <c r="C3" s="121" t="str">
        <f>'2026 World Cup'!AR91</f>
        <v>ABCEFGHK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3E</v>
      </c>
      <c r="K3" s="122" t="str">
        <f>VLOOKUP($C3,$C$6:$K$500,9,FALSE)</f>
        <v>3K</v>
      </c>
    </row>
    <row r="5" spans="2:11" ht="19.5" customHeight="1" x14ac:dyDescent="0.3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3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3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3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3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3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3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3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3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3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3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3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3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3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3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3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3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3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3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3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3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3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3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3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3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3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3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3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3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3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3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3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3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3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3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3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3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3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3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3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3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3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3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3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3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3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3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3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3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3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3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3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3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3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3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3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3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3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3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3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3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3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3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3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3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3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3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3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3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3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3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3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3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3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3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3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3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3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3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3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3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3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3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3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3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3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3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3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3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3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3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3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3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3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3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3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3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3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3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3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3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3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3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3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3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3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3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3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3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3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3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3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3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3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3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3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3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3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3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3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3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3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3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3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3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3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3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3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3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3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3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3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3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3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3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3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3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3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3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3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3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3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3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3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3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3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3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3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3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3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3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3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3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3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3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3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3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3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3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3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3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3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3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3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3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3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3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3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3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3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3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3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3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3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3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3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3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3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3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3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3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3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3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3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3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3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3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3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3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3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3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3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3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3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3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3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3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3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3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3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3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3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3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3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3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3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3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3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3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3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3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3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3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3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3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3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3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3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3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3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3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3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3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3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3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3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3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3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3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3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3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3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3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3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3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3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3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3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3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3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3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3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3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3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3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3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3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3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3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3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3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3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3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3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3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3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3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3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3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3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3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3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3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3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3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3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3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3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3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3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3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3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3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3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3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3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3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3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3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3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3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3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3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3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3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3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3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3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3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3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3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3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3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3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3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3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3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3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3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3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3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3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3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3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3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3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3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3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3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3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3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3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3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3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3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3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3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3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3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3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3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3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3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3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3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3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3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3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3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3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3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3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3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3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3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3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3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3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3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3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3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3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3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3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3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3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3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3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3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3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3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3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3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3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3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3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3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3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3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3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3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3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3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3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3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3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3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3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3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3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3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3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3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3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3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3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3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3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3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3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3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3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3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3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3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3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3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3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3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3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3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3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3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3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3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3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3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3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3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3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3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3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3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3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3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3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3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3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3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3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3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3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3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3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3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3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3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3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3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3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3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3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3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3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3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3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3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3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3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3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3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3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3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3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3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3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3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3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3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3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3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3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3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3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3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3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3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3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3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3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3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3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3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3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3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3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3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3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3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3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3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3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3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3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3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3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3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3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3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3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3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3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3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3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3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3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3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3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3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3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3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3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3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3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3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3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3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3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3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3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3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3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3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3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3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3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2026-06-19T07:05:42Z</dcterms:modified>
  <cp:category>Sports</cp:category>
  <cp:contentStatus/>
</cp:coreProperties>
</file>
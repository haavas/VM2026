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8C7612EA-D857-45B2-9F00-4F766F3341ED}" xr6:coauthVersionLast="47" xr6:coauthVersionMax="47" xr10:uidLastSave="{00000000-0000-0000-0000-000000000000}"/>
  <bookViews>
    <workbookView xWindow="6120" yWindow="2910" windowWidth="28800" windowHeight="15345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S75" i="3"/>
  <c r="S25" i="3"/>
  <c r="S49" i="3"/>
  <c r="S68" i="3"/>
  <c r="S23" i="3"/>
  <c r="S48" i="3"/>
  <c r="S43" i="3"/>
  <c r="S19" i="3"/>
  <c r="S20" i="3"/>
  <c r="S44" i="3"/>
  <c r="S46" i="3"/>
  <c r="S21" i="3"/>
  <c r="S45" i="3"/>
  <c r="S18" i="3"/>
  <c r="S63" i="3"/>
  <c r="S17" i="3"/>
  <c r="T17" i="3" s="1"/>
  <c r="S41" i="3"/>
  <c r="S15" i="3"/>
  <c r="S61" i="3"/>
  <c r="S16" i="3"/>
  <c r="S39" i="3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26" i="3"/>
  <c r="T75" i="3"/>
  <c r="T25" i="3"/>
  <c r="T49" i="3"/>
  <c r="S47" i="3"/>
  <c r="S67" i="3"/>
  <c r="T68" i="3"/>
  <c r="T23" i="3"/>
  <c r="T48" i="3"/>
  <c r="T43" i="3"/>
  <c r="S72" i="3"/>
  <c r="T19" i="3"/>
  <c r="T20" i="3"/>
  <c r="T44" i="3"/>
  <c r="T46" i="3"/>
  <c r="S70" i="3"/>
  <c r="T21" i="3"/>
  <c r="T45" i="3"/>
  <c r="S42" i="3"/>
  <c r="S64" i="3"/>
  <c r="T18" i="3"/>
  <c r="T63" i="3"/>
  <c r="T41" i="3"/>
  <c r="S40" i="3"/>
  <c r="S62" i="3"/>
  <c r="T15" i="3"/>
  <c r="T61" i="3"/>
  <c r="T16" i="3"/>
  <c r="T39" i="3"/>
  <c r="S38" i="3"/>
  <c r="S65" i="3"/>
  <c r="T66" i="3"/>
  <c r="T37" i="3"/>
  <c r="S55" i="3"/>
  <c r="T56" i="3"/>
  <c r="T32" i="3"/>
  <c r="S57" i="3"/>
  <c r="T14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69" i="3" l="1"/>
  <c r="AR71" i="3"/>
  <c r="AR70" i="3"/>
  <c r="AR27" i="3"/>
  <c r="AR28" i="3"/>
  <c r="AR29" i="3"/>
  <c r="AR21" i="3"/>
  <c r="AR9" i="3"/>
  <c r="AR10" i="3"/>
  <c r="AR11" i="3"/>
  <c r="AD9" i="3" s="1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N58" i="3" s="1"/>
  <c r="AR16" i="3"/>
  <c r="AR17" i="3"/>
  <c r="AD59" i="3"/>
  <c r="AD68" i="3" l="1"/>
  <c r="AD70" i="3"/>
  <c r="AD71" i="3"/>
  <c r="AD69" i="3"/>
  <c r="AD75" i="3"/>
  <c r="AD28" i="3"/>
  <c r="AD8" i="3"/>
  <c r="N12" i="3" s="1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M76" i="3" s="1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N45" i="3" s="1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M51" i="3" s="1"/>
  <c r="N59" i="3"/>
  <c r="AD17" i="3"/>
  <c r="L69" i="3"/>
  <c r="M69" i="3"/>
  <c r="N69" i="3"/>
  <c r="O69" i="3"/>
  <c r="L70" i="3"/>
  <c r="M70" i="3"/>
  <c r="N70" i="3"/>
  <c r="O70" i="3"/>
  <c r="L71" i="3"/>
  <c r="M71" i="3"/>
  <c r="N71" i="3"/>
  <c r="O71" i="3"/>
  <c r="L72" i="3"/>
  <c r="M72" i="3"/>
  <c r="N72" i="3"/>
  <c r="O72" i="3"/>
  <c r="J72" i="3"/>
  <c r="J71" i="3"/>
  <c r="AE90" i="3" s="1"/>
  <c r="AQ90" i="3" s="1"/>
  <c r="J70" i="3"/>
  <c r="AS69" i="3" s="1"/>
  <c r="BL26" i="3" s="1"/>
  <c r="J69" i="3"/>
  <c r="AS68" i="3" s="1"/>
  <c r="BL70" i="3" s="1"/>
  <c r="L9" i="3" l="1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K9" i="3" s="1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P76" i="3" s="1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AF90" i="3"/>
  <c r="AG90" i="3"/>
  <c r="AH90" i="3"/>
  <c r="AI90" i="3"/>
  <c r="AJ90" i="3"/>
  <c r="AL90" i="3"/>
  <c r="AN90" i="3"/>
  <c r="AT90" i="3"/>
  <c r="P72" i="3"/>
  <c r="K72" i="3"/>
  <c r="P71" i="3"/>
  <c r="K71" i="3"/>
  <c r="P70" i="3"/>
  <c r="K70" i="3"/>
  <c r="P69" i="3"/>
  <c r="K69" i="3"/>
  <c r="P12" i="3"/>
  <c r="P9" i="3" l="1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/>
  <c r="AP85" i="3"/>
  <c r="AP83" i="3" l="1"/>
  <c r="AP82" i="3"/>
  <c r="AP88" i="3"/>
  <c r="AP90" i="3"/>
  <c r="AP86" i="3"/>
  <c r="AP81" i="3"/>
  <c r="AD81" i="3" s="1"/>
  <c r="AS81" i="3" s="1"/>
  <c r="AP89" i="3"/>
  <c r="AP84" i="3"/>
  <c r="AD84" i="3" s="1"/>
  <c r="AS84" i="3" s="1"/>
  <c r="AP80" i="3"/>
  <c r="AD82" i="3" s="1"/>
  <c r="AS82" i="3" s="1"/>
  <c r="AD85" i="3"/>
  <c r="AS85" i="3" s="1"/>
  <c r="AD89" i="3"/>
  <c r="AS89" i="3" s="1"/>
  <c r="AD86" i="3"/>
  <c r="AS86" i="3" s="1"/>
  <c r="AD83" i="3" l="1"/>
  <c r="AS83" i="3" s="1"/>
  <c r="AD91" i="3"/>
  <c r="AS91" i="3" s="1"/>
  <c r="AD87" i="3"/>
  <c r="AS87" i="3" s="1"/>
  <c r="AD80" i="3"/>
  <c r="N84" i="3" s="1"/>
  <c r="AD88" i="3"/>
  <c r="AS88" i="3" s="1"/>
  <c r="AD90" i="3"/>
  <c r="AS90" i="3" s="1"/>
  <c r="J92" i="3"/>
  <c r="M88" i="3"/>
  <c r="O87" i="3"/>
  <c r="AS80" i="3"/>
  <c r="O83" i="3"/>
  <c r="L83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N87" i="3"/>
  <c r="M83" i="3"/>
  <c r="N91" i="3"/>
  <c r="L92" i="3"/>
  <c r="O81" i="3"/>
  <c r="M82" i="3"/>
  <c r="M86" i="3"/>
  <c r="M92" i="3"/>
  <c r="J91" i="3"/>
  <c r="M81" i="3"/>
  <c r="O84" i="3"/>
  <c r="N88" i="3"/>
  <c r="L90" i="3" l="1"/>
  <c r="J90" i="3"/>
  <c r="O88" i="3"/>
  <c r="O91" i="3"/>
  <c r="J82" i="3"/>
  <c r="O82" i="3"/>
  <c r="L81" i="3"/>
  <c r="N83" i="3"/>
  <c r="J88" i="3"/>
  <c r="J84" i="3"/>
  <c r="M90" i="3"/>
  <c r="P90" i="3" s="1"/>
  <c r="N81" i="3"/>
  <c r="K81" i="3" s="1"/>
  <c r="N82" i="3"/>
  <c r="O89" i="3"/>
  <c r="L91" i="3"/>
  <c r="L85" i="3"/>
  <c r="J83" i="3"/>
  <c r="L84" i="3"/>
  <c r="P84" i="3" s="1"/>
  <c r="J85" i="3"/>
  <c r="M89" i="3"/>
  <c r="N92" i="3"/>
  <c r="K92" i="3" s="1"/>
  <c r="O92" i="3"/>
  <c r="J87" i="3"/>
  <c r="L89" i="3"/>
  <c r="M84" i="3"/>
  <c r="L82" i="3"/>
  <c r="K82" i="3" s="1"/>
  <c r="M87" i="3"/>
  <c r="L86" i="3"/>
  <c r="M91" i="3"/>
  <c r="P91" i="3" s="1"/>
  <c r="L88" i="3"/>
  <c r="P88" i="3" s="1"/>
  <c r="L87" i="3"/>
  <c r="J81" i="3"/>
  <c r="O90" i="3"/>
  <c r="J86" i="3"/>
  <c r="O86" i="3"/>
  <c r="N86" i="3"/>
  <c r="J89" i="3"/>
  <c r="N85" i="3"/>
  <c r="O85" i="3"/>
  <c r="M85" i="3"/>
  <c r="P85" i="3" s="1"/>
  <c r="N89" i="3"/>
  <c r="N90" i="3"/>
  <c r="P92" i="3"/>
  <c r="K91" i="3"/>
  <c r="P81" i="3"/>
  <c r="K83" i="3"/>
  <c r="K87" i="3"/>
  <c r="P83" i="3"/>
  <c r="E3" i="4"/>
  <c r="H3" i="4"/>
  <c r="BL39" i="3" s="1"/>
  <c r="I3" i="4"/>
  <c r="BL15" i="3" s="1"/>
  <c r="G3" i="4"/>
  <c r="BL11" i="3" s="1"/>
  <c r="J3" i="4"/>
  <c r="B3" i="4"/>
  <c r="D3" i="4"/>
  <c r="K3" i="4"/>
  <c r="K90" i="3" l="1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<sst xmlns="http://schemas.openxmlformats.org/spreadsheetml/2006/main" count="9786" uniqueCount="3698">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</sst>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5703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H17" sqref="H17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5703125" style="5" customWidth="1"/>
    <col min="6" max="7" width="4.28515625" style="6" customWidth="1"/>
    <col min="8" max="8" width="22.5703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/>
      <c r="G15" s="20"/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/>
      </c>
      <c r="T15" s="127" t="str">
        <f t="shared" si="2"/>
        <v/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 t="str">
        <f t="shared" si="6"/>
        <v/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/>
      <c r="G18" s="20"/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/>
      </c>
      <c r="T18" s="127" t="str">
        <f t="shared" si="2"/>
        <v/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 t="str">
        <f t="shared" si="6"/>
        <v/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/>
      <c r="G19" s="20"/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/>
      </c>
      <c r="T19" s="127" t="str">
        <f t="shared" si="2"/>
        <v/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 t="str">
        <f t="shared" si="6"/>
        <v/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/>
      <c r="G20" s="20"/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/>
      </c>
      <c r="T20" s="127" t="str">
        <f t="shared" si="2"/>
        <v/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 t="str">
        <f t="shared" si="6"/>
        <v/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/>
      <c r="G21" s="20"/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/>
      </c>
      <c r="T21" s="127" t="str">
        <f t="shared" si="2"/>
        <v/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 t="str">
        <f t="shared" si="6"/>
        <v/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/>
      <c r="G22" s="20"/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/>
      </c>
      <c r="T22" s="127" t="str">
        <f t="shared" si="2"/>
        <v/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 t="str">
        <f t="shared" si="6"/>
        <v/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Ecuador</v>
      </c>
      <c r="K34" s="23">
        <f>L34+M34+N34</f>
        <v>0</v>
      </c>
      <c r="L34" s="23">
        <f>VLOOKUP(2,AD32:AN35,3,FALSE)</f>
        <v>0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0 - 0</v>
      </c>
      <c r="P34" s="34">
        <f>L34*3+M34</f>
        <v>0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3</v>
      </c>
      <c r="AE34" s="124" t="str">
        <f>VLOOKUP("Ivory Coast",T,lang,FALSE)</f>
        <v>Ivory Coast</v>
      </c>
      <c r="AF34" s="123">
        <f>COUNTIF($S$7:$T$78,"=" &amp; AE34 &amp; "_win")</f>
        <v>0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0</v>
      </c>
      <c r="AJ34" s="123">
        <f>SUMIF($E$7:$E$78,$AE34,$G$7:$G$78) + SUMIF($H$7:$H$78,$AE34,$F$7:$F$78)</f>
        <v>0</v>
      </c>
      <c r="AL34" s="123">
        <f>AI34-AJ34</f>
        <v>0</v>
      </c>
      <c r="AM34" s="123">
        <f>AL34-AL36</f>
        <v>6</v>
      </c>
      <c r="AN34" s="123">
        <f>AF34*3+AG34</f>
        <v>0</v>
      </c>
      <c r="AO34" s="123">
        <f>AN34/AN36*10+BA34</f>
        <v>0</v>
      </c>
      <c r="AP34" s="123">
        <f>AO34*10000000+BI34*100+AM34/AM36*10+AI34/AI36*1++IF(AQ34=0,ROW(),AQ34)/2000000</f>
        <v>4.616151105384616</v>
      </c>
      <c r="AQ34" s="126">
        <f>VLOOKUP(AE34,db_fifarank,2,FALSE)</f>
        <v>1532.98</v>
      </c>
      <c r="AR34" s="125">
        <f>AP34/AP36</f>
        <v>6.1548672290480187E-8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Ivory Coast</v>
      </c>
      <c r="K35" s="23">
        <f>L35+M35+N35</f>
        <v>0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0</v>
      </c>
      <c r="O35" s="23" t="str">
        <f>VLOOKUP(3,AD32:AN35,6,FALSE) &amp; " - " &amp; VLOOKUP(3,AD32:AN35,7,FALSE)</f>
        <v>0 - 0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2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0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0</v>
      </c>
      <c r="AL35" s="123">
        <f>AI35-AJ35</f>
        <v>0</v>
      </c>
      <c r="AM35" s="123">
        <f>AL35-AL36</f>
        <v>6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4.6161820053846156</v>
      </c>
      <c r="AQ35" s="126">
        <f>VLOOKUP(AE35,db_fifarank,2,FALSE)</f>
        <v>1594.78</v>
      </c>
      <c r="AR35" s="125">
        <f>AP35/AP36</f>
        <v>6.154908429041916E-8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0</v>
      </c>
      <c r="AN38" s="123">
        <f>AF38*3+AG38</f>
        <v>1</v>
      </c>
      <c r="AO38" s="123">
        <f>AN38/AN42*10+BA38</f>
        <v>5.9806451612903224</v>
      </c>
      <c r="AP38" s="123">
        <f>AO38*10000000+BI38*100+AM38/AM42*10+AI38/AI42*1++IF(AQ38=0,ROW(),AQ38)/2000000</f>
        <v>59806550.344964951</v>
      </c>
      <c r="AQ38" s="126">
        <f>VLOOKUP(AE38,db_fifarank,2,FALSE)</f>
        <v>1757.87</v>
      </c>
      <c r="AR38" s="125">
        <f>AP38/AP42</f>
        <v>0.99999998327942374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Netherlands</v>
      </c>
      <c r="K39" s="31">
        <f>L39+M39+N39</f>
        <v>1</v>
      </c>
      <c r="L39" s="31">
        <f>VLOOKUP(1,AD38:AN41,3,FALSE)</f>
        <v>0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2 - 2</v>
      </c>
      <c r="P39" s="32">
        <f>L39*3+M39</f>
        <v>1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0</v>
      </c>
      <c r="AN39" s="123">
        <f>AF39*3+AG39</f>
        <v>1</v>
      </c>
      <c r="AO39" s="123">
        <f>AN39/AN42*10+BA39</f>
        <v>5.9806451612903224</v>
      </c>
      <c r="AP39" s="123">
        <f>AO39*10000000+BI39*100+AM39/AM42*10+AI39/AI42*1++IF(AQ39=0,ROW(),AQ39)/2000000</f>
        <v>59806550.344916232</v>
      </c>
      <c r="AQ39" s="126">
        <f>VLOOKUP(AE39,db_fifarank,2,FALSE)</f>
        <v>1660.43</v>
      </c>
      <c r="AR39" s="125">
        <f>AP39/AP42</f>
        <v>0.99999998327860917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Japan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0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0</v>
      </c>
      <c r="AJ40" s="123">
        <f>SUMIF($E$7:$E$78,$AE40,$G$7:$G$78) + SUMIF($H$7:$H$78,$AE40,$F$7:$F$78)</f>
        <v>0</v>
      </c>
      <c r="AL40" s="123">
        <f>AI40-AJ40</f>
        <v>0</v>
      </c>
      <c r="AM40" s="123">
        <f>AL40-AL42</f>
        <v>0</v>
      </c>
      <c r="AN40" s="123">
        <f>AF40*3+AG40</f>
        <v>0</v>
      </c>
      <c r="AO40" s="123">
        <f>AN40/AN42*10+BA40</f>
        <v>0</v>
      </c>
      <c r="AP40" s="123">
        <f>AO40*10000000+BI40*100+AM40/AM42*10+AI40/AI42*1++IF(AQ40=0,ROW(),AQ40)/2000000</f>
        <v>7.5738499999999996E-4</v>
      </c>
      <c r="AQ40" s="126">
        <f>VLOOKUP(AE40,db_fifarank,2,FALSE)</f>
        <v>1514.77</v>
      </c>
      <c r="AR40" s="125">
        <f>AP40/AP42</f>
        <v>1.2663913617613456E-11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Sweden</v>
      </c>
      <c r="K41" s="23">
        <f>L41+M41+N41</f>
        <v>0</v>
      </c>
      <c r="L41" s="23">
        <f>VLOOKUP(3,AD38:AN41,3,FALSE)</f>
        <v>0</v>
      </c>
      <c r="M41" s="23">
        <f>VLOOKUP(3,AD38:AN41,4,FALSE)</f>
        <v>0</v>
      </c>
      <c r="N41" s="23">
        <f>VLOOKUP(3,AD38:AN41,5,FALSE)</f>
        <v>0</v>
      </c>
      <c r="O41" s="23" t="str">
        <f>VLOOKUP(3,AD38:AN41,6,FALSE) &amp; " - " &amp; VLOOKUP(3,AD38:AN41,7,FALSE)</f>
        <v>0 - 0</v>
      </c>
      <c r="P41" s="34">
        <f>L41*3+M41</f>
        <v>0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0</v>
      </c>
      <c r="AI41" s="123">
        <f>SUMIF($E$7:$E$78,$AE41,$F$7:$F$78) + SUMIF($H$7:$H$78,$AE41,$G$7:$G$78)</f>
        <v>0</v>
      </c>
      <c r="AJ41" s="123">
        <f>SUMIF($E$7:$E$78,$AE41,$G$7:$G$78) + SUMIF($H$7:$H$78,$AE41,$F$7:$F$78)</f>
        <v>0</v>
      </c>
      <c r="AL41" s="123">
        <f>AI41-AJ41</f>
        <v>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7.4152499999999993E-4</v>
      </c>
      <c r="AQ41" s="126">
        <f>VLOOKUP(AE41,db_fifarank,2,FALSE)</f>
        <v>1483.05</v>
      </c>
      <c r="AR41" s="125">
        <f>AP41/AP42</f>
        <v>1.2398725278822286E-11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0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0</v>
      </c>
      <c r="O42" s="36" t="str">
        <f>VLOOKUP(4,AD38:AN41,6,FALSE) &amp; " - " &amp; VLOOKUP(4,AD38:AN41,7,FALSE)</f>
        <v>0 - 0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1</v>
      </c>
      <c r="AG42" s="123">
        <f t="shared" si="18"/>
        <v>2</v>
      </c>
      <c r="AH42" s="123">
        <f t="shared" si="18"/>
        <v>1</v>
      </c>
      <c r="AI42" s="123">
        <f>MAX(AI38:AI41)+1</f>
        <v>3</v>
      </c>
      <c r="AL42" s="123">
        <f>MIN(AL38:AL41)</f>
        <v>0</v>
      </c>
      <c r="AM42" s="123">
        <f>MAX(AM38:AM41)+1</f>
        <v>1</v>
      </c>
      <c r="AN42" s="123">
        <f>MAX(AN38:AN41)+1</f>
        <v>2</v>
      </c>
      <c r="AO42" s="123">
        <f>MAX(AO38:AO41)+1</f>
        <v>6.9806451612903224</v>
      </c>
      <c r="AP42" s="123">
        <f>MAX(AP38:AP41)+1</f>
        <v>59806551.344964951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0</v>
      </c>
      <c r="AJ44" s="123">
        <f>SUMIF($E$7:$E$78,$AE44,$G$7:$G$78) + SUMIF($H$7:$H$78,$AE44,$F$7:$F$78)</f>
        <v>0</v>
      </c>
      <c r="AL44" s="123">
        <f>AI44-AJ44</f>
        <v>0</v>
      </c>
      <c r="AM44" s="123">
        <f>AL44-AL48</f>
        <v>0</v>
      </c>
      <c r="AN44" s="123">
        <f>AF44*3+AG44</f>
        <v>0</v>
      </c>
      <c r="AO44" s="123">
        <f>AN44/AN48*10+BA44</f>
        <v>0</v>
      </c>
      <c r="AP44" s="123">
        <f>AO44*10000000+BI44*100+AM44/AM48*10+AI44/AI48*1++IF(AQ44=0,ROW(),AQ44)/2000000</f>
        <v>8.6735499999999999E-4</v>
      </c>
      <c r="AQ44" s="126">
        <f>VLOOKUP(AE44,db_fifarank,2,FALSE)</f>
        <v>1734.71</v>
      </c>
      <c r="AR44" s="125">
        <f>AP44/AP48</f>
        <v>8.6660334725374266E-4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Belgium</v>
      </c>
      <c r="K45" s="31">
        <f>L45+M45+N45</f>
        <v>0</v>
      </c>
      <c r="L45" s="31">
        <f>VLOOKUP(1,AD44:AN47,3,FALSE)</f>
        <v>0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0 - 0</v>
      </c>
      <c r="P45" s="32">
        <f>L45*3+M45</f>
        <v>0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3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0</v>
      </c>
      <c r="AH45" s="123">
        <f>COUNTIF($S$7:$T$78,"=" &amp; AE45 &amp; "_lose")</f>
        <v>0</v>
      </c>
      <c r="AI45" s="123">
        <f>SUMIF($E$7:$E$78,$AE45,$F$7:$F$78) + SUMIF($H$7:$H$78,$AE45,$G$7:$G$78)</f>
        <v>0</v>
      </c>
      <c r="AJ45" s="123">
        <f>SUMIF($E$7:$E$78,$AE45,$G$7:$G$78) + SUMIF($H$7:$H$78,$AE45,$F$7:$F$78)</f>
        <v>0</v>
      </c>
      <c r="AL45" s="123">
        <f>AI45-AJ45</f>
        <v>0</v>
      </c>
      <c r="AM45" s="123">
        <f>AL45-AL48</f>
        <v>0</v>
      </c>
      <c r="AN45" s="123">
        <f>AF45*3+AG45</f>
        <v>0</v>
      </c>
      <c r="AO45" s="123">
        <f>AN45/AN48*10+BA45</f>
        <v>0</v>
      </c>
      <c r="AP45" s="123">
        <f>AO45*10000000+BI45*100+AM45/AM48*10+AI45/AI48*1++IF(AQ45=0,ROW(),AQ45)/2000000</f>
        <v>7.8162000000000001E-4</v>
      </c>
      <c r="AQ45" s="126">
        <f>VLOOKUP(AE45,db_fifarank,2,FALSE)</f>
        <v>1563.24</v>
      </c>
      <c r="AR45" s="125">
        <f>AP45/AP48</f>
        <v>7.809426454917195E-4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Iran</v>
      </c>
      <c r="K46" s="23">
        <f>L46+M46+N46</f>
        <v>0</v>
      </c>
      <c r="L46" s="23">
        <f>VLOOKUP(2,AD44:AN47,3,FALSE)</f>
        <v>0</v>
      </c>
      <c r="M46" s="23">
        <f>VLOOKUP(2,AD44:AN47,4,FALSE)</f>
        <v>0</v>
      </c>
      <c r="N46" s="23">
        <f>VLOOKUP(2,AD44:AN47,5,FALSE)</f>
        <v>0</v>
      </c>
      <c r="O46" s="23" t="str">
        <f>VLOOKUP(2,AD44:AN47,6,FALSE) &amp; " - " &amp; VLOOKUP(2,AD44:AN47,7,FALSE)</f>
        <v>0 - 0</v>
      </c>
      <c r="P46" s="34">
        <f>L46*3+M46</f>
        <v>0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0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0</v>
      </c>
      <c r="AL46" s="123">
        <f>AI46-AJ46</f>
        <v>0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8.0695008780659041E-4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Egypt</v>
      </c>
      <c r="K47" s="23">
        <f>L47+M47+N47</f>
        <v>0</v>
      </c>
      <c r="L47" s="23">
        <f>VLOOKUP(3,AD44:AN47,3,FALSE)</f>
        <v>0</v>
      </c>
      <c r="M47" s="23">
        <f>VLOOKUP(3,AD44:AN47,4,FALSE)</f>
        <v>0</v>
      </c>
      <c r="N47" s="23">
        <f>VLOOKUP(3,AD44:AN47,5,FALSE)</f>
        <v>0</v>
      </c>
      <c r="O47" s="23" t="str">
        <f>VLOOKUP(3,AD44:AN47,6,FALSE) &amp; " - " &amp; VLOOKUP(3,AD44:AN47,7,FALSE)</f>
        <v>0 - 0</v>
      </c>
      <c r="P47" s="34">
        <f>L47*3+M47</f>
        <v>0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0</v>
      </c>
      <c r="AH47" s="123">
        <f>COUNTIF($S$7:$T$78,"=" &amp; AE47 &amp; "_lose")</f>
        <v>0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0</v>
      </c>
      <c r="AL47" s="123">
        <f>AI47-AJ47</f>
        <v>0</v>
      </c>
      <c r="AM47" s="123">
        <f>AL47-AL48</f>
        <v>0</v>
      </c>
      <c r="AN47" s="123">
        <f>AF47*3+AG47</f>
        <v>0</v>
      </c>
      <c r="AO47" s="123">
        <f>AN47/AN48*10+BA47</f>
        <v>0</v>
      </c>
      <c r="AP47" s="123">
        <f>AO47*10000000+BI47*100+AM47/AM48*10+AI47/AI48*1++IF(AQ47=0,ROW(),AQ47)/2000000</f>
        <v>6.4078499999999994E-4</v>
      </c>
      <c r="AQ47" s="126">
        <f>VLOOKUP(AE47,db_fifarank,2,FALSE)</f>
        <v>1281.57</v>
      </c>
      <c r="AR47" s="125">
        <f>AP47/AP48</f>
        <v>6.4022969357412996E-4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0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0</v>
      </c>
      <c r="O48" s="36" t="str">
        <f>VLOOKUP(4,AD44:AN47,6,FALSE) &amp; " - " &amp; VLOOKUP(4,AD44:AN47,7,FALSE)</f>
        <v>0 - 0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1</v>
      </c>
      <c r="AL48" s="123">
        <f>MIN(AL44:AL47)</f>
        <v>0</v>
      </c>
      <c r="AM48" s="123">
        <f>MAX(AM44:AM47)+1</f>
        <v>1</v>
      </c>
      <c r="AN48" s="123">
        <f>MAX(AN44:AN47)+1</f>
        <v>1</v>
      </c>
      <c r="AO48" s="123">
        <f>MAX(AO44:AO47)+1</f>
        <v>1</v>
      </c>
      <c r="AP48" s="123">
        <f>MAX(AP44:AP47)+1</f>
        <v>1.000867355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1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0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0</v>
      </c>
      <c r="AO50" s="123">
        <f>AN50/AN54*10+BA50</f>
        <v>0</v>
      </c>
      <c r="AP50" s="123">
        <f>AO50*10000000+BI50*100+AM50/AM54*10+AI50/AI54*1++IF(AQ50=0,ROW(),AQ50)/2000000</f>
        <v>9.3820000000000004E-4</v>
      </c>
      <c r="AQ50" s="126">
        <f>VLOOKUP(AE50,db_fifarank,2,FALSE)</f>
        <v>1876.4</v>
      </c>
      <c r="AR50" s="125">
        <f>AP50/AP54</f>
        <v>9.3732060580763133E-4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0</v>
      </c>
      <c r="L51" s="31">
        <f>VLOOKUP(1,AD50:AN53,3,FALSE)</f>
        <v>0</v>
      </c>
      <c r="M51" s="31">
        <f>VLOOKUP(1,AD50:AN53,4,FALSE)</f>
        <v>0</v>
      </c>
      <c r="N51" s="31">
        <f>VLOOKUP(1,AD50:AN53,5,FALSE)</f>
        <v>0</v>
      </c>
      <c r="O51" s="31" t="str">
        <f>VLOOKUP(1,AD50:AN53,6,FALSE) &amp; " - " &amp; VLOOKUP(1,AD50:AN53,7,FALSE)</f>
        <v>0 - 0</v>
      </c>
      <c r="P51" s="32">
        <f>L51*3+M51</f>
        <v>0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0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0</v>
      </c>
      <c r="AO51" s="123">
        <f>AN51/AN54*10+BA51</f>
        <v>0</v>
      </c>
      <c r="AP51" s="123">
        <f>AO51*10000000+BI51*100+AM51/AM54*10+AI51/AI54*1++IF(AQ51=0,ROW(),AQ51)/2000000</f>
        <v>6.8306500000000006E-4</v>
      </c>
      <c r="AQ51" s="126">
        <f>VLOOKUP(AE51,db_fifarank,2,FALSE)</f>
        <v>1366.13</v>
      </c>
      <c r="AR51" s="125">
        <f>AP51/AP54</f>
        <v>6.8242474910039407E-4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0</v>
      </c>
      <c r="L52" s="23">
        <f>VLOOKUP(2,AD50:AN53,3,FALSE)</f>
        <v>0</v>
      </c>
      <c r="M52" s="23">
        <f>VLOOKUP(2,AD50:AN53,4,FALSE)</f>
        <v>0</v>
      </c>
      <c r="N52" s="23">
        <f>VLOOKUP(2,AD50:AN53,5,FALSE)</f>
        <v>0</v>
      </c>
      <c r="O52" s="23" t="str">
        <f>VLOOKUP(2,AD50:AN53,6,FALSE) &amp; " - " &amp; VLOOKUP(2,AD50:AN53,7,FALSE)</f>
        <v>0 - 0</v>
      </c>
      <c r="P52" s="34">
        <f>L52*3+M52</f>
        <v>0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0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0</v>
      </c>
      <c r="AL52" s="123">
        <f>AI52-AJ52</f>
        <v>0</v>
      </c>
      <c r="AM52" s="123">
        <f>AL52-AL54</f>
        <v>0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7.10715E-4</v>
      </c>
      <c r="AQ52" s="126">
        <f>VLOOKUP(AE52,db_fifarank,2,FALSE)</f>
        <v>1421.43</v>
      </c>
      <c r="AR52" s="125">
        <f>AP52/AP54</f>
        <v>7.1004883218564344E-4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Saudi Arabia</v>
      </c>
      <c r="K53" s="23">
        <f>L53+M53+N53</f>
        <v>0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0</v>
      </c>
      <c r="AJ53" s="123">
        <f>SUMIF($E$7:$E$78,$AE53,$G$7:$G$78) + SUMIF($H$7:$H$78,$AE53,$F$7:$F$78)</f>
        <v>0</v>
      </c>
      <c r="AL53" s="123">
        <f>AI53-AJ53</f>
        <v>0</v>
      </c>
      <c r="AM53" s="123">
        <f>AL53-AL54</f>
        <v>0</v>
      </c>
      <c r="AN53" s="123">
        <f>AF53*3+AG53</f>
        <v>0</v>
      </c>
      <c r="AO53" s="123">
        <f>AN53/AN54*10+BA53</f>
        <v>0</v>
      </c>
      <c r="AP53" s="123">
        <f>AO53*10000000+BI53*100+AM53/AM54*10+AI53/AI54*1++IF(AQ53=0,ROW(),AQ53)/2000000</f>
        <v>8.3653500000000001E-4</v>
      </c>
      <c r="AQ53" s="126">
        <f>VLOOKUP(AE53,db_fifarank,2,FALSE)</f>
        <v>1673.07</v>
      </c>
      <c r="AR53" s="125">
        <f>AP53/AP54</f>
        <v>8.3575089850702075E-4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0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1</v>
      </c>
      <c r="AL54" s="123">
        <f>MIN(AL50:AL53)</f>
        <v>0</v>
      </c>
      <c r="AM54" s="123">
        <f>MAX(AM50:AM53)+1</f>
        <v>1</v>
      </c>
      <c r="AN54" s="123">
        <f>MAX(AN50:AN53)+1</f>
        <v>1</v>
      </c>
      <c r="AO54" s="123">
        <f>MAX(AO50:AO53)+1</f>
        <v>1</v>
      </c>
      <c r="AP54" s="123">
        <f>MAX(AP50:AP53)+1</f>
        <v>1.0009382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1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11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383.33408402333333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Ⓒ Morocco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1 - 1</v>
      </c>
      <c r="P81" s="98">
        <f>L81*3+M81</f>
        <v>1</v>
      </c>
      <c r="AD81" s="123">
        <f t="shared" ref="AD81:AD91" si="38">COUNTIF($AP$80:$AP$91,CONCATENATE("&gt;=",AP81))</f>
        <v>2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5716.667394146667</v>
      </c>
      <c r="AQ81" s="126">
        <f t="shared" si="37"/>
        <v>1454.96</v>
      </c>
      <c r="AR81" s="125" t="str">
        <f>AR80&amp;IF(AD81&lt;=8,RIGHT(AK81,1),"")</f>
        <v>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Ⓑ Qatar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1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5716.667544601667</v>
      </c>
      <c r="AQ82" s="126">
        <f t="shared" si="37"/>
        <v>1755.87</v>
      </c>
      <c r="AR82" s="125" t="str">
        <f t="shared" ref="AR82:AR91" si="50">AR81&amp;IF(AD82&lt;=8,RIGHT(AK82,1),"")</f>
        <v>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Ⓙ Algeria</v>
      </c>
      <c r="K83" s="100">
        <f t="shared" si="47"/>
        <v>0</v>
      </c>
      <c r="L83" s="100">
        <f>VLOOKUP(3,$AD$80:$AN$91,3,FALSE)</f>
        <v>0</v>
      </c>
      <c r="M83" s="100">
        <f>VLOOKUP(3,$AD$80:$AN$91,4,FALSE)</f>
        <v>0</v>
      </c>
      <c r="N83" s="100">
        <f>VLOOKUP(3,$AD$80:$AN$91,5,FALSE)</f>
        <v>0</v>
      </c>
      <c r="O83" s="100" t="str">
        <f>VLOOKUP(3,$AD$80:$AN$91,6,FALSE) &amp; " - " &amp; VLOOKUP(3,$AD$80:$AN$91,7,FALSE)</f>
        <v>0 - 0</v>
      </c>
      <c r="P83" s="101">
        <f t="shared" si="48"/>
        <v>0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Ⓖ Egypt</v>
      </c>
      <c r="K84" s="100">
        <f t="shared" si="47"/>
        <v>0</v>
      </c>
      <c r="L84" s="100">
        <f>VLOOKUP(4,$AD$80:$AN$91,3,FALSE)</f>
        <v>0</v>
      </c>
      <c r="M84" s="100">
        <f>VLOOKUP(4,$AD$80:$AN$91,4,FALSE)</f>
        <v>0</v>
      </c>
      <c r="N84" s="100">
        <f>VLOOKUP(4,$AD$80:$AN$91,5,FALSE)</f>
        <v>0</v>
      </c>
      <c r="O84" s="100" t="str">
        <f>VLOOKUP(4,$AD$80:$AN$91,6,FALSE) &amp; " - " &amp; VLOOKUP(4,$AD$80:$AN$91,7,FALSE)</f>
        <v>0 - 0</v>
      </c>
      <c r="P84" s="101">
        <f t="shared" si="48"/>
        <v>0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7</v>
      </c>
      <c r="AE84" s="124" t="str">
        <f>J35</f>
        <v>Ivory Coast</v>
      </c>
      <c r="AF84" s="123">
        <f t="shared" si="39"/>
        <v>0</v>
      </c>
      <c r="AG84" s="123">
        <f t="shared" si="49"/>
        <v>0</v>
      </c>
      <c r="AH84" s="123">
        <f t="shared" si="40"/>
        <v>0</v>
      </c>
      <c r="AI84" s="123">
        <f t="shared" si="41"/>
        <v>0</v>
      </c>
      <c r="AJ84" s="123">
        <f t="shared" si="42"/>
        <v>0</v>
      </c>
      <c r="AK84" s="123" t="s">
        <v>3185</v>
      </c>
      <c r="AL84" s="123">
        <f t="shared" si="43"/>
        <v>0</v>
      </c>
      <c r="AM84" s="123">
        <f t="shared" si="44"/>
        <v>2</v>
      </c>
      <c r="AN84" s="123">
        <f t="shared" si="45"/>
        <v>0</v>
      </c>
      <c r="AP84" s="123">
        <f>AN84/AN92*10000+AM84/AM92*1000+AI84/AI92*100+IF(AQ84=0,ROW(),AQ84)/2000000</f>
        <v>666.66743315666668</v>
      </c>
      <c r="AQ84" s="126">
        <f t="shared" si="37"/>
        <v>1532.98</v>
      </c>
      <c r="AR84" s="125" t="str">
        <f t="shared" si="50"/>
        <v>BCE</v>
      </c>
      <c r="AS84" s="129" t="str">
        <f t="shared" si="46"/>
        <v>Ivory Coast</v>
      </c>
      <c r="AT84" s="130" t="str">
        <f>"Ⓔ "&amp;AE84</f>
        <v>Ⓔ Ivory Coast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Ⓘ Norway</v>
      </c>
      <c r="K85" s="100">
        <f t="shared" si="47"/>
        <v>0</v>
      </c>
      <c r="L85" s="100">
        <f>VLOOKUP(5,$AD$80:$AN$91,3,FALSE)</f>
        <v>0</v>
      </c>
      <c r="M85" s="100">
        <f>VLOOKUP(5,$AD$80:$AN$91,4,FALSE)</f>
        <v>0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0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8</v>
      </c>
      <c r="AE85" s="124" t="str">
        <f>J41</f>
        <v>Sweden</v>
      </c>
      <c r="AF85" s="123">
        <f t="shared" si="39"/>
        <v>0</v>
      </c>
      <c r="AG85" s="123">
        <f t="shared" si="49"/>
        <v>0</v>
      </c>
      <c r="AH85" s="123">
        <f t="shared" si="40"/>
        <v>0</v>
      </c>
      <c r="AI85" s="123">
        <f t="shared" si="41"/>
        <v>0</v>
      </c>
      <c r="AJ85" s="123">
        <f t="shared" si="42"/>
        <v>0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0</v>
      </c>
      <c r="AP85" s="123">
        <f>AN85/AN92*10000+AM85/AM92*1000+AI85/AI92*100+IF(AQ85=0,ROW(),AQ85)/2000000</f>
        <v>666.66742405166667</v>
      </c>
      <c r="AQ85" s="126">
        <f t="shared" si="37"/>
        <v>1514.77</v>
      </c>
      <c r="AR85" s="125" t="str">
        <f t="shared" si="50"/>
        <v>BCEF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Ⓛ Panama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4</v>
      </c>
      <c r="AE86" s="124" t="str">
        <f>J47</f>
        <v>Egypt</v>
      </c>
      <c r="AF86" s="123">
        <f t="shared" si="39"/>
        <v>0</v>
      </c>
      <c r="AG86" s="123">
        <f t="shared" si="49"/>
        <v>0</v>
      </c>
      <c r="AH86" s="123">
        <f t="shared" si="40"/>
        <v>0</v>
      </c>
      <c r="AI86" s="123">
        <f t="shared" si="41"/>
        <v>0</v>
      </c>
      <c r="AJ86" s="123">
        <f t="shared" si="42"/>
        <v>0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0</v>
      </c>
      <c r="AP86" s="123">
        <f>AN86/AN92*10000+AM86/AM92*1000+AI86/AI92*100+IF(AQ86=0,ROW(),AQ86)/2000000</f>
        <v>666.66744828666663</v>
      </c>
      <c r="AQ86" s="126">
        <f t="shared" si="37"/>
        <v>1563.24</v>
      </c>
      <c r="AR86" s="125" t="str">
        <f t="shared" si="50"/>
        <v>BCEFG</v>
      </c>
      <c r="AS86" s="129" t="str">
        <f t="shared" si="46"/>
        <v>Egypt</v>
      </c>
      <c r="AT86" s="130" t="str">
        <f>"Ⓖ "&amp;AE86</f>
        <v>Ⓖ Egypt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Ⓔ Ivory Coast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10</v>
      </c>
      <c r="AE87" s="124" t="str">
        <f>J53</f>
        <v>Saudi Arabia</v>
      </c>
      <c r="AF87" s="123">
        <f t="shared" si="39"/>
        <v>0</v>
      </c>
      <c r="AG87" s="123">
        <f t="shared" si="49"/>
        <v>0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0</v>
      </c>
      <c r="AP87" s="123">
        <f>AN87/AN92*10000+AM87/AM92*1000+AI87/AI92*100+IF(AQ87=0,ROW(),AQ87)/2000000</f>
        <v>666.6673773816666</v>
      </c>
      <c r="AQ87" s="126">
        <f t="shared" si="37"/>
        <v>1421.43</v>
      </c>
      <c r="AR87" s="125" t="str">
        <f t="shared" si="50"/>
        <v>BCEFG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Ⓕ Sweden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5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2</v>
      </c>
      <c r="AN88" s="123">
        <f t="shared" si="45"/>
        <v>0</v>
      </c>
      <c r="AP88" s="123">
        <f>AN88/AN92*10000+AM88/AM92*1000+AI88/AI92*100+IF(AQ88=0,ROW(),AQ88)/2000000</f>
        <v>666.66744213666664</v>
      </c>
      <c r="AQ88" s="126">
        <f t="shared" si="37"/>
        <v>1550.94</v>
      </c>
      <c r="AR88" s="125" t="str">
        <f t="shared" si="50"/>
        <v>BCEFGI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Ⓚ DR Congo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3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2</v>
      </c>
      <c r="AN89" s="123">
        <f t="shared" si="45"/>
        <v>0</v>
      </c>
      <c r="AP89" s="123">
        <f>AN89/AN92*10000+AM89/AM92*1000+AI89/AI92*100+IF(AQ89=0,ROW(),AQ89)/2000000</f>
        <v>666.66744879666658</v>
      </c>
      <c r="AQ89" s="126">
        <f t="shared" si="37"/>
        <v>1564.26</v>
      </c>
      <c r="AR89" s="125" t="str">
        <f t="shared" si="50"/>
        <v>BCEFGIJ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Ⓗ Saudi Arabia</v>
      </c>
      <c r="K90" s="103">
        <f t="shared" si="47"/>
        <v>0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0</v>
      </c>
      <c r="O90" s="103" t="str">
        <f>VLOOKUP(10,$AD$80:$AN$91,6,FALSE) &amp; " - " &amp; VLOOKUP(10,$AD$80:$AN$91,7,FALSE)</f>
        <v>0 - 0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9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0</v>
      </c>
      <c r="AP90" s="123">
        <f>AN90/AN92*10000+AM90/AM92*1000+AI90/AI92*100+IF(AQ90=0,ROW(),AQ90)/2000000</f>
        <v>666.66740584166666</v>
      </c>
      <c r="AQ90" s="126">
        <f t="shared" si="37"/>
        <v>1478.35</v>
      </c>
      <c r="AR90" s="125" t="str">
        <f t="shared" si="50"/>
        <v>BCEFGIJ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Ⓐ Czech Republic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1 - 2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6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666.66743698666664</v>
      </c>
      <c r="AQ91" s="126">
        <f t="shared" si="37"/>
        <v>1540.64</v>
      </c>
      <c r="AR91" s="125" t="str">
        <f t="shared" si="50"/>
        <v>BCEFGIJL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2</v>
      </c>
      <c r="AJ92" s="123">
        <f>MAX(AJ80:AJ91)+1</f>
        <v>3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102</v>
      </c>
      <c r="C3" s="121" t="str">
        <f>'2026 World Cup'!AR91</f>
        <v>BCEFGIJL</v>
      </c>
      <c r="D3" s="121" t="str">
        <f>VLOOKUP($C3,$C$6:$K$500,2,FALSE)</f>
        <v>3E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2026-06-14T22:51:34Z</dcterms:modified>
  <cp:category>Sports</cp:category>
  <cp:contentStatus/>
</cp:coreProperties>
</file>
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6556C399-8036-4B04-A820-BAC2E0DD72CE}" xr6:coauthVersionLast="47" xr6:coauthVersionMax="47" xr10:uidLastSave="{00000000-0000-0000-0000-000000000000}"/>
  <bookViews>
    <workbookView xWindow="-33390" yWindow="4410" windowWidth="28800" windowHeight="15345" firstSheet="1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S26" i="3"/>
  <c r="T26" i="3" s="1"/>
  <c r="S75" i="3"/>
  <c r="S25" i="3"/>
  <c r="T25" i="3" s="1"/>
  <c r="S49" i="3"/>
  <c r="T49" i="3" s="1"/>
  <c r="S68" i="3"/>
  <c r="S23" i="3"/>
  <c r="S48" i="3"/>
  <c r="S43" i="3"/>
  <c r="S19" i="3"/>
  <c r="S20" i="3"/>
  <c r="S44" i="3"/>
  <c r="T44" i="3" s="1"/>
  <c r="S46" i="3"/>
  <c r="T46" i="3" s="1"/>
  <c r="S21" i="3"/>
  <c r="S45" i="3"/>
  <c r="T45" i="3" s="1"/>
  <c r="S18" i="3"/>
  <c r="T18" i="3" s="1"/>
  <c r="S63" i="3"/>
  <c r="S17" i="3"/>
  <c r="T17" i="3" s="1"/>
  <c r="S41" i="3"/>
  <c r="T41" i="3" s="1"/>
  <c r="S15" i="3"/>
  <c r="S61" i="3"/>
  <c r="S16" i="3"/>
  <c r="S39" i="3"/>
  <c r="T39" i="3" s="1"/>
  <c r="S66" i="3"/>
  <c r="S10" i="3"/>
  <c r="T10" i="3" s="1"/>
  <c r="S37" i="3"/>
  <c r="S11" i="3"/>
  <c r="T11" i="3" s="1"/>
  <c r="S56" i="3"/>
  <c r="S13" i="3"/>
  <c r="T13" i="3" s="1"/>
  <c r="S32" i="3"/>
  <c r="S14" i="3"/>
  <c r="S8" i="3"/>
  <c r="T8" i="3" s="1"/>
  <c r="S9" i="3"/>
  <c r="T9" i="3" s="1"/>
  <c r="S33" i="3"/>
  <c r="T33" i="3" s="1"/>
  <c r="S60" i="3"/>
  <c r="S34" i="3"/>
  <c r="T34" i="3" s="1"/>
  <c r="S29" i="3"/>
  <c r="T29" i="3" s="1"/>
  <c r="S53" i="3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T78" i="3"/>
  <c r="S50" i="3"/>
  <c r="S76" i="3"/>
  <c r="T75" i="3"/>
  <c r="S47" i="3"/>
  <c r="S67" i="3"/>
  <c r="T68" i="3"/>
  <c r="T48" i="3"/>
  <c r="T43" i="3"/>
  <c r="S72" i="3"/>
  <c r="T20" i="3"/>
  <c r="S70" i="3"/>
  <c r="S42" i="3"/>
  <c r="S64" i="3"/>
  <c r="T63" i="3"/>
  <c r="S40" i="3"/>
  <c r="S62" i="3"/>
  <c r="T15" i="3"/>
  <c r="T61" i="3"/>
  <c r="T16" i="3"/>
  <c r="S38" i="3"/>
  <c r="S65" i="3"/>
  <c r="T66" i="3"/>
  <c r="T37" i="3"/>
  <c r="S55" i="3"/>
  <c r="T56" i="3"/>
  <c r="T32" i="3"/>
  <c r="S57" i="3"/>
  <c r="T14" i="3"/>
  <c r="T60" i="3"/>
  <c r="T53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23" i="3" l="1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P42" i="3"/>
  <c r="AR38" i="3" s="1"/>
  <c r="AP66" i="3"/>
  <c r="AR62" i="3" s="1"/>
  <c r="AP48" i="3"/>
  <c r="AR44" i="3" s="1"/>
  <c r="AP18" i="3"/>
  <c r="AR14" i="3" s="1"/>
  <c r="AP54" i="3"/>
  <c r="AR50" i="3" s="1"/>
  <c r="AD57" i="3" l="1"/>
  <c r="AR69" i="3"/>
  <c r="AR71" i="3"/>
  <c r="AR70" i="3"/>
  <c r="AR27" i="3"/>
  <c r="AR28" i="3"/>
  <c r="AR29" i="3"/>
  <c r="AR21" i="3"/>
  <c r="AR9" i="3"/>
  <c r="AR10" i="3"/>
  <c r="AR11" i="3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N58" i="3" l="1"/>
  <c r="AD9" i="3"/>
  <c r="AD68" i="3"/>
  <c r="AD70" i="3"/>
  <c r="AD71" i="3"/>
  <c r="AD69" i="3"/>
  <c r="AD75" i="3"/>
  <c r="AD28" i="3"/>
  <c r="AD8" i="3"/>
  <c r="AD29" i="3"/>
  <c r="AD26" i="3"/>
  <c r="J27" i="3" s="1"/>
  <c r="AS26" i="3" s="1"/>
  <c r="BL34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AD32" i="3"/>
  <c r="L33" i="3" s="1"/>
  <c r="L59" i="3"/>
  <c r="AD47" i="3"/>
  <c r="AD20" i="3"/>
  <c r="AD53" i="3"/>
  <c r="M59" i="3"/>
  <c r="AD21" i="3"/>
  <c r="L58" i="3"/>
  <c r="M58" i="3"/>
  <c r="O60" i="3"/>
  <c r="AD35" i="3"/>
  <c r="AD14" i="3"/>
  <c r="AD39" i="3"/>
  <c r="AD44" i="3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N59" i="3"/>
  <c r="AD17" i="3"/>
  <c r="N71" i="3" l="1"/>
  <c r="N12" i="3"/>
  <c r="N45" i="3"/>
  <c r="J69" i="3"/>
  <c r="AS68" i="3" s="1"/>
  <c r="BL70" i="3" s="1"/>
  <c r="M76" i="3"/>
  <c r="M51" i="3"/>
  <c r="L71" i="3"/>
  <c r="M71" i="3"/>
  <c r="O70" i="3"/>
  <c r="L70" i="3"/>
  <c r="M69" i="3"/>
  <c r="N69" i="3"/>
  <c r="O69" i="3"/>
  <c r="M70" i="3"/>
  <c r="L69" i="3"/>
  <c r="N70" i="3"/>
  <c r="J70" i="3"/>
  <c r="AS69" i="3" s="1"/>
  <c r="BL26" i="3" s="1"/>
  <c r="O72" i="3"/>
  <c r="J71" i="3"/>
  <c r="AE90" i="3" s="1"/>
  <c r="AQ90" i="3" s="1"/>
  <c r="N72" i="3"/>
  <c r="M72" i="3"/>
  <c r="J72" i="3"/>
  <c r="L72" i="3"/>
  <c r="O71" i="3"/>
  <c r="L9" i="3"/>
  <c r="N21" i="3"/>
  <c r="M27" i="3"/>
  <c r="N10" i="3"/>
  <c r="J9" i="3"/>
  <c r="AS8" i="3" s="1"/>
  <c r="BL50" i="3" s="1"/>
  <c r="M12" i="3"/>
  <c r="M9" i="3"/>
  <c r="J12" i="3"/>
  <c r="L29" i="3"/>
  <c r="L11" i="3"/>
  <c r="O28" i="3"/>
  <c r="O12" i="3"/>
  <c r="M10" i="3"/>
  <c r="M30" i="3"/>
  <c r="M28" i="3"/>
  <c r="N30" i="3"/>
  <c r="O27" i="3"/>
  <c r="O10" i="3"/>
  <c r="L12" i="3"/>
  <c r="J29" i="3"/>
  <c r="AE83" i="3" s="1"/>
  <c r="AQ83" i="3" s="1"/>
  <c r="N9" i="3"/>
  <c r="O9" i="3"/>
  <c r="J11" i="3"/>
  <c r="AE80" i="3" s="1"/>
  <c r="AQ80" i="3" s="1"/>
  <c r="L27" i="3"/>
  <c r="O11" i="3"/>
  <c r="N29" i="3"/>
  <c r="J30" i="3"/>
  <c r="M29" i="3"/>
  <c r="L30" i="3"/>
  <c r="N27" i="3"/>
  <c r="N28" i="3"/>
  <c r="J28" i="3"/>
  <c r="AS27" i="3" s="1"/>
  <c r="BL62" i="3" s="1"/>
  <c r="BS61" i="3" s="1"/>
  <c r="O35" i="3"/>
  <c r="O30" i="3"/>
  <c r="L10" i="3"/>
  <c r="O29" i="3"/>
  <c r="M11" i="3"/>
  <c r="L28" i="3"/>
  <c r="J10" i="3"/>
  <c r="AS9" i="3" s="1"/>
  <c r="BL18" i="3" s="1"/>
  <c r="N11" i="3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P76" i="3" l="1"/>
  <c r="P71" i="3"/>
  <c r="K71" i="3"/>
  <c r="P69" i="3"/>
  <c r="AG90" i="3"/>
  <c r="AT90" i="3"/>
  <c r="K70" i="3"/>
  <c r="AH90" i="3"/>
  <c r="AL90" i="3"/>
  <c r="K69" i="3"/>
  <c r="AF90" i="3"/>
  <c r="AJ90" i="3"/>
  <c r="AN90" i="3"/>
  <c r="P72" i="3"/>
  <c r="P70" i="3"/>
  <c r="AI90" i="3"/>
  <c r="K72" i="3"/>
  <c r="P12" i="3"/>
  <c r="K9" i="3"/>
  <c r="P9" i="3"/>
  <c r="P11" i="3"/>
  <c r="AG80" i="3"/>
  <c r="K12" i="3"/>
  <c r="AF80" i="3"/>
  <c r="AT80" i="3"/>
  <c r="P27" i="3"/>
  <c r="P10" i="3"/>
  <c r="K27" i="3"/>
  <c r="K30" i="3"/>
  <c r="K11" i="3"/>
  <c r="P28" i="3"/>
  <c r="AT83" i="3"/>
  <c r="AN83" i="3"/>
  <c r="K29" i="3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91" i="3" l="1"/>
  <c r="AP85" i="3"/>
  <c r="AP83" i="3"/>
  <c r="AP82" i="3"/>
  <c r="AP88" i="3"/>
  <c r="AP90" i="3"/>
  <c r="AP86" i="3"/>
  <c r="AP81" i="3"/>
  <c r="AP89" i="3"/>
  <c r="AP84" i="3"/>
  <c r="AP80" i="3"/>
  <c r="AD82" i="3" l="1"/>
  <c r="AS82" i="3" s="1"/>
  <c r="AD89" i="3"/>
  <c r="AS89" i="3" s="1"/>
  <c r="AD86" i="3"/>
  <c r="AS86" i="3" s="1"/>
  <c r="AD84" i="3"/>
  <c r="AS84" i="3" s="1"/>
  <c r="AD85" i="3"/>
  <c r="AS85" i="3" s="1"/>
  <c r="AD81" i="3"/>
  <c r="AS81" i="3" s="1"/>
  <c r="AD83" i="3"/>
  <c r="AS83" i="3" s="1"/>
  <c r="AD91" i="3"/>
  <c r="AS91" i="3" s="1"/>
  <c r="AD87" i="3"/>
  <c r="AS87" i="3" s="1"/>
  <c r="AD80" i="3"/>
  <c r="AD88" i="3"/>
  <c r="AS88" i="3" s="1"/>
  <c r="AD90" i="3"/>
  <c r="AS90" i="3" s="1"/>
  <c r="N84" i="3" l="1"/>
  <c r="O87" i="3"/>
  <c r="N87" i="3"/>
  <c r="L92" i="3"/>
  <c r="N91" i="3"/>
  <c r="AS80" i="3"/>
  <c r="J92" i="3"/>
  <c r="O84" i="3"/>
  <c r="M81" i="3"/>
  <c r="J91" i="3"/>
  <c r="M92" i="3"/>
  <c r="M82" i="3"/>
  <c r="O81" i="3"/>
  <c r="O83" i="3"/>
  <c r="M86" i="3"/>
  <c r="M83" i="3"/>
  <c r="L83" i="3"/>
  <c r="M88" i="3"/>
  <c r="N88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L90" i="3"/>
  <c r="J90" i="3"/>
  <c r="O88" i="3"/>
  <c r="O91" i="3"/>
  <c r="J82" i="3"/>
  <c r="O82" i="3"/>
  <c r="L81" i="3"/>
  <c r="N83" i="3"/>
  <c r="J88" i="3"/>
  <c r="J84" i="3"/>
  <c r="M90" i="3"/>
  <c r="N81" i="3"/>
  <c r="N82" i="3"/>
  <c r="O89" i="3"/>
  <c r="L91" i="3"/>
  <c r="L85" i="3"/>
  <c r="J83" i="3"/>
  <c r="L84" i="3"/>
  <c r="J85" i="3"/>
  <c r="M89" i="3"/>
  <c r="N92" i="3"/>
  <c r="O92" i="3"/>
  <c r="J87" i="3"/>
  <c r="L89" i="3"/>
  <c r="M84" i="3"/>
  <c r="L82" i="3"/>
  <c r="M87" i="3"/>
  <c r="L86" i="3"/>
  <c r="M91" i="3"/>
  <c r="L88" i="3"/>
  <c r="L87" i="3"/>
  <c r="J81" i="3"/>
  <c r="O90" i="3"/>
  <c r="J86" i="3"/>
  <c r="O86" i="3"/>
  <c r="N86" i="3"/>
  <c r="J89" i="3"/>
  <c r="N85" i="3"/>
  <c r="O85" i="3"/>
  <c r="M85" i="3"/>
  <c r="N89" i="3"/>
  <c r="N90" i="3"/>
  <c r="P85" i="3" l="1"/>
  <c r="P81" i="3"/>
  <c r="P83" i="3"/>
  <c r="K83" i="3"/>
  <c r="P91" i="3"/>
  <c r="P92" i="3"/>
  <c r="K82" i="3"/>
  <c r="K81" i="3"/>
  <c r="K92" i="3"/>
  <c r="K87" i="3"/>
  <c r="K91" i="3"/>
  <c r="G3" i="4"/>
  <c r="BL11" i="3" s="1"/>
  <c r="H3" i="4"/>
  <c r="BL39" i="3" s="1"/>
  <c r="E3" i="4"/>
  <c r="I3" i="4"/>
  <c r="BL15" i="3" s="1"/>
  <c r="K3" i="4"/>
  <c r="J3" i="4"/>
  <c r="D3" i="4"/>
  <c r="P90" i="3"/>
  <c r="B3" i="4"/>
  <c r="P88" i="3"/>
  <c r="P84" i="3"/>
  <c r="K90" i="3"/>
  <c r="K86" i="3"/>
  <c r="P82" i="3"/>
  <c r="P87" i="3"/>
  <c r="P89" i="3"/>
  <c r="P86" i="3"/>
  <c r="K84" i="3"/>
  <c r="K89" i="3"/>
  <c r="K85" i="3"/>
  <c r="K88" i="3"/>
  <c r="BS53" i="3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<sst xmlns="http://schemas.openxmlformats.org/spreadsheetml/2006/main" count="9786" uniqueCount="3698">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</sst>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42578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A24" zoomScaleNormal="100" workbookViewId="0">
      <selection activeCell="G51" sqref="G51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42578125" style="5" customWidth="1"/>
    <col min="6" max="7" width="4.28515625" style="6" customWidth="1"/>
    <col min="8" max="8" width="22.42578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285156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28515625" style="125" hidden="1" customWidth="1"/>
    <col min="46" max="50" width="4.710937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11" customWidth="1"/>
    <col min="70" max="70" width="3.28515625" style="2" customWidth="1"/>
    <col min="71" max="71" width="19.7109375" style="2" customWidth="1"/>
    <col min="72" max="74" width="3" style="2" customWidth="1"/>
    <col min="75" max="76" width="2" style="111" customWidth="1"/>
    <col min="77" max="77" width="4" style="2" customWidth="1"/>
    <col min="78" max="78" width="19.7109375" style="2" customWidth="1"/>
    <col min="79" max="81" width="3" style="2" customWidth="1"/>
    <col min="82" max="83" width="2" style="111" customWidth="1"/>
    <col min="84" max="84" width="3.85546875" style="2" customWidth="1"/>
    <col min="85" max="85" width="19.7109375" style="2" customWidth="1"/>
    <col min="86" max="88" width="3" style="2" customWidth="1"/>
    <col min="89" max="90" width="2" style="111" customWidth="1"/>
    <col min="91" max="91" width="3.7109375" style="2" customWidth="1"/>
    <col min="92" max="92" width="19.710937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25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2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3</v>
      </c>
      <c r="AJ8" s="123">
        <f>SUMIF($E$7:$E$78,$AE8,$G$7:$G$78) + SUMIF($H$7:$H$78,$AE8,$F$7:$F$78)</f>
        <v>0</v>
      </c>
      <c r="AL8" s="123">
        <f>AI8-AJ8</f>
        <v>3</v>
      </c>
      <c r="AM8" s="123">
        <f>AL8-AL12</f>
        <v>5</v>
      </c>
      <c r="AN8" s="123">
        <f>AF8*3+AG8</f>
        <v>6</v>
      </c>
      <c r="AO8" s="123">
        <f>AN8/AN12*10+BA8</f>
        <v>8.5714285714285712</v>
      </c>
      <c r="AP8" s="123">
        <f>AO8*10000000+BI8*100+AM8/AM12*10+AI8/AI12*1++IF(AQ8=0,ROW(),AQ8)/2000000</f>
        <v>85714294.79845956</v>
      </c>
      <c r="AQ8" s="126">
        <f>VLOOKUP(AE8,db_fifarank,2,FALSE)</f>
        <v>1681.03</v>
      </c>
      <c r="AR8" s="125">
        <f>AP8/AP12</f>
        <v>0.9999999883333347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2</v>
      </c>
      <c r="L9" s="31">
        <f>VLOOKUP(1,AD8:AN11,3,FALSE)</f>
        <v>2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3 - 0</v>
      </c>
      <c r="P9" s="32">
        <f>L9*3+M9</f>
        <v>6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0</v>
      </c>
      <c r="V9" s="123">
        <f t="shared" si="3"/>
        <v>0</v>
      </c>
      <c r="W9" s="123">
        <f t="shared" si="4"/>
        <v>0</v>
      </c>
      <c r="X9" s="123">
        <f t="shared" si="9"/>
        <v>0</v>
      </c>
      <c r="Y9" s="123">
        <f t="shared" si="10"/>
        <v>0</v>
      </c>
      <c r="Z9" s="123">
        <f t="shared" si="11"/>
        <v>0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1</v>
      </c>
      <c r="AJ9" s="123">
        <f>SUMIF($E$7:$E$78,$AE9,$G$7:$G$78) + SUMIF($H$7:$H$78,$AE9,$F$7:$F$78)</f>
        <v>3</v>
      </c>
      <c r="AL9" s="123">
        <f>AI9-AJ9</f>
        <v>-2</v>
      </c>
      <c r="AM9" s="123">
        <f>AL9-AL12</f>
        <v>0</v>
      </c>
      <c r="AN9" s="123">
        <f>AF9*3+AG9</f>
        <v>1</v>
      </c>
      <c r="AO9" s="123">
        <f>AN9/AN12*10+BA9</f>
        <v>2.409153952843273</v>
      </c>
      <c r="AP9" s="123">
        <f>AO9*10000000+BI9*100+AM9/AM12*10+AI9/AI12*1++IF(AQ9=0,ROW(),AQ9)/2000000</f>
        <v>24091637.837400023</v>
      </c>
      <c r="AQ9" s="126">
        <f>VLOOKUP(AE9,db_fifarank,2,FALSE)</f>
        <v>1429.73</v>
      </c>
      <c r="AR9" s="125">
        <f>AP9/AP12</f>
        <v>0.28106907503559042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1</v>
      </c>
      <c r="AV9" s="126" cm="1">
        <f t="array" ref="AV9">SUMPRODUCT(($E$7:$E$78=AE9)*($U$7:$U$78)*($F$7:$F$78))+SUMPRODUCT(($H$7:$H$78=AE9)*($U$7:$U$78)*($G$7:$G$78))</f>
        <v>1</v>
      </c>
      <c r="AW9" s="126" cm="1">
        <f t="array" ref="AW9">SUMPRODUCT(($E$7:$E$78=AE9)*($U$7:$U$78)*($G$7:$G$78))+SUMPRODUCT(($H$7:$H$78=AE9)*($U$7:$U$78)*($F$7:$F$78))</f>
        <v>1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50.5</v>
      </c>
      <c r="BA9" s="126">
        <f>AZ9/AZ12</f>
        <v>0.98058252427184467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1</v>
      </c>
      <c r="BD9" s="126" cm="1">
        <f t="array" ref="BD9">SUMPRODUCT(($E$7:$E$78=AE9)*($X$7:$X$78)*($F$7:$F$78))+SUMPRODUCT(($H$7:$H$78=AE9)*($X$7:$X$78)*($G$7:$G$78))</f>
        <v>1</v>
      </c>
      <c r="BE9" s="126" cm="1">
        <f t="array" ref="BE9">SUMPRODUCT(($E$7:$E$78=AE9)*($X$7:$X$78)*($G$7:$G$78))+SUMPRODUCT(($H$7:$H$78=AE9)*($X$7:$X$78)*($F$7:$F$78))</f>
        <v>1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50.5</v>
      </c>
      <c r="BI9" s="126">
        <f>BH9/BH12</f>
        <v>0.98058252427184467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2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1</v>
      </c>
      <c r="O10" s="23" t="str">
        <f>VLOOKUP(2,AD8:AN11,6,FALSE) &amp; " - " &amp; VLOOKUP(2,AD8:AN11,7,FALSE)</f>
        <v>2 - 2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1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2</v>
      </c>
      <c r="AL10" s="123">
        <f>AI10-AJ10</f>
        <v>0</v>
      </c>
      <c r="AM10" s="123">
        <f>AL10-AL12</f>
        <v>2</v>
      </c>
      <c r="AN10" s="123">
        <f>AF10*3+AG10</f>
        <v>3</v>
      </c>
      <c r="AO10" s="123">
        <f>AN10/AN12*10+BA10</f>
        <v>4.2857142857142856</v>
      </c>
      <c r="AP10" s="123">
        <f>AO10*10000000+BI10*100+AM10/AM12*10+AI10/AI12*1++IF(AQ10=0,ROW(),AQ10)/2000000</f>
        <v>42857146.691270523</v>
      </c>
      <c r="AQ10" s="126">
        <f>VLOOKUP(AE10,db_fifarank,2,FALSE)</f>
        <v>1588.66</v>
      </c>
      <c r="AR10" s="125">
        <f>AP10/AP12</f>
        <v>0.49999998590714367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2</v>
      </c>
      <c r="L11" s="23">
        <f>VLOOKUP(3,AD8:AN11,3,FALSE)</f>
        <v>0</v>
      </c>
      <c r="M11" s="23">
        <f>VLOOKUP(3,AD8:AN11,4,FALSE)</f>
        <v>1</v>
      </c>
      <c r="N11" s="23">
        <f>VLOOKUP(3,AD8:AN11,5,FALSE)</f>
        <v>1</v>
      </c>
      <c r="O11" s="23" t="str">
        <f>VLOOKUP(3,AD8:AN11,6,FALSE) &amp; " - " &amp; VLOOKUP(3,AD8:AN11,7,FALSE)</f>
        <v>2 - 3</v>
      </c>
      <c r="P11" s="34">
        <f>L11*3+M11</f>
        <v>1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1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3</v>
      </c>
      <c r="AL11" s="123">
        <f>AI11-AJ11</f>
        <v>-1</v>
      </c>
      <c r="AM11" s="123">
        <f>AL11-AL12</f>
        <v>1</v>
      </c>
      <c r="AN11" s="123">
        <f>AF11*3+AG11</f>
        <v>1</v>
      </c>
      <c r="AO11" s="123">
        <f>AN11/AN12*10+BA11</f>
        <v>2.409153952843273</v>
      </c>
      <c r="AP11" s="123">
        <f>AO11*10000000+BI11*100+AM11/AM12*10+AI11/AI12*1++IF(AQ11=0,ROW(),AQ11)/2000000</f>
        <v>24091639.754102517</v>
      </c>
      <c r="AQ11" s="126">
        <f>VLOOKUP(AE11,db_fifarank,2,FALSE)</f>
        <v>1501.38</v>
      </c>
      <c r="AR11" s="125">
        <f>AP11/AP12</f>
        <v>0.28106909739711688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1</v>
      </c>
      <c r="AV11" s="126" cm="1">
        <f t="array" ref="AV11">SUMPRODUCT(($E$7:$E$78=AE11)*($U$7:$U$78)*($F$7:$F$78))+SUMPRODUCT(($H$7:$H$78=AE11)*($U$7:$U$78)*($G$7:$G$78))</f>
        <v>1</v>
      </c>
      <c r="AW11" s="126" cm="1">
        <f t="array" ref="AW11">SUMPRODUCT(($E$7:$E$78=AE11)*($U$7:$U$78)*($G$7:$G$78))+SUMPRODUCT(($H$7:$H$78=AE11)*($U$7:$U$78)*($F$7:$F$78))</f>
        <v>1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50.5</v>
      </c>
      <c r="BA11" s="126">
        <f>AZ11/AZ12</f>
        <v>0.98058252427184467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1</v>
      </c>
      <c r="BD11" s="126" cm="1">
        <f t="array" ref="BD11">SUMPRODUCT(($E$7:$E$78=AE11)*($X$7:$X$78)*($F$7:$F$78))+SUMPRODUCT(($H$7:$H$78=AE11)*($X$7:$X$78)*($G$7:$G$78))</f>
        <v>1</v>
      </c>
      <c r="BE11" s="126" cm="1">
        <f t="array" ref="BE11">SUMPRODUCT(($E$7:$E$78=AE11)*($X$7:$X$78)*($G$7:$G$78))+SUMPRODUCT(($H$7:$H$78=AE11)*($X$7:$X$78)*($F$7:$F$78))</f>
        <v>1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50.5</v>
      </c>
      <c r="BI11" s="126">
        <f>BH11/BH12</f>
        <v>0.98058252427184467</v>
      </c>
      <c r="BK11" s="14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2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1</v>
      </c>
      <c r="O12" s="36" t="str">
        <f>VLOOKUP(4,AD8:AN11,6,FALSE) &amp; " - " &amp; VLOOKUP(4,AD8:AN11,7,FALSE)</f>
        <v>1 - 3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3</v>
      </c>
      <c r="AG12" s="123">
        <f t="shared" si="12"/>
        <v>2</v>
      </c>
      <c r="AH12" s="123">
        <f t="shared" si="12"/>
        <v>2</v>
      </c>
      <c r="AI12" s="123">
        <f>MAX(AI8:AI11)+1</f>
        <v>4</v>
      </c>
      <c r="AL12" s="123">
        <f>MIN(AL8:AL11)</f>
        <v>-2</v>
      </c>
      <c r="AM12" s="123">
        <f>MAX(AM8:AM11)+1</f>
        <v>6</v>
      </c>
      <c r="AN12" s="123">
        <f>MAX(AN8:AN11)+1</f>
        <v>7</v>
      </c>
      <c r="AO12" s="123">
        <f>MAX(AO8:AO11)+1</f>
        <v>9.5714285714285712</v>
      </c>
      <c r="AP12" s="123">
        <f>MAX(AP8:AP11)+1</f>
        <v>85714295.79845956</v>
      </c>
      <c r="AT12" s="126">
        <f>MAX(AT8:AT11)-MIN(AT8:AT11)+1</f>
        <v>1</v>
      </c>
      <c r="AU12" s="126">
        <f>MAX(AU8:AU11)-MIN(AU8:AU11)+1</f>
        <v>2</v>
      </c>
      <c r="AV12" s="126">
        <f>MAX(AV8:AV11)-MIN(AV8:AV11)+1</f>
        <v>2</v>
      </c>
      <c r="AW12" s="126">
        <f>MAX(AW8:AW11)-MIN(AW8:AW11)+1</f>
        <v>2</v>
      </c>
      <c r="AY12" s="126">
        <f>MAX(AY8:AY11)-MIN(AY8:AY11)+1</f>
        <v>1</v>
      </c>
      <c r="AZ12" s="126">
        <f>MAX(AZ8:AZ11)+1</f>
        <v>51.5</v>
      </c>
      <c r="BB12" s="126">
        <f>MAX(BB8:BB11)-MIN(BB8:BB11)+1</f>
        <v>1</v>
      </c>
      <c r="BC12" s="126">
        <f>MAX(BC8:BC11)-MIN(BC8:BC11)+1</f>
        <v>2</v>
      </c>
      <c r="BD12" s="126">
        <f>MAX(BD8:BD11)-MIN(BD8:BD11)+1</f>
        <v>2</v>
      </c>
      <c r="BE12" s="126">
        <f>MAX(BE8:BE11)-MIN(BE8:BE11)+1</f>
        <v>2</v>
      </c>
      <c r="BG12" s="126">
        <f>MAX(BG8:BG11)-MIN(BG8:BG11)+1</f>
        <v>1</v>
      </c>
      <c r="BH12" s="126">
        <f>MAX(BH8:BH11)+1</f>
        <v>51.5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1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7</v>
      </c>
      <c r="AJ14" s="123">
        <f>SUMIF($E$7:$E$78,$AE14,$G$7:$G$78) + SUMIF($H$7:$H$78,$AE14,$F$7:$F$78)</f>
        <v>1</v>
      </c>
      <c r="AL14" s="123">
        <f>AI14-AJ14</f>
        <v>6</v>
      </c>
      <c r="AM14" s="123">
        <f>AL14-AL18</f>
        <v>12</v>
      </c>
      <c r="AN14" s="123">
        <f>AF14*3+AG14</f>
        <v>4</v>
      </c>
      <c r="AO14" s="123">
        <f>AN14/AN18*10+BA14</f>
        <v>8</v>
      </c>
      <c r="AP14" s="123">
        <f>AO14*10000000+BI14*100+AM14/AM18*10+AI14/AI18*1++IF(AQ14=0,ROW(),AQ14)/2000000</f>
        <v>80000010.106547475</v>
      </c>
      <c r="AQ14" s="126">
        <f>VLOOKUP(AE14,db_fifarank,2,FALSE)</f>
        <v>1556.48</v>
      </c>
      <c r="AR14" s="125">
        <f>AP14/AP18</f>
        <v>0.99999998750000174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0</v>
      </c>
      <c r="AV14" s="126" cm="1">
        <f t="array" ref="AV14">SUMPRODUCT(($E$7:$E$78=AE14)*($U$7:$U$78)*($F$7:$F$78))+SUMPRODUCT(($H$7:$H$78=AE14)*($U$7:$U$78)*($G$7:$G$78))</f>
        <v>0</v>
      </c>
      <c r="AW14" s="126" cm="1">
        <f t="array" ref="AW14">SUMPRODUCT(($E$7:$E$78=AE14)*($U$7:$U$78)*($G$7:$G$78))+SUMPRODUCT(($H$7:$H$78=AE14)*($U$7:$U$78)*($F$7:$F$78))</f>
        <v>0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0</v>
      </c>
      <c r="BA14" s="126">
        <f>AZ14/AZ18</f>
        <v>0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0</v>
      </c>
      <c r="BD14" s="126" cm="1">
        <f t="array" ref="BD14">SUMPRODUCT(($E$7:$E$78=AE14)*($X$7:$X$78)*($F$7:$F$78))+SUMPRODUCT(($H$7:$H$78=AE14)*($X$7:$X$78)*($G$7:$G$78))</f>
        <v>0</v>
      </c>
      <c r="BE14" s="126" cm="1">
        <f t="array" ref="BE14">SUMPRODUCT(($E$7:$E$78=AE14)*($X$7:$X$78)*($G$7:$G$78))+SUMPRODUCT(($H$7:$H$78=AE14)*($X$7:$X$78)*($F$7:$F$78))</f>
        <v>0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0</v>
      </c>
      <c r="BI14" s="126">
        <f>BH14/BH18</f>
        <v>0</v>
      </c>
      <c r="BK14" s="14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Canada</v>
      </c>
      <c r="K15" s="31">
        <f>L15+M15+N15</f>
        <v>2</v>
      </c>
      <c r="L15" s="31">
        <f>VLOOKUP(1,AD14:AN17,3,FALSE)</f>
        <v>1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7 - 1</v>
      </c>
      <c r="P15" s="32">
        <f>L15*3+M15</f>
        <v>4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2</v>
      </c>
      <c r="AJ15" s="123">
        <f>SUMIF($E$7:$E$78,$AE15,$G$7:$G$78) + SUMIF($H$7:$H$78,$AE15,$F$7:$F$78)</f>
        <v>5</v>
      </c>
      <c r="AL15" s="123">
        <f>AI15-AJ15</f>
        <v>-3</v>
      </c>
      <c r="AM15" s="123">
        <f>AL15-AL18</f>
        <v>3</v>
      </c>
      <c r="AN15" s="123">
        <f>AF15*3+AG15</f>
        <v>1</v>
      </c>
      <c r="AO15" s="123">
        <f>AN15/AN18*10+BA15</f>
        <v>2</v>
      </c>
      <c r="AP15" s="123">
        <f>AO15*10000000+BI15*100+AM15/AM18*10+AI15/AI18*1++IF(AQ15=0,ROW(),AQ15)/2000000</f>
        <v>20000002.558385227</v>
      </c>
      <c r="AQ15" s="126">
        <f>VLOOKUP(AE15,db_fifarank,2,FALSE)</f>
        <v>1385.84</v>
      </c>
      <c r="AR15" s="125">
        <f>AP15/AP18</f>
        <v>0.24999999727185485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0</v>
      </c>
      <c r="AV15" s="126" cm="1">
        <f t="array" ref="AV15">SUMPRODUCT(($E$7:$E$78=AE15)*($U$7:$U$78)*($F$7:$F$78))+SUMPRODUCT(($H$7:$H$78=AE15)*($U$7:$U$78)*($G$7:$G$78))</f>
        <v>0</v>
      </c>
      <c r="AW15" s="126" cm="1">
        <f t="array" ref="AW15">SUMPRODUCT(($E$7:$E$78=AE15)*($U$7:$U$78)*($G$7:$G$78))+SUMPRODUCT(($H$7:$H$78=AE15)*($U$7:$U$78)*($F$7:$F$78))</f>
        <v>0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0</v>
      </c>
      <c r="BA15" s="126">
        <f>AZ15/AZ18</f>
        <v>0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0</v>
      </c>
      <c r="BD15" s="126" cm="1">
        <f t="array" ref="BD15">SUMPRODUCT(($E$7:$E$78=AE15)*($X$7:$X$78)*($F$7:$F$78))+SUMPRODUCT(($H$7:$H$78=AE15)*($X$7:$X$78)*($G$7:$G$78))</f>
        <v>0</v>
      </c>
      <c r="BE15" s="126" cm="1">
        <f t="array" ref="BE15">SUMPRODUCT(($E$7:$E$78=AE15)*($X$7:$X$78)*($G$7:$G$78))+SUMPRODUCT(($H$7:$H$78=AE15)*($X$7:$X$78)*($F$7:$F$78))</f>
        <v>0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0</v>
      </c>
      <c r="BI15" s="126">
        <f>BH15/BH18</f>
        <v>0</v>
      </c>
      <c r="BK15" s="14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Switzerland</v>
      </c>
      <c r="K16" s="23">
        <f>L16+M16+N16</f>
        <v>2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5 - 2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1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7</v>
      </c>
      <c r="AL16" s="123">
        <f>AI16-AJ16</f>
        <v>-6</v>
      </c>
      <c r="AM16" s="123">
        <f>AL16-AL18</f>
        <v>0</v>
      </c>
      <c r="AN16" s="123">
        <f>AF16*3+AG16</f>
        <v>1</v>
      </c>
      <c r="AO16" s="123">
        <f>AN16/AN18*10+BA16</f>
        <v>2</v>
      </c>
      <c r="AP16" s="123">
        <f>AO16*10000000+BI16*100+AM16/AM18*10+AI16/AI18*1++IF(AQ16=0,ROW(),AQ16)/2000000</f>
        <v>20000000.125727478</v>
      </c>
      <c r="AQ16" s="126">
        <f>VLOOKUP(AE16,db_fifarank,2,FALSE)</f>
        <v>1454.96</v>
      </c>
      <c r="AR16" s="125">
        <f>AP16/AP18</f>
        <v>0.24999996686363724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2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2 - 5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2</v>
      </c>
      <c r="AE17" s="124" t="str">
        <f>VLOOKUP("Switzerland",T,lang,FALSE)</f>
        <v>Switzerland</v>
      </c>
      <c r="AF17" s="123">
        <f>COUNTIF($S$7:$T$78,"=" &amp; AE17 &amp; "_win")</f>
        <v>1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5</v>
      </c>
      <c r="AJ17" s="123">
        <f>SUMIF($E$7:$E$78,$AE17,$G$7:$G$78) + SUMIF($H$7:$H$78,$AE17,$F$7:$F$78)</f>
        <v>2</v>
      </c>
      <c r="AL17" s="123">
        <f>AI17-AJ17</f>
        <v>3</v>
      </c>
      <c r="AM17" s="123">
        <f>AL17-AL18</f>
        <v>9</v>
      </c>
      <c r="AN17" s="123">
        <f>AF17*3+AG17</f>
        <v>4</v>
      </c>
      <c r="AO17" s="123">
        <f>AN17/AN18*10+BA17</f>
        <v>8</v>
      </c>
      <c r="AP17" s="123">
        <f>AO17*10000000+BI17*100+AM17/AM18*10+AI17/AI18*1++IF(AQ17=0,ROW(),AQ17)/2000000</f>
        <v>80000007.548901632</v>
      </c>
      <c r="AQ17" s="126">
        <f>VLOOKUP(AE17,db_fifarank,2,FALSE)</f>
        <v>1649.4</v>
      </c>
      <c r="AR17" s="125">
        <f>AP17/AP18</f>
        <v>0.9999999555294331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2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1</v>
      </c>
      <c r="O18" s="36" t="str">
        <f>VLOOKUP(4,AD14:AN17,6,FALSE) &amp; " - " &amp; VLOOKUP(4,AD14:AN17,7,FALSE)</f>
        <v>1 - 7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2</v>
      </c>
      <c r="AG18" s="123">
        <f t="shared" si="13"/>
        <v>1</v>
      </c>
      <c r="AH18" s="123">
        <f t="shared" si="13"/>
        <v>2</v>
      </c>
      <c r="AI18" s="123">
        <f>MAX(AI14:AI17)+1</f>
        <v>8</v>
      </c>
      <c r="AL18" s="123">
        <f>MIN(AL14:AL17)</f>
        <v>-6</v>
      </c>
      <c r="AM18" s="123">
        <f>MAX(AM14:AM17)+1</f>
        <v>13</v>
      </c>
      <c r="AN18" s="123">
        <f>MAX(AN14:AN17)+1</f>
        <v>5</v>
      </c>
      <c r="AO18" s="123">
        <f>MAX(AO14:AO17)+1</f>
        <v>9</v>
      </c>
      <c r="AP18" s="123">
        <f>MAX(AP14:AP17)+1</f>
        <v>80000011.106547475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</v>
      </c>
      <c r="BK18" s="14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>
        <f t="shared" si="6"/>
        <v>0</v>
      </c>
      <c r="BK19" s="14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1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4</v>
      </c>
      <c r="AJ20" s="123">
        <f>SUMIF($E$7:$E$78,$AE20,$G$7:$G$78) + SUMIF($H$7:$H$78,$AE20,$F$7:$F$78)</f>
        <v>1</v>
      </c>
      <c r="AL20" s="123">
        <f>AI20-AJ20</f>
        <v>3</v>
      </c>
      <c r="AM20" s="123">
        <f>AL20-AL24</f>
        <v>7</v>
      </c>
      <c r="AN20" s="123">
        <f>AF20*3+AG20</f>
        <v>4</v>
      </c>
      <c r="AO20" s="123">
        <f>AN20/AN24*10+BA20</f>
        <v>8.9805825242718456</v>
      </c>
      <c r="AP20" s="123">
        <f>AO20*10000000+BI20*100+AM20/AM24*10+AI20/AI24*1++IF(AQ20=0,ROW(),AQ20)/2000000</f>
        <v>89805932.851851463</v>
      </c>
      <c r="AQ20" s="126">
        <f>VLOOKUP(AE20,db_fifarank,2,FALSE)</f>
        <v>1761.16</v>
      </c>
      <c r="AR20" s="125">
        <f>AP20/AP24</f>
        <v>0.99999998886487829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2</v>
      </c>
      <c r="L21" s="31">
        <f>VLOOKUP(1,AD20:AN23,3,FALSE)</f>
        <v>1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4 - 1</v>
      </c>
      <c r="P21" s="32">
        <f>L21*3+M21</f>
        <v>4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1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2</v>
      </c>
      <c r="AJ21" s="123">
        <f>SUMIF($E$7:$E$78,$AE21,$G$7:$G$78) + SUMIF($H$7:$H$78,$AE21,$F$7:$F$78)</f>
        <v>1</v>
      </c>
      <c r="AL21" s="123">
        <f>AI21-AJ21</f>
        <v>1</v>
      </c>
      <c r="AM21" s="123">
        <f>AL21-AL24</f>
        <v>5</v>
      </c>
      <c r="AN21" s="123">
        <f>AF21*3+AG21</f>
        <v>4</v>
      </c>
      <c r="AO21" s="123">
        <f>AN21/AN24*10+BA21</f>
        <v>8.9805825242718456</v>
      </c>
      <c r="AP21" s="123">
        <f>AO21*10000000+BI21*100+AM21/AM24*10+AI21/AI24*1++IF(AQ21=0,ROW(),AQ21)/2000000</f>
        <v>89805929.95184882</v>
      </c>
      <c r="AQ21" s="126">
        <f>VLOOKUP(AE21,db_fifarank,2,FALSE)</f>
        <v>1755.87</v>
      </c>
      <c r="AR21" s="125">
        <f>AP21/AP24</f>
        <v>0.99999995657299601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2</v>
      </c>
      <c r="L22" s="23">
        <f>VLOOKUP(2,AD20:AN23,3,FALSE)</f>
        <v>1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2 - 1</v>
      </c>
      <c r="P22" s="34">
        <f>L22*3+M22</f>
        <v>4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2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4</v>
      </c>
      <c r="AL22" s="123">
        <f>AI22-AJ22</f>
        <v>-4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7.1916740052548863E-12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2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1</v>
      </c>
      <c r="O23" s="23" t="str">
        <f>VLOOKUP(3,AD20:AN23,6,FALSE) &amp; " - " &amp; VLOOKUP(3,AD20:AN23,7,FALSE)</f>
        <v>1 - 1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1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1</v>
      </c>
      <c r="AL23" s="123">
        <f>AI23-AJ23</f>
        <v>0</v>
      </c>
      <c r="AM23" s="123">
        <f>AL23-AL24</f>
        <v>4</v>
      </c>
      <c r="AN23" s="123">
        <f>AF23*3+AG23</f>
        <v>3</v>
      </c>
      <c r="AO23" s="123">
        <f>AN23/AN24*10+BA23</f>
        <v>6</v>
      </c>
      <c r="AP23" s="123">
        <f>AO23*10000000+BI23*100+AM23/AM24*10+AI23/AI24*1++IF(AQ23=0,ROW(),AQ23)/2000000</f>
        <v>60000005.200749181</v>
      </c>
      <c r="AQ23" s="126">
        <f>VLOOKUP(AE23,db_fifarank,2,FALSE)</f>
        <v>1498.35</v>
      </c>
      <c r="AR23" s="125">
        <f>AP23/AP24</f>
        <v>0.66810735802523147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2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2</v>
      </c>
      <c r="O24" s="36" t="str">
        <f>VLOOKUP(4,AD20:AN23,6,FALSE) &amp; " - " &amp; VLOOKUP(4,AD20:AN23,7,FALSE)</f>
        <v>0 - 4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3</v>
      </c>
      <c r="AI24" s="123">
        <f>MAX(AI20:AI23)+1</f>
        <v>5</v>
      </c>
      <c r="AL24" s="123">
        <f>MIN(AL20:AL23)</f>
        <v>-4</v>
      </c>
      <c r="AM24" s="123">
        <f>MAX(AM20:AM23)+1</f>
        <v>8</v>
      </c>
      <c r="AN24" s="123">
        <f>MAX(AN20:AN23)+1</f>
        <v>5</v>
      </c>
      <c r="AO24" s="123">
        <f>MAX(AO20:AO23)+1</f>
        <v>9.9805825242718456</v>
      </c>
      <c r="AP24" s="123">
        <f>MAX(AP20:AP23)+1</f>
        <v>89805933.851851463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6</v>
      </c>
      <c r="AJ26" s="123">
        <f>SUMIF($E$7:$E$78,$AE26,$G$7:$G$78) + SUMIF($H$7:$H$78,$AE26,$F$7:$F$78)</f>
        <v>1</v>
      </c>
      <c r="AL26" s="123">
        <f>AI26-AJ26</f>
        <v>5</v>
      </c>
      <c r="AM26" s="123">
        <f>AL26-AL30</f>
        <v>8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85714295.461154029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2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6 - 1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1</v>
      </c>
      <c r="AN27" s="123">
        <f>AF27*3+AG27</f>
        <v>3</v>
      </c>
      <c r="AO27" s="123">
        <f>AN27/AN30*10+BA27</f>
        <v>4.2857142857142856</v>
      </c>
      <c r="AP27" s="123">
        <f>AO27*10000000+BI27*100+AM27/AM30*10+AI27/AI30*1++IF(AQ27=0,ROW(),AQ27)/2000000</f>
        <v>42857144.254720002</v>
      </c>
      <c r="AQ27" s="126">
        <f>VLOOKUP(AE27,db_fifarank,2,FALSE)</f>
        <v>1503.5</v>
      </c>
      <c r="AR27" s="125">
        <f>AP27/AP30</f>
        <v>0.49999995361500732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4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2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3</v>
      </c>
      <c r="AN28" s="123">
        <f>AF28*3+AG28</f>
        <v>3</v>
      </c>
      <c r="AO28" s="123">
        <f>AN28/AN30*10+BA28</f>
        <v>4.2857142857142856</v>
      </c>
      <c r="AP28" s="123">
        <f>AO28*10000000+BI28*100+AM28/AM30*10+AI28/AI30*1++IF(AQ28=0,ROW(),AQ28)/2000000</f>
        <v>42857146.476980813</v>
      </c>
      <c r="AQ28" s="126">
        <f>VLOOKUP(AE28,db_fifarank,2,FALSE)</f>
        <v>1580.67</v>
      </c>
      <c r="AR28" s="125">
        <f>AP28/AP30</f>
        <v>0.4999999795413802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2</v>
      </c>
      <c r="L29" s="23">
        <f>VLOOKUP(3,AD26:AN29,3,FALSE)</f>
        <v>1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3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1</v>
      </c>
      <c r="V29" s="123">
        <f t="shared" si="3"/>
        <v>1</v>
      </c>
      <c r="W29" s="123">
        <f t="shared" si="4"/>
        <v>1</v>
      </c>
      <c r="X29" s="123">
        <f t="shared" si="9"/>
        <v>1</v>
      </c>
      <c r="Y29" s="123">
        <f t="shared" si="10"/>
        <v>1</v>
      </c>
      <c r="Z29" s="123">
        <f t="shared" si="11"/>
        <v>1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3</v>
      </c>
      <c r="AL29" s="123">
        <f>AI29-AJ29</f>
        <v>-3</v>
      </c>
      <c r="AM29" s="123">
        <f>AL29-AL30</f>
        <v>0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7.9951999999999996E-4</v>
      </c>
      <c r="AQ29" s="126">
        <f>VLOOKUP(AE29,db_fifarank,2,FALSE)</f>
        <v>1599.04</v>
      </c>
      <c r="AR29" s="125">
        <f>AP29/AP30</f>
        <v>9.3277321638210582E-12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2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0 - 3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3</v>
      </c>
      <c r="AG30" s="123">
        <f t="shared" si="15"/>
        <v>1</v>
      </c>
      <c r="AH30" s="123">
        <f t="shared" si="15"/>
        <v>3</v>
      </c>
      <c r="AI30" s="123">
        <f>MAX(AI26:AI29)+1</f>
        <v>7</v>
      </c>
      <c r="AL30" s="123">
        <f>MIN(AL26:AL29)</f>
        <v>-3</v>
      </c>
      <c r="AM30" s="123">
        <f>MAX(AM26:AM29)+1</f>
        <v>9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85714296.461154029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4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1</v>
      </c>
      <c r="V31" s="123">
        <f t="shared" si="3"/>
        <v>1</v>
      </c>
      <c r="W31" s="123">
        <f t="shared" si="4"/>
        <v>1</v>
      </c>
      <c r="X31" s="123">
        <f t="shared" si="9"/>
        <v>1</v>
      </c>
      <c r="Y31" s="123">
        <f t="shared" si="10"/>
        <v>1</v>
      </c>
      <c r="Z31" s="123">
        <f t="shared" si="11"/>
        <v>1</v>
      </c>
      <c r="AA31" s="123">
        <f t="shared" si="5"/>
        <v>0</v>
      </c>
      <c r="AB31" s="123">
        <f t="shared" si="6"/>
        <v>0</v>
      </c>
      <c r="BK31" s="14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9</v>
      </c>
      <c r="AJ32" s="123">
        <f>SUMIF($E$7:$E$78,$AE32,$G$7:$G$78) + SUMIF($H$7:$H$78,$AE32,$F$7:$F$78)</f>
        <v>2</v>
      </c>
      <c r="AL32" s="123">
        <f>AI32-AJ32</f>
        <v>7</v>
      </c>
      <c r="AM32" s="123">
        <f>AL32-AL36</f>
        <v>13</v>
      </c>
      <c r="AN32" s="123">
        <f>AF32*3+AG32</f>
        <v>6</v>
      </c>
      <c r="AO32" s="123">
        <f>AN32/AN36*10+BA32</f>
        <v>8.5714285714285712</v>
      </c>
      <c r="AP32" s="123">
        <f>AO32*10000000+BI32*100+AM32/AM36*10+AI32/AI36*1++IF(AQ32=0,ROW(),AQ32)/2000000</f>
        <v>85714295.900865197</v>
      </c>
      <c r="AQ32" s="126">
        <f>VLOOKUP(AE32,db_fifarank,2,FALSE)</f>
        <v>1730.37</v>
      </c>
      <c r="AR32" s="125">
        <f>AP32/AP36</f>
        <v>0.99999998833333481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2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9 - 2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1</v>
      </c>
      <c r="AO33" s="123">
        <f>AN33/AN36*10+BA33</f>
        <v>2.4089635854341735</v>
      </c>
      <c r="AP33" s="123">
        <f>AO33*10000000+BI33*100+AM33/AM36*10+AI33/AI36*1++IF(AQ33=0,ROW(),AQ33)/2000000</f>
        <v>24089733.994204748</v>
      </c>
      <c r="AQ33" s="126">
        <f>VLOOKUP(AE33,db_fifarank,2,FALSE)</f>
        <v>1294.6500000000001</v>
      </c>
      <c r="AR33" s="125">
        <f>AP33/AP36</f>
        <v>0.28104685991960332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1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50</v>
      </c>
      <c r="BA33" s="126">
        <f>AZ33/AZ36</f>
        <v>0.98039215686274506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1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50</v>
      </c>
      <c r="BI33" s="126">
        <f>BH33/BH36</f>
        <v>0.98039215686274506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2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2 - 2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2</v>
      </c>
      <c r="AJ34" s="123">
        <f>SUMIF($E$7:$E$78,$AE34,$G$7:$G$78) + SUMIF($H$7:$H$78,$AE34,$F$7:$F$78)</f>
        <v>2</v>
      </c>
      <c r="AL34" s="123">
        <f>AI34-AJ34</f>
        <v>0</v>
      </c>
      <c r="AM34" s="123">
        <f>AL34-AL36</f>
        <v>6</v>
      </c>
      <c r="AN34" s="123">
        <f>AF34*3+AG34</f>
        <v>3</v>
      </c>
      <c r="AO34" s="123">
        <f>AN34/AN36*10+BA34</f>
        <v>4.2857142857142856</v>
      </c>
      <c r="AP34" s="123">
        <f>AO34*10000000+BI34*100+AM34/AM36*10+AI34/AI36*1++IF(AQ34=0,ROW(),AQ34)/2000000</f>
        <v>42857147.343623638</v>
      </c>
      <c r="AQ34" s="126">
        <f>VLOOKUP(AE34,db_fifarank,2,FALSE)</f>
        <v>1532.98</v>
      </c>
      <c r="AR34" s="125">
        <f>AP34/AP36</f>
        <v>0.49999998708723048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2</v>
      </c>
      <c r="L35" s="23">
        <f>VLOOKUP(3,AD32:AN35,3,FALSE)</f>
        <v>0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1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1</v>
      </c>
      <c r="AO35" s="123">
        <f>AN35/AN36*10+BA35</f>
        <v>2.4089635854341735</v>
      </c>
      <c r="AP35" s="123">
        <f>AO35*10000000+BI35*100+AM35/AM36*10+AI35/AI36*1++IF(AQ35=0,ROW(),AQ35)/2000000</f>
        <v>24089737.465783384</v>
      </c>
      <c r="AQ35" s="126">
        <f>VLOOKUP(AE35,db_fifarank,2,FALSE)</f>
        <v>1594.78</v>
      </c>
      <c r="AR35" s="125">
        <f>AP35/AP36</f>
        <v>0.28104690042134878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1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50</v>
      </c>
      <c r="BA35" s="126">
        <f>AZ35/AZ36</f>
        <v>0.98039215686274506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1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50</v>
      </c>
      <c r="BI35" s="126">
        <f>BH35/BH36</f>
        <v>0.98039215686274506</v>
      </c>
      <c r="BK35" s="14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2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10</v>
      </c>
      <c r="AL36" s="123">
        <f>MIN(AL32:AL35)</f>
        <v>-6</v>
      </c>
      <c r="AM36" s="123">
        <f>MAX(AM32:AM35)+1</f>
        <v>14</v>
      </c>
      <c r="AN36" s="123">
        <f>MAX(AN32:AN35)+1</f>
        <v>7</v>
      </c>
      <c r="AO36" s="123">
        <f>MAX(AO32:AO35)+1</f>
        <v>9.5714285714285712</v>
      </c>
      <c r="AP36" s="123">
        <f>MAX(AP32:AP35)+1</f>
        <v>85714296.900865197</v>
      </c>
      <c r="AT36" s="126">
        <f>MAX(AT32:AT35)-MIN(AT32:AT35)+1</f>
        <v>1</v>
      </c>
      <c r="AU36" s="126">
        <f>MAX(AU32:AU35)-MIN(AU32:AU35)+1</f>
        <v>2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51</v>
      </c>
      <c r="BB36" s="126">
        <f>MAX(BB32:BB35)-MIN(BB32:BB35)+1</f>
        <v>1</v>
      </c>
      <c r="BC36" s="126">
        <f>MAX(BC32:BC35)-MIN(BC32:BC35)+1</f>
        <v>2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51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1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7</v>
      </c>
      <c r="AJ38" s="123">
        <f>SUMIF($E$7:$E$78,$AE38,$G$7:$G$78) + SUMIF($H$7:$H$78,$AE38,$F$7:$F$78)</f>
        <v>3</v>
      </c>
      <c r="AL38" s="123">
        <f>AI38-AJ38</f>
        <v>4</v>
      </c>
      <c r="AM38" s="123">
        <f>AL38-AL42</f>
        <v>12</v>
      </c>
      <c r="AN38" s="123">
        <f>AF38*3+AG38</f>
        <v>4</v>
      </c>
      <c r="AO38" s="123">
        <f>AN38/AN42*10+BA38</f>
        <v>8.9806451612903224</v>
      </c>
      <c r="AP38" s="123">
        <f>AO38*10000000+BI38*100+AM38/AM42*10+AI38/AI42*1++IF(AQ38=0,ROW(),AQ38)/2000000</f>
        <v>89806559.784067512</v>
      </c>
      <c r="AQ38" s="126">
        <f>VLOOKUP(AE38,db_fifarank,2,FALSE)</f>
        <v>1757.87</v>
      </c>
      <c r="AR38" s="125">
        <f>AP38/AP42</f>
        <v>0.99999998886495611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4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2</v>
      </c>
      <c r="L39" s="31">
        <f>VLOOKUP(1,AD38:AN41,3,FALSE)</f>
        <v>1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7 - 3</v>
      </c>
      <c r="P39" s="32">
        <f>L39*3+M39</f>
        <v>4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6</v>
      </c>
      <c r="AJ39" s="123">
        <f>SUMIF($E$7:$E$78,$AE39,$G$7:$G$78) + SUMIF($H$7:$H$78,$AE39,$F$7:$F$78)</f>
        <v>2</v>
      </c>
      <c r="AL39" s="123">
        <f>AI39-AJ39</f>
        <v>4</v>
      </c>
      <c r="AM39" s="123">
        <f>AL39-AL42</f>
        <v>12</v>
      </c>
      <c r="AN39" s="123">
        <f>AF39*3+AG39</f>
        <v>4</v>
      </c>
      <c r="AO39" s="123">
        <f>AN39/AN42*10+BA39</f>
        <v>8.9806451612903224</v>
      </c>
      <c r="AP39" s="123">
        <f>AO39*10000000+BI39*100+AM39/AM42*10+AI39/AI42*1++IF(AQ39=0,ROW(),AQ39)/2000000</f>
        <v>89806559.6590188</v>
      </c>
      <c r="AQ39" s="126">
        <f>VLOOKUP(AE39,db_fifarank,2,FALSE)</f>
        <v>1660.43</v>
      </c>
      <c r="AR39" s="125">
        <f>AP39/AP42</f>
        <v>0.99999998747253316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4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2</v>
      </c>
      <c r="L40" s="23">
        <f>VLOOKUP(2,AD38:AN41,3,FALSE)</f>
        <v>1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6 - 2</v>
      </c>
      <c r="P40" s="34">
        <f>L40*3+M40</f>
        <v>4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1</v>
      </c>
      <c r="V40" s="123">
        <f t="shared" si="3"/>
        <v>0</v>
      </c>
      <c r="W40" s="123">
        <f t="shared" si="4"/>
        <v>0</v>
      </c>
      <c r="X40" s="123">
        <f t="shared" si="9"/>
        <v>1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1</v>
      </c>
      <c r="AI40" s="123">
        <f>SUMIF($E$7:$E$78,$AE40,$F$7:$F$78) + SUMIF($H$7:$H$78,$AE40,$G$7:$G$78)</f>
        <v>6</v>
      </c>
      <c r="AJ40" s="123">
        <f>SUMIF($E$7:$E$78,$AE40,$G$7:$G$78) + SUMIF($H$7:$H$78,$AE40,$F$7:$F$78)</f>
        <v>6</v>
      </c>
      <c r="AL40" s="123">
        <f>AI40-AJ40</f>
        <v>0</v>
      </c>
      <c r="AM40" s="123">
        <f>AL40-AL42</f>
        <v>8</v>
      </c>
      <c r="AN40" s="123">
        <f>AF40*3+AG40</f>
        <v>3</v>
      </c>
      <c r="AO40" s="123">
        <f>AN40/AN42*10+BA40</f>
        <v>6</v>
      </c>
      <c r="AP40" s="123">
        <f>AO40*10000000+BI40*100+AM40/AM42*10+AI40/AI42*1++IF(AQ40=0,ROW(),AQ40)/2000000</f>
        <v>60000006.904603533</v>
      </c>
      <c r="AQ40" s="126">
        <f>VLOOKUP(AE40,db_fifarank,2,FALSE)</f>
        <v>1514.77</v>
      </c>
      <c r="AR40" s="125">
        <f>AP40/AP42</f>
        <v>0.66810271299519663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2</v>
      </c>
      <c r="L41" s="23">
        <f>VLOOKUP(3,AD38:AN41,3,FALSE)</f>
        <v>1</v>
      </c>
      <c r="M41" s="23">
        <f>VLOOKUP(3,AD38:AN41,4,FALSE)</f>
        <v>0</v>
      </c>
      <c r="N41" s="23">
        <f>VLOOKUP(3,AD38:AN41,5,FALSE)</f>
        <v>1</v>
      </c>
      <c r="O41" s="23" t="str">
        <f>VLOOKUP(3,AD38:AN41,6,FALSE) &amp; " - " &amp; VLOOKUP(3,AD38:AN41,7,FALSE)</f>
        <v>6 - 6</v>
      </c>
      <c r="P41" s="34">
        <f>L41*3+M41</f>
        <v>3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2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9</v>
      </c>
      <c r="AL41" s="123">
        <f>AI41-AJ41</f>
        <v>-8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0.12574152499999999</v>
      </c>
      <c r="AQ41" s="126">
        <f>VLOOKUP(AE41,db_fifarank,2,FALSE)</f>
        <v>1483.05</v>
      </c>
      <c r="AR41" s="125">
        <f>AP41/AP42</f>
        <v>1.4001374053543276E-9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2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2</v>
      </c>
      <c r="O42" s="36" t="str">
        <f>VLOOKUP(4,AD38:AN41,6,FALSE) &amp; " - " &amp; VLOOKUP(4,AD38:AN41,7,FALSE)</f>
        <v>1 - 9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3</v>
      </c>
      <c r="AI42" s="123">
        <f>MAX(AI38:AI41)+1</f>
        <v>8</v>
      </c>
      <c r="AL42" s="123">
        <f>MIN(AL38:AL41)</f>
        <v>-8</v>
      </c>
      <c r="AM42" s="123">
        <f>MAX(AM38:AM41)+1</f>
        <v>13</v>
      </c>
      <c r="AN42" s="123">
        <f>MAX(AN38:AN41)+1</f>
        <v>5</v>
      </c>
      <c r="AO42" s="123">
        <f>MAX(AO38:AO41)+1</f>
        <v>9.9806451612903224</v>
      </c>
      <c r="AP42" s="123">
        <f>MAX(AP38:AP41)+1</f>
        <v>89806560.784067512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4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1</v>
      </c>
      <c r="V43" s="123">
        <f t="shared" si="3"/>
        <v>2</v>
      </c>
      <c r="W43" s="123">
        <f t="shared" si="4"/>
        <v>2</v>
      </c>
      <c r="X43" s="123">
        <f t="shared" si="9"/>
        <v>1</v>
      </c>
      <c r="Y43" s="123">
        <f t="shared" si="10"/>
        <v>2</v>
      </c>
      <c r="Z43" s="123">
        <f t="shared" si="11"/>
        <v>2</v>
      </c>
      <c r="AA43" s="123">
        <f t="shared" si="17"/>
        <v>0</v>
      </c>
      <c r="AB43" s="123">
        <f t="shared" si="6"/>
        <v>0</v>
      </c>
      <c r="BK43" s="14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2</v>
      </c>
      <c r="AN44" s="123">
        <f>AF44*3+AG44</f>
        <v>2</v>
      </c>
      <c r="AO44" s="123">
        <f>AN44/AN48*10+BA44</f>
        <v>4.9803921568627452</v>
      </c>
      <c r="AP44" s="123">
        <f>AO44*10000000+BI44*100+AM44/AM48*10+AI44/AI48*1++IF(AQ44=0,ROW(),AQ44)/2000000</f>
        <v>49804023.808710493</v>
      </c>
      <c r="AQ44" s="126">
        <f>VLOOKUP(AE44,db_fifarank,2,FALSE)</f>
        <v>1734.71</v>
      </c>
      <c r="AR44" s="125">
        <f>AP44/AP48</f>
        <v>0.62255022134039661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</v>
      </c>
      <c r="BA44" s="126">
        <f>AZ44/AZ48</f>
        <v>0.98039215686274506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</v>
      </c>
      <c r="BI44" s="126">
        <f>BH44/BH48</f>
        <v>0.98039215686274506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Egypt</v>
      </c>
      <c r="K45" s="31">
        <f>L45+M45+N45</f>
        <v>2</v>
      </c>
      <c r="L45" s="31">
        <f>VLOOKUP(1,AD44:AN47,3,FALSE)</f>
        <v>1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4 - 2</v>
      </c>
      <c r="P45" s="32">
        <f>L45*3+M45</f>
        <v>4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1</v>
      </c>
      <c r="V45" s="123">
        <f t="shared" si="3"/>
        <v>0</v>
      </c>
      <c r="W45" s="123">
        <f t="shared" si="4"/>
        <v>0</v>
      </c>
      <c r="X45" s="123">
        <f t="shared" si="9"/>
        <v>1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1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4</v>
      </c>
      <c r="AJ45" s="123">
        <f>SUMIF($E$7:$E$78,$AE45,$G$7:$G$78) + SUMIF($H$7:$H$78,$AE45,$F$7:$F$78)</f>
        <v>2</v>
      </c>
      <c r="AL45" s="123">
        <f>AI45-AJ45</f>
        <v>2</v>
      </c>
      <c r="AM45" s="123">
        <f>AL45-AL48</f>
        <v>4</v>
      </c>
      <c r="AN45" s="123">
        <f>AF45*3+AG45</f>
        <v>4</v>
      </c>
      <c r="AO45" s="123">
        <f>AN45/AN48*10+BA45</f>
        <v>8</v>
      </c>
      <c r="AP45" s="123">
        <f>AO45*10000000+BI45*100+AM45/AM48*10+AI45/AI48*1++IF(AQ45=0,ROW(),AQ45)/2000000</f>
        <v>80000008.800781623</v>
      </c>
      <c r="AQ45" s="126">
        <f>VLOOKUP(AE45,db_fifarank,2,FALSE)</f>
        <v>1563.24</v>
      </c>
      <c r="AR45" s="125">
        <f>AP45/AP48</f>
        <v>0.99999998750000152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47"/>
      <c r="CN45" s="148"/>
      <c r="CO45" s="148"/>
      <c r="CP45" s="148"/>
      <c r="CQ45" s="149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Iran</v>
      </c>
      <c r="K46" s="23">
        <f>L46+M46+N46</f>
        <v>2</v>
      </c>
      <c r="L46" s="23">
        <f>VLOOKUP(2,AD44:AN47,3,FALSE)</f>
        <v>0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2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2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2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2</v>
      </c>
      <c r="AN46" s="123">
        <f>AF46*3+AG46</f>
        <v>2</v>
      </c>
      <c r="AO46" s="123">
        <f>AN46/AN48*10+BA46</f>
        <v>4.9803921568627452</v>
      </c>
      <c r="AP46" s="123">
        <f>AO46*10000000+BI46*100+AM46/AM48*10+AI46/AI48*1++IF(AQ46=0,ROW(),AQ46)/2000000</f>
        <v>49804024.008650787</v>
      </c>
      <c r="AQ46" s="126">
        <f>VLOOKUP(AE46,db_fifarank,2,FALSE)</f>
        <v>1615.3</v>
      </c>
      <c r="AR46" s="125">
        <f>AP46/AP48</f>
        <v>0.62255022383964997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50</v>
      </c>
      <c r="BA46" s="126">
        <f>AZ46/AZ48</f>
        <v>0.98039215686274506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50</v>
      </c>
      <c r="BI46" s="126">
        <f>BH46/BH48</f>
        <v>0.98039215686274506</v>
      </c>
      <c r="BK46" s="14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Belgium</v>
      </c>
      <c r="K47" s="23">
        <f>L47+M47+N47</f>
        <v>2</v>
      </c>
      <c r="L47" s="23">
        <f>VLOOKUP(3,AD44:AN47,3,FALSE)</f>
        <v>0</v>
      </c>
      <c r="M47" s="23">
        <f>VLOOKUP(3,AD44:AN47,4,FALSE)</f>
        <v>2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2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1</v>
      </c>
      <c r="AI47" s="123">
        <f>SUMIF($E$7:$E$78,$AE47,$F$7:$F$78) + SUMIF($H$7:$H$78,$AE47,$G$7:$G$78)</f>
        <v>3</v>
      </c>
      <c r="AJ47" s="123">
        <f>SUMIF($E$7:$E$78,$AE47,$G$7:$G$78) + SUMIF($H$7:$H$78,$AE47,$F$7:$F$78)</f>
        <v>5</v>
      </c>
      <c r="AL47" s="123">
        <f>AI47-AJ47</f>
        <v>-2</v>
      </c>
      <c r="AM47" s="123">
        <f>AL47-AL48</f>
        <v>0</v>
      </c>
      <c r="AN47" s="123">
        <f>AF47*3+AG47</f>
        <v>1</v>
      </c>
      <c r="AO47" s="123">
        <f>AN47/AN48*10+BA47</f>
        <v>2</v>
      </c>
      <c r="AP47" s="123">
        <f>AO47*10000000+BI47*100+AM47/AM48*10+AI47/AI48*1++IF(AQ47=0,ROW(),AQ47)/2000000</f>
        <v>20000000.600640785</v>
      </c>
      <c r="AQ47" s="126">
        <f>VLOOKUP(AE47,db_fifarank,2,FALSE)</f>
        <v>1281.57</v>
      </c>
      <c r="AR47" s="125">
        <f>AP47/AP48</f>
        <v>0.24999997688057007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4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2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1</v>
      </c>
      <c r="O48" s="36" t="str">
        <f>VLOOKUP(4,AD44:AN47,6,FALSE) &amp; " - " &amp; VLOOKUP(4,AD44:AN47,7,FALSE)</f>
        <v>3 - 5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2</v>
      </c>
      <c r="AH48" s="123">
        <f t="shared" si="24"/>
        <v>2</v>
      </c>
      <c r="AI48" s="123">
        <f>MAX(AI44:AI47)+1</f>
        <v>5</v>
      </c>
      <c r="AL48" s="123">
        <f>MIN(AL44:AL47)</f>
        <v>-2</v>
      </c>
      <c r="AM48" s="123">
        <f>MAX(AM44:AM47)+1</f>
        <v>5</v>
      </c>
      <c r="AN48" s="123">
        <f>MAX(AN44:AN47)+1</f>
        <v>5</v>
      </c>
      <c r="AO48" s="123">
        <f>MAX(AO44:AO47)+1</f>
        <v>9</v>
      </c>
      <c r="AP48" s="123">
        <f>MAX(AP44:AP47)+1</f>
        <v>80000009.800781623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51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51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4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4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1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4</v>
      </c>
      <c r="AJ50" s="123">
        <f>SUMIF($E$7:$E$78,$AE50,$G$7:$G$78) + SUMIF($H$7:$H$78,$AE50,$F$7:$F$78)</f>
        <v>0</v>
      </c>
      <c r="AL50" s="123">
        <f>AI50-AJ50</f>
        <v>4</v>
      </c>
      <c r="AM50" s="123">
        <f>AL50-AL54</f>
        <v>8</v>
      </c>
      <c r="AN50" s="123">
        <f>AF50*3+AG50</f>
        <v>4</v>
      </c>
      <c r="AO50" s="123">
        <f>AN50/AN54*10+BA50</f>
        <v>8</v>
      </c>
      <c r="AP50" s="123">
        <f>AO50*10000000+BI50*100+AM50/AM54*10+AI50/AI54*1++IF(AQ50=0,ROW(),AQ50)/2000000</f>
        <v>80000009.689827099</v>
      </c>
      <c r="AQ50" s="126">
        <f>VLOOKUP(AE50,db_fifarank,2,FALSE)</f>
        <v>1876.4</v>
      </c>
      <c r="AR50" s="125">
        <f>AP50/AP54</f>
        <v>0.99999998750000163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4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Spain</v>
      </c>
      <c r="K51" s="31">
        <f>L51+M51+N51</f>
        <v>2</v>
      </c>
      <c r="L51" s="31">
        <f>VLOOKUP(1,AD50:AN53,3,FALSE)</f>
        <v>1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4 - 0</v>
      </c>
      <c r="P51" s="32">
        <f>L51*3+M51</f>
        <v>4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3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2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2</v>
      </c>
      <c r="AO51" s="123">
        <f>AN51/AN54*10+BA51</f>
        <v>4.9806451612903224</v>
      </c>
      <c r="AP51" s="123">
        <f>AO51*10000000+BI51*100+AM51/AM54*10+AI51/AI54*1++IF(AQ51=0,ROW(),AQ51)/2000000</f>
        <v>49806554.522546858</v>
      </c>
      <c r="AQ51" s="126">
        <f>VLOOKUP(AE51,db_fifarank,2,FALSE)</f>
        <v>1366.13</v>
      </c>
      <c r="AR51" s="125">
        <f>AP51/AP54</f>
        <v>0.62258184834068175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2</v>
      </c>
      <c r="AW51" s="126" cm="1">
        <f t="array" ref="AW51">SUMPRODUCT(($E$7:$E$78=AE51)*($U$7:$U$78)*($G$7:$G$78))+SUMPRODUCT(($H$7:$H$78=AE51)*($U$7:$U$78)*($F$7:$F$78))</f>
        <v>2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50.666666666666664</v>
      </c>
      <c r="BA51" s="126">
        <f>AZ51/AZ54</f>
        <v>0.98064516129032253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2</v>
      </c>
      <c r="BE51" s="126" cm="1">
        <f t="array" ref="BE51">SUMPRODUCT(($E$7:$E$78=AE51)*($X$7:$X$78)*($G$7:$G$78))+SUMPRODUCT(($H$7:$H$78=AE51)*($X$7:$X$78)*($F$7:$F$78))</f>
        <v>2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50.666666666666664</v>
      </c>
      <c r="BI51" s="126">
        <f>BH51/BH54</f>
        <v>0.98064516129032253</v>
      </c>
      <c r="BK51" s="14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Uruguay</v>
      </c>
      <c r="K52" s="23">
        <f>L52+M52+N52</f>
        <v>2</v>
      </c>
      <c r="L52" s="23">
        <f>VLOOKUP(2,AD50:AN53,3,FALSE)</f>
        <v>0</v>
      </c>
      <c r="M52" s="23">
        <f>VLOOKUP(2,AD50:AN53,4,FALSE)</f>
        <v>2</v>
      </c>
      <c r="N52" s="23">
        <f>VLOOKUP(2,AD50:AN53,5,FALSE)</f>
        <v>0</v>
      </c>
      <c r="O52" s="23" t="str">
        <f>VLOOKUP(2,AD50:AN53,6,FALSE) &amp; " - " &amp; VLOOKUP(2,AD50:AN53,7,FALSE)</f>
        <v>3 - 3</v>
      </c>
      <c r="P52" s="34">
        <f>L52*3+M52</f>
        <v>2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1</v>
      </c>
      <c r="AO52" s="123">
        <f>AN52/AN54*10+BA52</f>
        <v>2</v>
      </c>
      <c r="AP52" s="123">
        <f>AO52*10000000+BI52*100+AM52/AM54*10+AI52/AI54*1++IF(AQ52=0,ROW(),AQ52)/2000000</f>
        <v>20000000.200710714</v>
      </c>
      <c r="AQ52" s="126">
        <f>VLOOKUP(AE52,db_fifarank,2,FALSE)</f>
        <v>1421.43</v>
      </c>
      <c r="AR52" s="125">
        <f>AP52/AP54</f>
        <v>0.24999996910317837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Cape Verde</v>
      </c>
      <c r="K53" s="23">
        <f>L53+M53+N53</f>
        <v>2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0</v>
      </c>
      <c r="O53" s="23" t="str">
        <f>VLOOKUP(3,AD50:AN53,6,FALSE) &amp; " - " &amp; VLOOKUP(3,AD50:AN53,7,FALSE)</f>
        <v>2 - 2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0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3</v>
      </c>
      <c r="AL53" s="123">
        <f>AI53-AJ53</f>
        <v>0</v>
      </c>
      <c r="AM53" s="123">
        <f>AL53-AL54</f>
        <v>4</v>
      </c>
      <c r="AN53" s="123">
        <f>AF53*3+AG53</f>
        <v>2</v>
      </c>
      <c r="AO53" s="123">
        <f>AN53/AN54*10+BA53</f>
        <v>4.9806451612903224</v>
      </c>
      <c r="AP53" s="123">
        <f>AO53*10000000+BI53*100+AM53/AM54*10+AI53/AI54*1++IF(AQ53=0,ROW(),AQ53)/2000000</f>
        <v>49806554.722700335</v>
      </c>
      <c r="AQ53" s="126">
        <f>VLOOKUP(AE53,db_fifarank,2,FALSE)</f>
        <v>1673.07</v>
      </c>
      <c r="AR53" s="125">
        <f>AP53/AP54</f>
        <v>0.62258185084259998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2</v>
      </c>
      <c r="AW53" s="126" cm="1">
        <f t="array" ref="AW53">SUMPRODUCT(($E$7:$E$78=AE53)*($U$7:$U$78)*($G$7:$G$78))+SUMPRODUCT(($H$7:$H$78=AE53)*($U$7:$U$78)*($F$7:$F$78))</f>
        <v>2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50.666666666666664</v>
      </c>
      <c r="BA53" s="126">
        <f>AZ53/AZ54</f>
        <v>0.98064516129032253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2</v>
      </c>
      <c r="BE53" s="126" cm="1">
        <f t="array" ref="BE53">SUMPRODUCT(($E$7:$E$78=AE53)*($X$7:$X$78)*($G$7:$G$78))+SUMPRODUCT(($H$7:$H$78=AE53)*($X$7:$X$78)*($F$7:$F$78))</f>
        <v>2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50.666666666666664</v>
      </c>
      <c r="BI53" s="126">
        <f>BH53/BH54</f>
        <v>0.98064516129032253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Saudi Arabia</v>
      </c>
      <c r="K54" s="36">
        <f>L54+M54+N54</f>
        <v>2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2</v>
      </c>
      <c r="AG54" s="123">
        <f t="shared" si="25"/>
        <v>2</v>
      </c>
      <c r="AH54" s="123">
        <f t="shared" si="25"/>
        <v>2</v>
      </c>
      <c r="AI54" s="123">
        <f>MAX(AI50:AI53)+1</f>
        <v>5</v>
      </c>
      <c r="AL54" s="123">
        <f>MIN(AL50:AL53)</f>
        <v>-4</v>
      </c>
      <c r="AM54" s="123">
        <f>MAX(AM50:AM53)+1</f>
        <v>9</v>
      </c>
      <c r="AN54" s="123">
        <f>MAX(AN50:AN53)+1</f>
        <v>5</v>
      </c>
      <c r="AO54" s="123">
        <f>MAX(AO50:AO53)+1</f>
        <v>9</v>
      </c>
      <c r="AP54" s="123">
        <f>MAX(AP50:AP53)+1</f>
        <v>80000010.689827099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3</v>
      </c>
      <c r="AW54" s="126">
        <f>MAX(AW50:AW53)-MIN(AW50:AW53)+1</f>
        <v>3</v>
      </c>
      <c r="AY54" s="126">
        <f>MAX(AY50:AY53)-MIN(AY50:AY53)+1</f>
        <v>1</v>
      </c>
      <c r="AZ54" s="126">
        <f>MAX(AZ50:AZ53)+1</f>
        <v>51.666666666666664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3</v>
      </c>
      <c r="BE54" s="126">
        <f>MAX(BE50:BE53)-MIN(BE50:BE53)+1</f>
        <v>3</v>
      </c>
      <c r="BG54" s="126">
        <f>MAX(BG50:BG53)-MIN(BG50:BG53)+1</f>
        <v>1</v>
      </c>
      <c r="BH54" s="126">
        <f>MAX(BH50:BH53)+1</f>
        <v>51.666666666666664</v>
      </c>
      <c r="BK54" s="14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4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2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6</v>
      </c>
      <c r="AJ56" s="123">
        <f>SUMIF($E$7:$E$78,$AE56,$G$7:$G$78) + SUMIF($H$7:$H$78,$AE56,$F$7:$F$78)</f>
        <v>1</v>
      </c>
      <c r="AL56" s="123">
        <f>AI56-AJ56</f>
        <v>5</v>
      </c>
      <c r="AM56" s="123">
        <f>AL56-AL60</f>
        <v>11</v>
      </c>
      <c r="AN56" s="123">
        <f>AF56*3+AG56</f>
        <v>6</v>
      </c>
      <c r="AO56" s="123">
        <f>AN56/AN60*10+BA56</f>
        <v>8.5714285714285712</v>
      </c>
      <c r="AP56" s="123">
        <f>AO56*10000000+BI56*100+AM56/AM60*10+AI56/AI60*1++IF(AQ56=0,ROW(),AQ56)/2000000</f>
        <v>85714295.631891042</v>
      </c>
      <c r="AQ56" s="126">
        <f>VLOOKUP(AE56,db_fifarank,2,FALSE)</f>
        <v>1877.32</v>
      </c>
      <c r="AR56" s="125">
        <f>AP56/AP60</f>
        <v>0.99999998833333481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2</v>
      </c>
      <c r="L57" s="31">
        <f>VLOOKUP(1,AD56:AN59,3,FALSE)</f>
        <v>2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6 - 1</v>
      </c>
      <c r="P57" s="32">
        <f>L57*3+M57</f>
        <v>6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3</v>
      </c>
      <c r="AJ57" s="123">
        <f>SUMIF($E$7:$E$78,$AE57,$G$7:$G$78) + SUMIF($H$7:$H$78,$AE57,$F$7:$F$78)</f>
        <v>6</v>
      </c>
      <c r="AL57" s="123">
        <f>AI57-AJ57</f>
        <v>-3</v>
      </c>
      <c r="AM57" s="123">
        <f>AL57-AL60</f>
        <v>3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2.8758444949999999</v>
      </c>
      <c r="AQ57" s="126">
        <f>VLOOKUP(AE57,db_fifarank,2,FALSE)</f>
        <v>1688.99</v>
      </c>
      <c r="AR57" s="125">
        <f>AP57/AP60</f>
        <v>3.35515148348077E-8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2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7 - 3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2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7</v>
      </c>
      <c r="AL58" s="123">
        <f>AI58-AJ58</f>
        <v>-6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0.12572357000000001</v>
      </c>
      <c r="AQ58" s="126">
        <f>VLOOKUP(AE58,db_fifarank,2,FALSE)</f>
        <v>1447.14</v>
      </c>
      <c r="AR58" s="125">
        <f>AP58/AP60</f>
        <v>1.466774796507203E-9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2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3 - 6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7</v>
      </c>
      <c r="AJ59" s="123">
        <f>SUMIF($E$7:$E$78,$AE59,$G$7:$G$78) + SUMIF($H$7:$H$78,$AE59,$F$7:$F$78)</f>
        <v>3</v>
      </c>
      <c r="AL59" s="123">
        <f>AI59-AJ59</f>
        <v>4</v>
      </c>
      <c r="AM59" s="123">
        <f>AL59-AL60</f>
        <v>10</v>
      </c>
      <c r="AN59" s="123">
        <f>AF59*3+AG59</f>
        <v>6</v>
      </c>
      <c r="AO59" s="123">
        <f>AN59/AN60*10+BA59</f>
        <v>8.5714285714285712</v>
      </c>
      <c r="AP59" s="123">
        <f>AO59*10000000+BI59*100+AM59/AM60*10+AI59/AI60*1++IF(AQ59=0,ROW(),AQ59)/2000000</f>
        <v>85714294.923394516</v>
      </c>
      <c r="AQ59" s="126">
        <f>VLOOKUP(AE59,db_fifarank,2,FALSE)</f>
        <v>1550.94</v>
      </c>
      <c r="AR59" s="125">
        <f>AP59/AP60</f>
        <v>0.99999998006754309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2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2</v>
      </c>
      <c r="O60" s="36" t="str">
        <f>VLOOKUP(4,AD56:AN59,6,FALSE) &amp; " - " &amp; VLOOKUP(4,AD56:AN59,7,FALSE)</f>
        <v>1 - 7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3</v>
      </c>
      <c r="AG60" s="123">
        <f t="shared" si="27"/>
        <v>1</v>
      </c>
      <c r="AH60" s="123">
        <f t="shared" si="27"/>
        <v>3</v>
      </c>
      <c r="AI60" s="123">
        <f>MAX(AI56:AI59)+1</f>
        <v>8</v>
      </c>
      <c r="AL60" s="123">
        <f>MIN(AL56:AL59)</f>
        <v>-6</v>
      </c>
      <c r="AM60" s="123">
        <f>MAX(AM56:AM59)+1</f>
        <v>12</v>
      </c>
      <c r="AN60" s="123">
        <f>MAX(AN56:AN59)+1</f>
        <v>7</v>
      </c>
      <c r="AO60" s="123">
        <f>MAX(AO56:AO59)+1</f>
        <v>9.5714285714285712</v>
      </c>
      <c r="AP60" s="123">
        <f>MAX(AP56:AP59)+1</f>
        <v>85714296.631891042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2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5</v>
      </c>
      <c r="AJ62" s="123">
        <f>SUMIF($E$7:$E$78,$AE62,$G$7:$G$78) + SUMIF($H$7:$H$78,$AE62,$F$7:$F$78)</f>
        <v>0</v>
      </c>
      <c r="AL62" s="123">
        <f>AI62-AJ62</f>
        <v>5</v>
      </c>
      <c r="AM62" s="123">
        <f>AL62-AL66</f>
        <v>8</v>
      </c>
      <c r="AN62" s="123">
        <f>AF62*3+AG62</f>
        <v>6</v>
      </c>
      <c r="AO62" s="123">
        <f>AN62/AN66*10+BA62</f>
        <v>8.5714285714285712</v>
      </c>
      <c r="AP62" s="123">
        <f>AO62*10000000+BI62*100+AM62/AM66*10+AI62/AI66*1++IF(AQ62=0,ROW(),AQ62)/2000000</f>
        <v>85714295.437445357</v>
      </c>
      <c r="AQ62" s="126">
        <f>VLOOKUP(AE62,db_fifarank,2,FALSE)</f>
        <v>1874.82</v>
      </c>
      <c r="AR62" s="125">
        <f>AP62/AP66</f>
        <v>0.99999998833333481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2</v>
      </c>
      <c r="L63" s="31">
        <f>VLOOKUP(1,AD62:AN65,3,FALSE)</f>
        <v>2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5 - 0</v>
      </c>
      <c r="P63" s="32">
        <f>L63*3+M63</f>
        <v>6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2</v>
      </c>
      <c r="AJ63" s="123">
        <f>SUMIF($E$7:$E$78,$AE63,$G$7:$G$78) + SUMIF($H$7:$H$78,$AE63,$F$7:$F$78)</f>
        <v>4</v>
      </c>
      <c r="AL63" s="123">
        <f>AI63-AJ63</f>
        <v>-2</v>
      </c>
      <c r="AM63" s="123">
        <f>AL63-AL66</f>
        <v>1</v>
      </c>
      <c r="AN63" s="123">
        <f>AF63*3+AG63</f>
        <v>3</v>
      </c>
      <c r="AO63" s="123">
        <f>AN63/AN66*10+BA63</f>
        <v>4.2857142857142856</v>
      </c>
      <c r="AP63" s="123">
        <f>AO63*10000000+BI63*100+AM63/AM66*10+AI63/AI66*1++IF(AQ63=0,ROW(),AQ63)/2000000</f>
        <v>42857144.302369438</v>
      </c>
      <c r="AQ63" s="126">
        <f>VLOOKUP(AE63,db_fifarank,2,FALSE)</f>
        <v>1564.26</v>
      </c>
      <c r="AR63" s="125">
        <f>AP63/AP66</f>
        <v>0.4999999543092179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4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2</v>
      </c>
      <c r="L64" s="23">
        <f>VLOOKUP(2,AD62:AN65,3,FALSE)</f>
        <v>1</v>
      </c>
      <c r="M64" s="23">
        <f>VLOOKUP(2,AD62:AN65,4,FALSE)</f>
        <v>0</v>
      </c>
      <c r="N64" s="23">
        <f>VLOOKUP(2,AD62:AN65,5,FALSE)</f>
        <v>1</v>
      </c>
      <c r="O64" s="23" t="str">
        <f>VLOOKUP(2,AD62:AN65,6,FALSE) &amp; " - " &amp; VLOOKUP(2,AD62:AN65,7,FALSE)</f>
        <v>3 - 3</v>
      </c>
      <c r="P64" s="34">
        <f>L64*3+M64</f>
        <v>3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0</v>
      </c>
      <c r="AH64" s="123">
        <f>COUNTIF($S$7:$T$78,"=" &amp; AE64 &amp; "_lose")</f>
        <v>1</v>
      </c>
      <c r="AI64" s="123">
        <f>SUMIF($E$7:$E$78,$AE64,$F$7:$F$78) + SUMIF($H$7:$H$78,$AE64,$G$7:$G$78)</f>
        <v>3</v>
      </c>
      <c r="AJ64" s="123">
        <f>SUMIF($E$7:$E$78,$AE64,$G$7:$G$78) + SUMIF($H$7:$H$78,$AE64,$F$7:$F$78)</f>
        <v>3</v>
      </c>
      <c r="AL64" s="123">
        <f>AI64-AJ64</f>
        <v>0</v>
      </c>
      <c r="AM64" s="123">
        <f>AL64-AL66</f>
        <v>3</v>
      </c>
      <c r="AN64" s="123">
        <f>AF64*3+AG64</f>
        <v>3</v>
      </c>
      <c r="AO64" s="123">
        <f>AN64/AN66*10+BA64</f>
        <v>4.2857142857142856</v>
      </c>
      <c r="AP64" s="123">
        <f>AO64*10000000+BI64*100+AM64/AM66*10+AI64/AI66*1++IF(AQ64=0,ROW(),AQ64)/2000000</f>
        <v>42857146.691272922</v>
      </c>
      <c r="AQ64" s="126">
        <f>VLOOKUP(AE64,db_fifarank,2,FALSE)</f>
        <v>1593.45</v>
      </c>
      <c r="AR64" s="125">
        <f>AP64/AP66</f>
        <v>0.49999998217975505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2</v>
      </c>
      <c r="L65" s="23">
        <f>VLOOKUP(3,AD62:AN65,3,FALSE)</f>
        <v>1</v>
      </c>
      <c r="M65" s="23">
        <f>VLOOKUP(3,AD62:AN65,4,FALSE)</f>
        <v>0</v>
      </c>
      <c r="N65" s="23">
        <f>VLOOKUP(3,AD62:AN65,5,FALSE)</f>
        <v>1</v>
      </c>
      <c r="O65" s="23" t="str">
        <f>VLOOKUP(3,AD62:AN65,6,FALSE) &amp; " - " &amp; VLOOKUP(3,AD62:AN65,7,FALSE)</f>
        <v>2 - 4</v>
      </c>
      <c r="P65" s="34">
        <f>L65*3+M65</f>
        <v>3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2</v>
      </c>
      <c r="AI65" s="123">
        <f>SUMIF($E$7:$E$78,$AE65,$F$7:$F$78) + SUMIF($H$7:$H$78,$AE65,$G$7:$G$78)</f>
        <v>2</v>
      </c>
      <c r="AJ65" s="123">
        <f>SUMIF($E$7:$E$78,$AE65,$G$7:$G$78) + SUMIF($H$7:$H$78,$AE65,$F$7:$F$78)</f>
        <v>5</v>
      </c>
      <c r="AL65" s="123">
        <f>AI65-AJ65</f>
        <v>-3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3.8970051930264523E-9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2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2</v>
      </c>
      <c r="O66" s="36" t="str">
        <f>VLOOKUP(4,AD62:AN65,6,FALSE) &amp; " - " &amp; VLOOKUP(4,AD62:AN65,7,FALSE)</f>
        <v>2 - 5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3</v>
      </c>
      <c r="AG66" s="123">
        <f t="shared" si="28"/>
        <v>1</v>
      </c>
      <c r="AH66" s="123">
        <f t="shared" si="28"/>
        <v>3</v>
      </c>
      <c r="AI66" s="123">
        <f>MAX(AI62:AI65)+1</f>
        <v>6</v>
      </c>
      <c r="AL66" s="123">
        <f>MIN(AL62:AL65)</f>
        <v>-3</v>
      </c>
      <c r="AM66" s="123">
        <f>MAX(AM62:AM65)+1</f>
        <v>9</v>
      </c>
      <c r="AN66" s="123">
        <f>MAX(AN62:AN65)+1</f>
        <v>7</v>
      </c>
      <c r="AO66" s="123">
        <f>MAX(AO62:AO65)+1</f>
        <v>9.5714285714285712</v>
      </c>
      <c r="AP66" s="123">
        <f>MAX(AP62:AP65)+1</f>
        <v>85714296.437445357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4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4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1</v>
      </c>
      <c r="AH68" s="123">
        <f>COUNTIF($S$7:$T$78,"=" &amp; AE68 &amp; "_lose")</f>
        <v>0</v>
      </c>
      <c r="AI68" s="123">
        <f>SUMIF($E$7:$E$78,$AE68,$F$7:$F$78) + SUMIF($H$7:$H$78,$AE68,$G$7:$G$78)</f>
        <v>1</v>
      </c>
      <c r="AJ68" s="123">
        <f>SUMIF($E$7:$E$78,$AE68,$G$7:$G$78) + SUMIF($H$7:$H$78,$AE68,$F$7:$F$78)</f>
        <v>1</v>
      </c>
      <c r="AL68" s="123">
        <f>AI68-AJ68</f>
        <v>0</v>
      </c>
      <c r="AM68" s="123">
        <f>AL68-AL72</f>
        <v>2</v>
      </c>
      <c r="AN68" s="123">
        <f>AF68*3+AG68</f>
        <v>1</v>
      </c>
      <c r="AO68" s="123">
        <f>AN68/AN72*10+BA68</f>
        <v>3.4805825242718447</v>
      </c>
      <c r="AP68" s="123">
        <f>AO68*10000000+BI68*100+AM68/AM72*10+AI68/AI72*1++IF(AQ68=0,ROW(),AQ68)/2000000</f>
        <v>34805927.551852785</v>
      </c>
      <c r="AQ68" s="126">
        <f>VLOOKUP(AE68,db_fifarank,2,FALSE)</f>
        <v>1763.83</v>
      </c>
      <c r="AR68" s="125">
        <f>AP68/AP72</f>
        <v>0.46407897368919898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1</v>
      </c>
      <c r="AV68" s="126" cm="1">
        <f t="array" ref="AV68">SUMPRODUCT(($E$7:$E$78=AE68)*($U$7:$U$78)*($F$7:$F$78))+SUMPRODUCT(($H$7:$H$78=AE68)*($U$7:$U$78)*($G$7:$G$78))</f>
        <v>1</v>
      </c>
      <c r="AW68" s="126" cm="1">
        <f t="array" ref="AW68">SUMPRODUCT(($E$7:$E$78=AE68)*($U$7:$U$78)*($G$7:$G$78))+SUMPRODUCT(($H$7:$H$78=AE68)*($U$7:$U$78)*($F$7:$F$78))</f>
        <v>1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50.5</v>
      </c>
      <c r="BA68" s="126">
        <f>AZ68/AZ72</f>
        <v>0.98058252427184467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1</v>
      </c>
      <c r="BD68" s="126" cm="1">
        <f t="array" ref="BD68">SUMPRODUCT(($E$7:$E$78=AE68)*($X$7:$X$78)*($F$7:$F$78))+SUMPRODUCT(($H$7:$H$78=AE68)*($X$7:$X$78)*($G$7:$G$78))</f>
        <v>1</v>
      </c>
      <c r="BE68" s="126" cm="1">
        <f t="array" ref="BE68">SUMPRODUCT(($E$7:$E$78=AE68)*($X$7:$X$78)*($G$7:$G$78))+SUMPRODUCT(($H$7:$H$78=AE68)*($X$7:$X$78)*($F$7:$F$78))</f>
        <v>1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50.5</v>
      </c>
      <c r="BI68" s="126">
        <f>BH68/BH72</f>
        <v>0.98058252427184467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/>
      </c>
      <c r="CL68" s="131"/>
      <c r="CM68" s="131"/>
      <c r="CN68" s="131"/>
      <c r="CO68" s="131"/>
      <c r="CP68" s="131"/>
      <c r="CQ68" s="131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1</v>
      </c>
      <c r="L69" s="31">
        <f>VLOOKUP(1,AD68:AN71,3,FALSE)</f>
        <v>1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3 - 1</v>
      </c>
      <c r="P69" s="32">
        <f>L69*3+M69</f>
        <v>3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1</v>
      </c>
      <c r="AH69" s="123">
        <f>COUNTIF($S$7:$T$78,"=" &amp; AE69 &amp; "_lose")</f>
        <v>0</v>
      </c>
      <c r="AI69" s="123">
        <f>SUMIF($E$7:$E$78,$AE69,$F$7:$F$78) + SUMIF($H$7:$H$78,$AE69,$G$7:$G$78)</f>
        <v>1</v>
      </c>
      <c r="AJ69" s="123">
        <f>SUMIF($E$7:$E$78,$AE69,$G$7:$G$78) + SUMIF($H$7:$H$78,$AE69,$F$7:$F$78)</f>
        <v>1</v>
      </c>
      <c r="AL69" s="123">
        <f>AI69-AJ69</f>
        <v>0</v>
      </c>
      <c r="AM69" s="123">
        <f>AL69-AL72</f>
        <v>2</v>
      </c>
      <c r="AN69" s="123">
        <f>AF69*3+AG69</f>
        <v>1</v>
      </c>
      <c r="AO69" s="123">
        <f>AN69/AN72*10+BA69</f>
        <v>3.4805825242718447</v>
      </c>
      <c r="AP69" s="123">
        <f>AO69*10000000+BI69*100+AM69/AM72*10+AI69/AI72*1++IF(AQ69=0,ROW(),AQ69)/2000000</f>
        <v>34805927.551710039</v>
      </c>
      <c r="AQ69" s="126">
        <f>VLOOKUP(AE69,db_fifarank,2,FALSE)</f>
        <v>1478.35</v>
      </c>
      <c r="AR69" s="125">
        <f>AP69/AP72</f>
        <v>0.46407897368729573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1</v>
      </c>
      <c r="AV69" s="126" cm="1">
        <f t="array" ref="AV69">SUMPRODUCT(($E$7:$E$78=AE69)*($U$7:$U$78)*($F$7:$F$78))+SUMPRODUCT(($H$7:$H$78=AE69)*($U$7:$U$78)*($G$7:$G$78))</f>
        <v>1</v>
      </c>
      <c r="AW69" s="126" cm="1">
        <f t="array" ref="AW69">SUMPRODUCT(($E$7:$E$78=AE69)*($U$7:$U$78)*($G$7:$G$78))+SUMPRODUCT(($H$7:$H$78=AE69)*($U$7:$U$78)*($F$7:$F$78))</f>
        <v>1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50.5</v>
      </c>
      <c r="BA69" s="126">
        <f>AZ69/AZ72</f>
        <v>0.98058252427184467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1</v>
      </c>
      <c r="BD69" s="126" cm="1">
        <f t="array" ref="BD69">SUMPRODUCT(($E$7:$E$78=AE69)*($X$7:$X$78)*($F$7:$F$78))+SUMPRODUCT(($H$7:$H$78=AE69)*($X$7:$X$78)*($G$7:$G$78))</f>
        <v>1</v>
      </c>
      <c r="BE69" s="126" cm="1">
        <f t="array" ref="BE69">SUMPRODUCT(($E$7:$E$78=AE69)*($X$7:$X$78)*($G$7:$G$78))+SUMPRODUCT(($H$7:$H$78=AE69)*($X$7:$X$78)*($F$7:$F$78))</f>
        <v>1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50.5</v>
      </c>
      <c r="BI69" s="126">
        <f>BH69/BH72</f>
        <v>0.98058252427184467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1</v>
      </c>
      <c r="L70" s="23">
        <f>VLOOKUP(2,AD68:AN71,3,FALSE)</f>
        <v>0</v>
      </c>
      <c r="M70" s="23">
        <f>VLOOKUP(2,AD68:AN71,4,FALSE)</f>
        <v>1</v>
      </c>
      <c r="N70" s="23">
        <f>VLOOKUP(2,AD68:AN71,5,FALSE)</f>
        <v>0</v>
      </c>
      <c r="O70" s="23" t="str">
        <f>VLOOKUP(2,AD68:AN71,6,FALSE) &amp; " - " &amp; VLOOKUP(2,AD68:AN71,7,FALSE)</f>
        <v>1 - 1</v>
      </c>
      <c r="P70" s="34">
        <f>L70*3+M70</f>
        <v>1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1</v>
      </c>
      <c r="AI70" s="123">
        <f>SUMIF($E$7:$E$78,$AE70,$F$7:$F$78) + SUMIF($H$7:$H$78,$AE70,$G$7:$G$78)</f>
        <v>1</v>
      </c>
      <c r="AJ70" s="123">
        <f>SUMIF($E$7:$E$78,$AE70,$G$7:$G$78) + SUMIF($H$7:$H$78,$AE70,$F$7:$F$78)</f>
        <v>3</v>
      </c>
      <c r="AL70" s="123">
        <f>AI70-AJ70</f>
        <v>-2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0.25073266999999999</v>
      </c>
      <c r="AQ70" s="126">
        <f>VLOOKUP(AE70,db_fifarank,2,FALSE)</f>
        <v>1465.34</v>
      </c>
      <c r="AR70" s="125">
        <f>AP70/AP72</f>
        <v>3.3431018320256936E-9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1</v>
      </c>
      <c r="L71" s="23">
        <f>VLOOKUP(3,AD68:AN71,3,FALSE)</f>
        <v>0</v>
      </c>
      <c r="M71" s="23">
        <f>VLOOKUP(3,AD68:AN71,4,FALSE)</f>
        <v>1</v>
      </c>
      <c r="N71" s="23">
        <f>VLOOKUP(3,AD68:AN71,5,FALSE)</f>
        <v>0</v>
      </c>
      <c r="O71" s="23" t="str">
        <f>VLOOKUP(3,AD68:AN71,6,FALSE) &amp; " - " &amp; VLOOKUP(3,AD68:AN71,7,FALSE)</f>
        <v>1 - 1</v>
      </c>
      <c r="P71" s="34">
        <f>L71*3+M71</f>
        <v>1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1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3</v>
      </c>
      <c r="AJ71" s="123">
        <f>SUMIF($E$7:$E$78,$AE71,$G$7:$G$78) + SUMIF($H$7:$H$78,$AE71,$F$7:$F$78)</f>
        <v>1</v>
      </c>
      <c r="AL71" s="123">
        <f>AI71-AJ71</f>
        <v>2</v>
      </c>
      <c r="AM71" s="123">
        <f>AL71-AL72</f>
        <v>4</v>
      </c>
      <c r="AN71" s="123">
        <f>AF71*3+AG71</f>
        <v>3</v>
      </c>
      <c r="AO71" s="123">
        <f>AN71/AN72*10+BA71</f>
        <v>7.5</v>
      </c>
      <c r="AP71" s="123">
        <f>AO71*10000000+BI71*100+AM71/AM72*10+AI71/AI72*1++IF(AQ71=0,ROW(),AQ71)/2000000</f>
        <v>75000008.75084655</v>
      </c>
      <c r="AQ71" s="126">
        <f>VLOOKUP(AE71,db_fifarank,2,FALSE)</f>
        <v>1693.09</v>
      </c>
      <c r="AR71" s="125">
        <f>AP71/AP72</f>
        <v>0.99999998666666845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1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1</v>
      </c>
      <c r="O72" s="36" t="str">
        <f>VLOOKUP(4,AD68:AN71,6,FALSE) &amp; " - " &amp; VLOOKUP(4,AD68:AN71,7,FALSE)</f>
        <v>1 - 3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2</v>
      </c>
      <c r="AG72" s="123">
        <f t="shared" si="35"/>
        <v>2</v>
      </c>
      <c r="AH72" s="123">
        <f t="shared" si="35"/>
        <v>2</v>
      </c>
      <c r="AI72" s="123">
        <f>MAX(AI68:AI71)+1</f>
        <v>4</v>
      </c>
      <c r="AL72" s="123">
        <f>MIN(AL68:AL71)</f>
        <v>-2</v>
      </c>
      <c r="AM72" s="123">
        <f>MAX(AM68:AM71)+1</f>
        <v>5</v>
      </c>
      <c r="AN72" s="123">
        <f>MAX(AN68:AN71)+1</f>
        <v>4</v>
      </c>
      <c r="AO72" s="123">
        <f>MAX(AO68:AO71)+1</f>
        <v>8.5</v>
      </c>
      <c r="AP72" s="123">
        <f>MAX(AP68:AP71)+1</f>
        <v>75000009.75084655</v>
      </c>
      <c r="AT72" s="126">
        <f>MAX(AT68:AT71)-MIN(AT68:AT71)+1</f>
        <v>1</v>
      </c>
      <c r="AU72" s="126">
        <f>MAX(AU68:AU71)-MIN(AU68:AU71)+1</f>
        <v>2</v>
      </c>
      <c r="AV72" s="126">
        <f>MAX(AV68:AV71)-MIN(AV68:AV71)+1</f>
        <v>2</v>
      </c>
      <c r="AW72" s="126">
        <f>MAX(AW68:AW71)-MIN(AW68:AW71)+1</f>
        <v>2</v>
      </c>
      <c r="AY72" s="126">
        <f>MAX(AY68:AY71)-MIN(AY68:AY71)+1</f>
        <v>1</v>
      </c>
      <c r="AZ72" s="126">
        <f>MAX(AZ68:AZ71)+1</f>
        <v>51.5</v>
      </c>
      <c r="BB72" s="126">
        <f>MAX(BB68:BB71)-MIN(BB68:BB71)+1</f>
        <v>1</v>
      </c>
      <c r="BC72" s="126">
        <f>MAX(BC68:BC71)-MIN(BC68:BC71)+1</f>
        <v>2</v>
      </c>
      <c r="BD72" s="126">
        <f>MAX(BD68:BD71)-MIN(BD68:BD71)+1</f>
        <v>2</v>
      </c>
      <c r="BE72" s="126">
        <f>MAX(BE68:BE71)-MIN(BE68:BE71)+1</f>
        <v>2</v>
      </c>
      <c r="BG72" s="126">
        <f>MAX(BG68:BG71)-MIN(BG68:BG71)+1</f>
        <v>1</v>
      </c>
      <c r="BH72" s="126">
        <f>MAX(BH68:BH71)+1</f>
        <v>51.5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1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4</v>
      </c>
      <c r="AJ74" s="123">
        <f>SUMIF($E$7:$E$78,$AE74,$G$7:$G$78) + SUMIF($H$7:$H$78,$AE74,$F$7:$F$78)</f>
        <v>2</v>
      </c>
      <c r="AL74" s="123">
        <f>AI74-AJ74</f>
        <v>2</v>
      </c>
      <c r="AM74" s="123">
        <f>AL74-AL78</f>
        <v>4</v>
      </c>
      <c r="AN74" s="123">
        <f>AF74*3+AG74</f>
        <v>3</v>
      </c>
      <c r="AO74" s="123">
        <f>AN74/AN78*10+BA74</f>
        <v>7.5</v>
      </c>
      <c r="AP74" s="123">
        <f>AO74*10000000+BI74*100+AM74/AM78*10+AI74/AI78*1++IF(AQ74=0,ROW(),AQ74)/2000000</f>
        <v>75000008.800912976</v>
      </c>
      <c r="AQ74" s="126">
        <f>VLOOKUP(AE74,db_fifarank,2,FALSE)</f>
        <v>1825.97</v>
      </c>
      <c r="AR74" s="125">
        <f>AP74/AP78</f>
        <v>0.99999998666666845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1</v>
      </c>
      <c r="L75" s="31">
        <f>VLOOKUP(1,AD74:AN77,3,FALSE)</f>
        <v>1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4 - 2</v>
      </c>
      <c r="P75" s="32">
        <f>L75*3+M75</f>
        <v>3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4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2</v>
      </c>
      <c r="AJ75" s="123">
        <f>SUMIF($E$7:$E$78,$AE75,$G$7:$G$78) + SUMIF($H$7:$H$78,$AE75,$F$7:$F$78)</f>
        <v>4</v>
      </c>
      <c r="AL75" s="123">
        <f>AI75-AJ75</f>
        <v>-2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0.40085853500000002</v>
      </c>
      <c r="AQ75" s="126">
        <f>VLOOKUP(AE75,db_fifarank,2,FALSE)</f>
        <v>1717.07</v>
      </c>
      <c r="AR75" s="125">
        <f>AP75/AP78</f>
        <v>5.3447797682170484E-9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Ghana</v>
      </c>
      <c r="K76" s="23">
        <f>L76+M76+N76</f>
        <v>1</v>
      </c>
      <c r="L76" s="23">
        <f>VLOOKUP(2,AD74:AN77,3,FALSE)</f>
        <v>1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1 - 0</v>
      </c>
      <c r="P76" s="34">
        <f>L76*3+M76</f>
        <v>3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2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1</v>
      </c>
      <c r="AJ76" s="123">
        <f>SUMIF($E$7:$E$78,$AE76,$G$7:$G$78) + SUMIF($H$7:$H$78,$AE76,$F$7:$F$78)</f>
        <v>0</v>
      </c>
      <c r="AL76" s="123">
        <f>AI76-AJ76</f>
        <v>1</v>
      </c>
      <c r="AM76" s="123">
        <f>AL76-AL78</f>
        <v>3</v>
      </c>
      <c r="AN76" s="123">
        <f>AF76*3+AG76</f>
        <v>3</v>
      </c>
      <c r="AO76" s="123">
        <f>AN76/AN78*10+BA76</f>
        <v>7.5</v>
      </c>
      <c r="AP76" s="123">
        <f>AO76*10000000+BI76*100+AM76/AM78*10+AI76/AI78*1++IF(AQ76=0,ROW(),AQ76)/2000000</f>
        <v>75000006.200673163</v>
      </c>
      <c r="AQ76" s="126">
        <f>VLOOKUP(AE76,db_fifarank,2,FALSE)</f>
        <v>1346.31</v>
      </c>
      <c r="AR76" s="125">
        <f>AP76/AP78</f>
        <v>0.9999999519968088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1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1</v>
      </c>
      <c r="O77" s="23" t="str">
        <f>VLOOKUP(3,AD74:AN77,6,FALSE) &amp; " - " &amp; VLOOKUP(3,AD74:AN77,7,FALSE)</f>
        <v>0 - 1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1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1</v>
      </c>
      <c r="AL77" s="123">
        <f>AI77-AJ77</f>
        <v>-1</v>
      </c>
      <c r="AM77" s="123">
        <f>AL77-AL78</f>
        <v>1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2.00077032</v>
      </c>
      <c r="AQ77" s="126">
        <f>VLOOKUP(AE77,db_fifarank,2,FALSE)</f>
        <v>1540.64</v>
      </c>
      <c r="AR77" s="125">
        <f>AP77/AP78</f>
        <v>2.6676934113889205E-8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Croatia</v>
      </c>
      <c r="K78" s="36">
        <f>L78+M78+N78</f>
        <v>1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1</v>
      </c>
      <c r="O78" s="36" t="str">
        <f>VLOOKUP(4,AD74:AN77,6,FALSE) &amp; " - " &amp; VLOOKUP(4,AD74:AN77,7,FALSE)</f>
        <v>2 - 4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2</v>
      </c>
      <c r="AG78" s="123">
        <f t="shared" si="36"/>
        <v>1</v>
      </c>
      <c r="AH78" s="123">
        <f t="shared" si="36"/>
        <v>2</v>
      </c>
      <c r="AI78" s="123">
        <f>MAX(AI74:AI77)+1</f>
        <v>5</v>
      </c>
      <c r="AL78" s="123">
        <f>MIN(AL74:AL77)</f>
        <v>-2</v>
      </c>
      <c r="AM78" s="123">
        <f>MAX(AM74:AM77)+1</f>
        <v>5</v>
      </c>
      <c r="AN78" s="123">
        <f>MAX(AN74:AN77)+1</f>
        <v>4</v>
      </c>
      <c r="AO78" s="123">
        <f>MAX(AO74:AO77)+1</f>
        <v>8.5</v>
      </c>
      <c r="AP78" s="123">
        <f>MAX(AP74:AP77)+1</f>
        <v>75000009.800912976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8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1</v>
      </c>
      <c r="AH80" s="123">
        <f>VLOOKUP($AE80,$AE$8:$AQ$78,4,FALSE)</f>
        <v>1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1</v>
      </c>
      <c r="AP80" s="123">
        <f>AN80/AN92*10000+AM80/AM92*1000+AI80/AI92*100+IF(AQ80=0,ROW(),AQ80)/2000000</f>
        <v>3028.5721792614286</v>
      </c>
      <c r="AQ80" s="126">
        <f t="shared" ref="AQ80:AQ91" si="37">VLOOKUP($AE80,$AE$8:$AQ$78,13,FALSE)</f>
        <v>1501.38</v>
      </c>
      <c r="AR80" s="125" t="str">
        <f>IF(AD80&lt;=8,RIGHT(AK80,1),"")</f>
        <v>A</v>
      </c>
      <c r="AS80" s="129" t="str">
        <f>IF(AD80&lt;=8,AE80,"")</f>
        <v>Czech Republic</v>
      </c>
      <c r="AT80" s="130" t="str">
        <f>"Ⓐ "&amp;AE80</f>
        <v>Ⓐ Czech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Sweden</v>
      </c>
      <c r="K81" s="97">
        <f>L81+M81+N81</f>
        <v>2</v>
      </c>
      <c r="L81" s="97">
        <f>VLOOKUP(1,$AD$80:$AN$91,3,FALSE)</f>
        <v>1</v>
      </c>
      <c r="M81" s="97">
        <f>VLOOKUP(1,$AD$80:$AN$91,4,FALSE)</f>
        <v>0</v>
      </c>
      <c r="N81" s="97">
        <f>VLOOKUP(1,$AD$80:$AN$91,5,FALSE)</f>
        <v>1</v>
      </c>
      <c r="O81" s="97" t="str">
        <f>VLOOKUP(1,$AD$80:$AN$91,6,FALSE) &amp; " - " &amp; VLOOKUP(1,$AD$80:$AN$91,7,FALSE)</f>
        <v>6 - 6</v>
      </c>
      <c r="P81" s="98">
        <f>L81*3+M81</f>
        <v>3</v>
      </c>
      <c r="AD81" s="123">
        <f t="shared" ref="AD81:AD91" si="38">COUNTIF($AP$80:$AP$91,CONCATENATE("&gt;=",AP81))</f>
        <v>10</v>
      </c>
      <c r="AE81" s="124" t="str">
        <f>J17</f>
        <v>Bosnia and Herzegovina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2</v>
      </c>
      <c r="AJ81" s="123">
        <f t="shared" ref="AJ81:AJ90" si="42">VLOOKUP($AE81,$AE$8:$AQ$78,6,FALSE)</f>
        <v>5</v>
      </c>
      <c r="AK81" s="123" t="s">
        <v>3181</v>
      </c>
      <c r="AL81" s="123">
        <f t="shared" ref="AL81:AL90" si="43">VLOOKUP($AE81,$AE$8:$AQ$78,8,FALSE)</f>
        <v>-3</v>
      </c>
      <c r="AM81" s="123">
        <f t="shared" ref="AM81:AM91" si="44">AL81-$AL$92</f>
        <v>0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2528.5721214914283</v>
      </c>
      <c r="AQ81" s="126">
        <f t="shared" si="37"/>
        <v>1385.84</v>
      </c>
      <c r="AR81" s="125" t="str">
        <f>AR80&amp;IF(AD81&lt;=8,RIGHT(AK81,1),"")</f>
        <v>A</v>
      </c>
      <c r="AS81" s="129" t="str">
        <f t="shared" ref="AS81:AS91" si="46">IF(AD81&lt;=8,AE81,"")</f>
        <v/>
      </c>
      <c r="AT81" s="130" t="str">
        <f>"Ⓑ "&amp;AE81</f>
        <v>Ⓑ Bosnia and Herzegovina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Scotland</v>
      </c>
      <c r="K82" s="100">
        <f t="shared" ref="K82:K92" si="47">L82+M82+N82</f>
        <v>2</v>
      </c>
      <c r="L82" s="100">
        <f>VLOOKUP(2,$AD$80:$AN$91,3,FALSE)</f>
        <v>1</v>
      </c>
      <c r="M82" s="100">
        <f>VLOOKUP(2,$AD$80:$AN$91,4,FALSE)</f>
        <v>0</v>
      </c>
      <c r="N82" s="100">
        <f>VLOOKUP(2,$AD$80:$AN$91,5,FALSE)</f>
        <v>1</v>
      </c>
      <c r="O82" s="100" t="str">
        <f>VLOOKUP(2,$AD$80:$AN$91,6,FALSE) &amp; " - " &amp; VLOOKUP(2,$AD$80:$AN$91,7,FALSE)</f>
        <v>1 - 1</v>
      </c>
      <c r="P82" s="101">
        <f t="shared" ref="P82:P92" si="48">L82*3+M82</f>
        <v>3</v>
      </c>
      <c r="AD82" s="123">
        <f t="shared" si="38"/>
        <v>2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1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3</v>
      </c>
      <c r="AN82" s="123">
        <f t="shared" si="45"/>
        <v>3</v>
      </c>
      <c r="AP82" s="123">
        <f>AN82/AN92*10000+AM82/AM92*1000+AI82/AI92*100+IF(AQ82=0,ROW(),AQ82)/2000000</f>
        <v>8264.286463460714</v>
      </c>
      <c r="AQ82" s="126">
        <f t="shared" si="37"/>
        <v>1498.35</v>
      </c>
      <c r="AR82" s="125" t="str">
        <f t="shared" ref="AR82:AR91" si="50">AR81&amp;IF(AD82&lt;=8,RIGHT(AK82,1),"")</f>
        <v>AC</v>
      </c>
      <c r="AS82" s="129" t="str">
        <f t="shared" si="46"/>
        <v>Scotland</v>
      </c>
      <c r="AT82" s="130" t="str">
        <f>"Ⓒ "&amp;AE82</f>
        <v>Ⓒ Scotland</v>
      </c>
    </row>
    <row r="83" spans="1:46" ht="15" customHeight="1" x14ac:dyDescent="0.25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Ⓙ Algeria</v>
      </c>
      <c r="K83" s="100">
        <f t="shared" si="47"/>
        <v>2</v>
      </c>
      <c r="L83" s="100">
        <f>VLOOKUP(3,$AD$80:$AN$91,3,FALSE)</f>
        <v>1</v>
      </c>
      <c r="M83" s="100">
        <f>VLOOKUP(3,$AD$80:$AN$91,4,FALSE)</f>
        <v>0</v>
      </c>
      <c r="N83" s="100">
        <f>VLOOKUP(3,$AD$80:$AN$91,5,FALSE)</f>
        <v>1</v>
      </c>
      <c r="O83" s="100" t="str">
        <f>VLOOKUP(3,$AD$80:$AN$91,6,FALSE) &amp; " - " &amp; VLOOKUP(3,$AD$80:$AN$91,7,FALSE)</f>
        <v>2 - 4</v>
      </c>
      <c r="P83" s="101">
        <f t="shared" si="48"/>
        <v>3</v>
      </c>
      <c r="AD83" s="123">
        <f t="shared" si="38"/>
        <v>4</v>
      </c>
      <c r="AE83" s="124" t="str">
        <f>J29</f>
        <v>Paraguay</v>
      </c>
      <c r="AF83" s="123">
        <f t="shared" si="39"/>
        <v>1</v>
      </c>
      <c r="AG83" s="123">
        <f t="shared" si="49"/>
        <v>0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3</v>
      </c>
      <c r="AP83" s="123">
        <f>AN83/AN92*10000+AM83/AM92*1000+AI83/AI92*100+IF(AQ83=0,ROW(),AQ83)/2000000</f>
        <v>7778.5721803214283</v>
      </c>
      <c r="AQ83" s="126">
        <f t="shared" si="37"/>
        <v>1503.5</v>
      </c>
      <c r="AR83" s="125" t="str">
        <f t="shared" si="50"/>
        <v>ACD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5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Ⓓ Paraguay</v>
      </c>
      <c r="K84" s="100">
        <f t="shared" si="47"/>
        <v>2</v>
      </c>
      <c r="L84" s="100">
        <f>VLOOKUP(4,$AD$80:$AN$91,3,FALSE)</f>
        <v>1</v>
      </c>
      <c r="M84" s="100">
        <f>VLOOKUP(4,$AD$80:$AN$91,4,FALSE)</f>
        <v>0</v>
      </c>
      <c r="N84" s="100">
        <f>VLOOKUP(4,$AD$80:$AN$91,5,FALSE)</f>
        <v>1</v>
      </c>
      <c r="O84" s="100" t="str">
        <f>VLOOKUP(4,$AD$80:$AN$91,6,FALSE) &amp; " - " &amp; VLOOKUP(4,$AD$80:$AN$91,7,FALSE)</f>
        <v>2 - 4</v>
      </c>
      <c r="P84" s="101">
        <f t="shared" si="48"/>
        <v>3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9</v>
      </c>
      <c r="AE84" s="124" t="str">
        <f>J35</f>
        <v>Ecuador</v>
      </c>
      <c r="AF84" s="123">
        <f t="shared" si="39"/>
        <v>0</v>
      </c>
      <c r="AG84" s="123">
        <f t="shared" si="49"/>
        <v>1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2</v>
      </c>
      <c r="AN84" s="123">
        <f t="shared" si="45"/>
        <v>1</v>
      </c>
      <c r="AP84" s="123">
        <f>AN84/AN92*10000+AM84/AM92*1000+AI84/AI92*100+IF(AQ84=0,ROW(),AQ84)/2000000</f>
        <v>3000.0007973900001</v>
      </c>
      <c r="AQ84" s="126">
        <f t="shared" si="37"/>
        <v>1594.78</v>
      </c>
      <c r="AR84" s="125" t="str">
        <f t="shared" si="50"/>
        <v>ACD</v>
      </c>
      <c r="AS84" s="129" t="str">
        <f t="shared" si="46"/>
        <v/>
      </c>
      <c r="AT84" s="130" t="str">
        <f>"Ⓔ "&amp;AE84</f>
        <v>Ⓔ Ecuador</v>
      </c>
    </row>
    <row r="85" spans="1:46" ht="15" customHeight="1" x14ac:dyDescent="0.25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Ⓗ Cape Verde</v>
      </c>
      <c r="K85" s="100">
        <f t="shared" si="47"/>
        <v>2</v>
      </c>
      <c r="L85" s="100">
        <f>VLOOKUP(5,$AD$80:$AN$91,3,FALSE)</f>
        <v>0</v>
      </c>
      <c r="M85" s="100">
        <f>VLOOKUP(5,$AD$80:$AN$91,4,FALSE)</f>
        <v>2</v>
      </c>
      <c r="N85" s="100">
        <f>VLOOKUP(5,$AD$80:$AN$91,5,FALSE)</f>
        <v>0</v>
      </c>
      <c r="O85" s="100" t="str">
        <f>VLOOKUP(5,$AD$80:$AN$91,6,FALSE) &amp; " - " &amp; VLOOKUP(5,$AD$80:$AN$91,7,FALSE)</f>
        <v>2 - 2</v>
      </c>
      <c r="P85" s="101">
        <f t="shared" si="48"/>
        <v>2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Sweden</v>
      </c>
      <c r="AF85" s="123">
        <f t="shared" si="39"/>
        <v>1</v>
      </c>
      <c r="AG85" s="123">
        <f t="shared" si="49"/>
        <v>0</v>
      </c>
      <c r="AH85" s="123">
        <f t="shared" si="40"/>
        <v>1</v>
      </c>
      <c r="AI85" s="123">
        <f t="shared" si="41"/>
        <v>6</v>
      </c>
      <c r="AJ85" s="123">
        <f t="shared" si="42"/>
        <v>6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3</v>
      </c>
      <c r="AP85" s="123">
        <f>AN85/AN92*10000+AM85/AM92*1000+AI85/AI92*100+IF(AQ85=0,ROW(),AQ85)/2000000</f>
        <v>8335.715043099286</v>
      </c>
      <c r="AQ85" s="126">
        <f t="shared" si="37"/>
        <v>1514.77</v>
      </c>
      <c r="AR85" s="125" t="str">
        <f t="shared" si="50"/>
        <v>ACDF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5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Ⓖ Belgium</v>
      </c>
      <c r="K86" s="100">
        <f t="shared" si="47"/>
        <v>2</v>
      </c>
      <c r="L86" s="100">
        <f>VLOOKUP(6,$AD$80:$AN$91,3,FALSE)</f>
        <v>0</v>
      </c>
      <c r="M86" s="100">
        <f>VLOOKUP(6,$AD$80:$AN$91,4,FALSE)</f>
        <v>2</v>
      </c>
      <c r="N86" s="100">
        <f>VLOOKUP(6,$AD$80:$AN$91,5,FALSE)</f>
        <v>0</v>
      </c>
      <c r="O86" s="100" t="str">
        <f>VLOOKUP(6,$AD$80:$AN$91,6,FALSE) &amp; " - " &amp; VLOOKUP(6,$AD$80:$AN$91,7,FALSE)</f>
        <v>1 - 1</v>
      </c>
      <c r="P86" s="101">
        <f t="shared" si="48"/>
        <v>2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6</v>
      </c>
      <c r="AE86" s="124" t="str">
        <f>J47</f>
        <v>Belgium</v>
      </c>
      <c r="AF86" s="123">
        <f t="shared" si="39"/>
        <v>0</v>
      </c>
      <c r="AG86" s="123">
        <f t="shared" si="49"/>
        <v>2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2</v>
      </c>
      <c r="AP86" s="123">
        <f>AN86/AN92*10000+AM86/AM92*1000+AI86/AI92*100+IF(AQ86=0,ROW(),AQ86)/2000000</f>
        <v>5764.2865816407148</v>
      </c>
      <c r="AQ86" s="126">
        <f t="shared" si="37"/>
        <v>1734.71</v>
      </c>
      <c r="AR86" s="125" t="str">
        <f t="shared" si="50"/>
        <v>ACDFG</v>
      </c>
      <c r="AS86" s="129" t="str">
        <f t="shared" si="46"/>
        <v>Belgium</v>
      </c>
      <c r="AT86" s="130" t="str">
        <f>"Ⓖ "&amp;AE86</f>
        <v>Ⓖ Belgium</v>
      </c>
    </row>
    <row r="87" spans="1:46" ht="15" customHeight="1" x14ac:dyDescent="0.25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Ⓚ DR Congo</v>
      </c>
      <c r="K87" s="100">
        <f t="shared" si="47"/>
        <v>1</v>
      </c>
      <c r="L87" s="100">
        <f>VLOOKUP(7,$AD$80:$AN$91,3,FALSE)</f>
        <v>0</v>
      </c>
      <c r="M87" s="100">
        <f>VLOOKUP(7,$AD$80:$AN$91,4,FALSE)</f>
        <v>1</v>
      </c>
      <c r="N87" s="100">
        <f>VLOOKUP(7,$AD$80:$AN$91,5,FALSE)</f>
        <v>0</v>
      </c>
      <c r="O87" s="100" t="str">
        <f>VLOOKUP(7,$AD$80:$AN$91,6,FALSE) &amp; " - " &amp; VLOOKUP(7,$AD$80:$AN$91,7,FALSE)</f>
        <v>1 - 1</v>
      </c>
      <c r="P87" s="101">
        <f t="shared" si="48"/>
        <v>1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5</v>
      </c>
      <c r="AE87" s="124" t="str">
        <f>J53</f>
        <v>Cape Verde</v>
      </c>
      <c r="AF87" s="123">
        <f t="shared" si="39"/>
        <v>0</v>
      </c>
      <c r="AG87" s="123">
        <f t="shared" si="49"/>
        <v>2</v>
      </c>
      <c r="AH87" s="123">
        <f t="shared" si="40"/>
        <v>0</v>
      </c>
      <c r="AI87" s="123">
        <f t="shared" si="41"/>
        <v>2</v>
      </c>
      <c r="AJ87" s="123">
        <f t="shared" si="42"/>
        <v>2</v>
      </c>
      <c r="AK87" s="123" t="s">
        <v>3188</v>
      </c>
      <c r="AL87" s="123">
        <f t="shared" si="43"/>
        <v>0</v>
      </c>
      <c r="AM87" s="123">
        <f t="shared" si="44"/>
        <v>3</v>
      </c>
      <c r="AN87" s="123">
        <f t="shared" si="45"/>
        <v>2</v>
      </c>
      <c r="AP87" s="123">
        <f>AN87/AN92*10000+AM87/AM92*1000+AI87/AI92*100+IF(AQ87=0,ROW(),AQ87)/2000000</f>
        <v>5778.5721116364284</v>
      </c>
      <c r="AQ87" s="126">
        <f t="shared" si="37"/>
        <v>1366.13</v>
      </c>
      <c r="AR87" s="125" t="str">
        <f t="shared" si="50"/>
        <v>ACDFGH</v>
      </c>
      <c r="AS87" s="129" t="str">
        <f t="shared" si="46"/>
        <v>Cape Verde</v>
      </c>
      <c r="AT87" s="130" t="str">
        <f>"Ⓗ "&amp;AE87</f>
        <v>Ⓗ Cape Verde</v>
      </c>
    </row>
    <row r="88" spans="1:46" ht="15" customHeight="1" x14ac:dyDescent="0.25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Ⓐ Czech Republic</v>
      </c>
      <c r="K88" s="100">
        <f t="shared" si="47"/>
        <v>2</v>
      </c>
      <c r="L88" s="100">
        <f>VLOOKUP(8,$AD$80:$AN$91,3,FALSE)</f>
        <v>0</v>
      </c>
      <c r="M88" s="100">
        <f>VLOOKUP(8,$AD$80:$AN$91,4,FALSE)</f>
        <v>1</v>
      </c>
      <c r="N88" s="100">
        <f>VLOOKUP(8,$AD$80:$AN$91,5,FALSE)</f>
        <v>1</v>
      </c>
      <c r="O88" s="100" t="str">
        <f>VLOOKUP(8,$AD$80:$AN$91,6,FALSE) &amp; " - " &amp; VLOOKUP(8,$AD$80:$AN$91,7,FALSE)</f>
        <v>2 - 3</v>
      </c>
      <c r="P88" s="101">
        <f t="shared" si="48"/>
        <v>1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12</v>
      </c>
      <c r="AE88" s="124" t="str">
        <f>J59</f>
        <v>Senegal</v>
      </c>
      <c r="AF88" s="123">
        <f t="shared" si="39"/>
        <v>0</v>
      </c>
      <c r="AG88" s="123">
        <f t="shared" si="49"/>
        <v>0</v>
      </c>
      <c r="AH88" s="123">
        <f t="shared" si="40"/>
        <v>2</v>
      </c>
      <c r="AI88" s="123">
        <f t="shared" si="41"/>
        <v>3</v>
      </c>
      <c r="AJ88" s="123">
        <f t="shared" si="42"/>
        <v>6</v>
      </c>
      <c r="AK88" s="123" t="s">
        <v>3189</v>
      </c>
      <c r="AL88" s="123">
        <f t="shared" si="43"/>
        <v>-3</v>
      </c>
      <c r="AM88" s="123">
        <f t="shared" si="44"/>
        <v>0</v>
      </c>
      <c r="AN88" s="123">
        <f t="shared" si="45"/>
        <v>0</v>
      </c>
      <c r="AP88" s="123">
        <f>AN88/AN92*10000+AM88/AM92*1000+AI88/AI92*100+IF(AQ88=0,ROW(),AQ88)/2000000</f>
        <v>42.857987352142857</v>
      </c>
      <c r="AQ88" s="126">
        <f t="shared" si="37"/>
        <v>1688.99</v>
      </c>
      <c r="AR88" s="125" t="str">
        <f t="shared" si="50"/>
        <v>ACDFGH</v>
      </c>
      <c r="AS88" s="129" t="str">
        <f t="shared" si="46"/>
        <v/>
      </c>
      <c r="AT88" s="130" t="str">
        <f>"Ⓘ "&amp;AE88</f>
        <v>Ⓘ Senegal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Ⓔ Ecuador</v>
      </c>
      <c r="K89" s="103">
        <f t="shared" si="47"/>
        <v>2</v>
      </c>
      <c r="L89" s="103">
        <f>VLOOKUP(9,$AD$80:$AN$91,3,FALSE)</f>
        <v>0</v>
      </c>
      <c r="M89" s="103">
        <f>VLOOKUP(9,$AD$80:$AN$91,4,FALSE)</f>
        <v>1</v>
      </c>
      <c r="N89" s="103">
        <f>VLOOKUP(9,$AD$80:$AN$91,5,FALSE)</f>
        <v>1</v>
      </c>
      <c r="O89" s="103" t="str">
        <f>VLOOKUP(9,$AD$80:$AN$91,6,FALSE) &amp; " - " &amp; VLOOKUP(9,$AD$80:$AN$91,7,FALSE)</f>
        <v>0 - 1</v>
      </c>
      <c r="P89" s="104">
        <f t="shared" si="48"/>
        <v>1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3</v>
      </c>
      <c r="AE89" s="124" t="str">
        <f>J65</f>
        <v>Algeria</v>
      </c>
      <c r="AF89" s="123">
        <f t="shared" si="39"/>
        <v>1</v>
      </c>
      <c r="AG89" s="123">
        <f t="shared" si="49"/>
        <v>0</v>
      </c>
      <c r="AH89" s="123">
        <f t="shared" si="40"/>
        <v>1</v>
      </c>
      <c r="AI89" s="123">
        <f t="shared" si="41"/>
        <v>2</v>
      </c>
      <c r="AJ89" s="123">
        <f t="shared" si="42"/>
        <v>4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3</v>
      </c>
      <c r="AP89" s="123">
        <f>AN89/AN92*10000+AM89/AM92*1000+AI89/AI92*100+IF(AQ89=0,ROW(),AQ89)/2000000</f>
        <v>7778.572210701428</v>
      </c>
      <c r="AQ89" s="126">
        <f t="shared" si="37"/>
        <v>1564.26</v>
      </c>
      <c r="AR89" s="125" t="str">
        <f t="shared" si="50"/>
        <v>ACDFGHJ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Ⓑ Bosnia and Herzegovina</v>
      </c>
      <c r="K90" s="103">
        <f t="shared" si="47"/>
        <v>2</v>
      </c>
      <c r="L90" s="103">
        <f>VLOOKUP(10,$AD$80:$AN$91,3,FALSE)</f>
        <v>0</v>
      </c>
      <c r="M90" s="103">
        <f>VLOOKUP(10,$AD$80:$AN$91,4,FALSE)</f>
        <v>1</v>
      </c>
      <c r="N90" s="103">
        <f>VLOOKUP(10,$AD$80:$AN$91,5,FALSE)</f>
        <v>1</v>
      </c>
      <c r="O90" s="103" t="str">
        <f>VLOOKUP(10,$AD$80:$AN$91,6,FALSE) &amp; " - " &amp; VLOOKUP(10,$AD$80:$AN$91,7,FALSE)</f>
        <v>2 - 5</v>
      </c>
      <c r="P90" s="104">
        <f t="shared" si="48"/>
        <v>1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7</v>
      </c>
      <c r="AE90" s="124" t="str">
        <f>J71</f>
        <v>DR Congo</v>
      </c>
      <c r="AF90" s="123">
        <f t="shared" si="39"/>
        <v>0</v>
      </c>
      <c r="AG90" s="123">
        <f t="shared" si="49"/>
        <v>1</v>
      </c>
      <c r="AH90" s="123">
        <f t="shared" si="40"/>
        <v>0</v>
      </c>
      <c r="AI90" s="123">
        <f t="shared" si="41"/>
        <v>1</v>
      </c>
      <c r="AJ90" s="123">
        <f t="shared" si="42"/>
        <v>1</v>
      </c>
      <c r="AK90" s="123" t="s">
        <v>3191</v>
      </c>
      <c r="AL90" s="123">
        <f t="shared" si="43"/>
        <v>0</v>
      </c>
      <c r="AM90" s="123">
        <f t="shared" si="44"/>
        <v>3</v>
      </c>
      <c r="AN90" s="123">
        <f t="shared" si="45"/>
        <v>1</v>
      </c>
      <c r="AP90" s="123">
        <f>AN90/AN92*10000+AM90/AM92*1000+AI90/AI92*100+IF(AQ90=0,ROW(),AQ90)/2000000</f>
        <v>3264.2864534607143</v>
      </c>
      <c r="AQ90" s="126">
        <f t="shared" si="37"/>
        <v>1478.35</v>
      </c>
      <c r="AR90" s="125" t="str">
        <f t="shared" si="50"/>
        <v>ACDFGHJK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Ⓛ Panama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0 - 1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11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1</v>
      </c>
      <c r="AI91" s="123">
        <f>VLOOKUP($AE91,$AE$8:$AQ$78,5,FALSE)</f>
        <v>0</v>
      </c>
      <c r="AJ91" s="123">
        <f>VLOOKUP($AE91,$AE$8:$AQ$78,6,FALSE)</f>
        <v>1</v>
      </c>
      <c r="AK91" s="123" t="s">
        <v>3192</v>
      </c>
      <c r="AL91" s="123">
        <f>VLOOKUP($AE91,$AE$8:$AQ$78,8,FALSE)</f>
        <v>-1</v>
      </c>
      <c r="AM91" s="123">
        <f t="shared" si="44"/>
        <v>2</v>
      </c>
      <c r="AN91" s="123">
        <f>VLOOKUP($AE91,$AE$8:$AQ$78,10,FALSE)</f>
        <v>0</v>
      </c>
      <c r="AP91" s="123">
        <f>AN91/AN92*10000+AM91/AM92*1000+AI91/AI92*100+IF(AQ91=0,ROW(),AQ91)/2000000</f>
        <v>500.00077032000002</v>
      </c>
      <c r="AQ91" s="126">
        <f t="shared" si="37"/>
        <v>1540.64</v>
      </c>
      <c r="AR91" s="125" t="str">
        <f t="shared" si="50"/>
        <v>ACDFGHJK</v>
      </c>
      <c r="AS91" s="129" t="str">
        <f t="shared" si="46"/>
        <v/>
      </c>
      <c r="AT91" s="130" t="str">
        <f>"Ⓛ "&amp;AE91</f>
        <v>Ⓛ Panama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Ⓘ Senegal</v>
      </c>
      <c r="K92" s="106">
        <f t="shared" si="47"/>
        <v>2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2</v>
      </c>
      <c r="O92" s="106" t="str">
        <f>VLOOKUP(12,$AD$80:$AN$91,6,FALSE) &amp; " - " &amp; VLOOKUP(12,$AD$80:$AN$91,7,FALSE)</f>
        <v>3 - 6</v>
      </c>
      <c r="P92" s="107">
        <f t="shared" si="48"/>
        <v>0</v>
      </c>
      <c r="AF92" s="123">
        <f>MAX(AF80:AF91)+1</f>
        <v>2</v>
      </c>
      <c r="AG92" s="123">
        <f>MAX(AG80:AG91)+1</f>
        <v>3</v>
      </c>
      <c r="AH92" s="123">
        <f>MAX(AH80:AH91)+1</f>
        <v>3</v>
      </c>
      <c r="AI92" s="123">
        <f>MAX(AI80:AI91)+1</f>
        <v>7</v>
      </c>
      <c r="AJ92" s="123">
        <f>MAX(AJ80:AJ91)+1</f>
        <v>7</v>
      </c>
      <c r="AL92" s="123">
        <f>MIN(AL80:AL91)</f>
        <v>-3</v>
      </c>
      <c r="AM92" s="123">
        <f>MAX(AM80:AM91)+1</f>
        <v>4</v>
      </c>
      <c r="AN92" s="123">
        <f>MAX(AN80:AN91)+1</f>
        <v>4</v>
      </c>
      <c r="AS92" s="126" t="b">
        <f>SUM(K9:K78)=144</f>
        <v>0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710937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247</v>
      </c>
      <c r="C3" s="121" t="str">
        <f>'2026 World Cup'!AR91</f>
        <v>ACDFGHJK</v>
      </c>
      <c r="D3" s="121" t="str">
        <f>VLOOKUP($C3,$C$6:$K$500,2,FALSE)</f>
        <v>3H</v>
      </c>
      <c r="E3" s="121" t="str">
        <f>VLOOKUP($C3,$C$6:$K$500,3,FALSE)</f>
        <v>3G</v>
      </c>
      <c r="F3" s="121" t="str">
        <f>VLOOKUP($C3,$C$6:$K$500,4,FALSE)</f>
        <v>3J</v>
      </c>
      <c r="G3" s="121" t="str">
        <f>VLOOKUP($C3,$C$6:$K$500,5,FALSE)</f>
        <v>3C</v>
      </c>
      <c r="H3" s="121" t="str">
        <f>VLOOKUP($C3,$C$6:$K$500,6,FALSE)</f>
        <v>3A</v>
      </c>
      <c r="I3" s="121" t="str">
        <f>VLOOKUP($C3,$C$6:$K$500,7,FALSE)</f>
        <v>3F</v>
      </c>
      <c r="J3" s="121" t="str">
        <f>VLOOKUP($C3,$C$6:$K$500,8,FALSE)</f>
        <v>3D</v>
      </c>
      <c r="K3" s="122" t="str">
        <f>VLOOKUP($C3,$C$6:$K$500,9,FALSE)</f>
        <v>3K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2026-06-23T08:37:02Z</dcterms:modified>
  <cp:category>Sports</cp:category>
  <cp:contentStatus/>
</cp:coreProperties>
</file>
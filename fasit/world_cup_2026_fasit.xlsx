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s\git\VM2026\fasit\"/>
    </mc:Choice>
  </mc:AlternateContent>
  <xr:revisionPtr revIDLastSave="0" documentId="13_ncr:1_{08E86F18-4556-4148-AC46-E4FC8206614A}" xr6:coauthVersionLast="47" xr6:coauthVersionMax="47" xr10:uidLastSave="{00000000-0000-0000-0000-000000000000}"/>
  <bookViews>
    <workbookView xWindow="4680" yWindow="4680" windowWidth="28800" windowHeight="15345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R59" i="3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K53" i="3" a="1"/>
  <c r="BP49" i="3"/>
  <c r="BK49" i="3" s="1" a="1"/>
  <c r="BK45" i="3" a="1"/>
  <c r="BK41" i="3" a="1"/>
  <c r="BP37" i="3"/>
  <c r="BK37" i="3" s="1" a="1"/>
  <c r="BP33" i="3"/>
  <c r="BK33" i="3" s="1" a="1"/>
  <c r="BK29" i="3" a="1"/>
  <c r="BP25" i="3"/>
  <c r="BK25" i="3" s="1" a="1"/>
  <c r="BP21" i="3"/>
  <c r="BK21" i="3" s="1" a="1"/>
  <c r="BK17" i="3" a="1"/>
  <c r="BP13" i="3"/>
  <c r="BK13" i="3" s="1" a="1"/>
  <c r="BP9" i="3"/>
  <c r="BK9" i="3" s="1" a="1"/>
  <c r="I15" i="2"/>
  <c r="AA7" i="2" l="1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S74" i="3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T41" i="3" s="1"/>
  <c r="S15" i="3"/>
  <c r="S61" i="3"/>
  <c r="T61" i="3" s="1"/>
  <c r="S16" i="3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S14" i="3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74" i="3"/>
  <c r="T51" i="3"/>
  <c r="S54" i="3"/>
  <c r="S77" i="3"/>
  <c r="S50" i="3"/>
  <c r="S76" i="3"/>
  <c r="S47" i="3"/>
  <c r="S67" i="3"/>
  <c r="T48" i="3"/>
  <c r="T43" i="3"/>
  <c r="S72" i="3"/>
  <c r="T20" i="3"/>
  <c r="S70" i="3"/>
  <c r="S42" i="3"/>
  <c r="S64" i="3"/>
  <c r="S40" i="3"/>
  <c r="S62" i="3"/>
  <c r="T15" i="3"/>
  <c r="T16" i="3"/>
  <c r="S38" i="3"/>
  <c r="S65" i="3"/>
  <c r="T37" i="3"/>
  <c r="S55" i="3"/>
  <c r="T32" i="3"/>
  <c r="S57" i="3"/>
  <c r="T1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53" i="3" l="1"/>
  <c r="T23" i="3"/>
  <c r="T21" i="3"/>
  <c r="T19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W72" i="3" l="1"/>
  <c r="AX65" i="3" s="1"/>
  <c r="AU24" i="3"/>
  <c r="AT24" i="3"/>
  <c r="AU18" i="3"/>
  <c r="AU30" i="3"/>
  <c r="AX69" i="3"/>
  <c r="AX75" i="3"/>
  <c r="AT36" i="3"/>
  <c r="AX70" i="3"/>
  <c r="AW66" i="3"/>
  <c r="AV12" i="3"/>
  <c r="AX8" i="3"/>
  <c r="AX20" i="3"/>
  <c r="AV24" i="3"/>
  <c r="AU48" i="3"/>
  <c r="AW12" i="3"/>
  <c r="AW24" i="3"/>
  <c r="AW36" i="3"/>
  <c r="AV48" i="3"/>
  <c r="AX44" i="3"/>
  <c r="AT60" i="3"/>
  <c r="AT72" i="3"/>
  <c r="AX77" i="3"/>
  <c r="AT12" i="3"/>
  <c r="AW54" i="3"/>
  <c r="AT48" i="3"/>
  <c r="AX32" i="3"/>
  <c r="AV36" i="3"/>
  <c r="AW48" i="3"/>
  <c r="AU60" i="3"/>
  <c r="AU72" i="3"/>
  <c r="AU12" i="3"/>
  <c r="AX16" i="3"/>
  <c r="AX28" i="3"/>
  <c r="AV60" i="3"/>
  <c r="AX56" i="3"/>
  <c r="AV72" i="3"/>
  <c r="AX68" i="3"/>
  <c r="AX76" i="3"/>
  <c r="AX14" i="3"/>
  <c r="AV18" i="3"/>
  <c r="AT18" i="3"/>
  <c r="AT30" i="3"/>
  <c r="AT78" i="3"/>
  <c r="AV30" i="3"/>
  <c r="AX26" i="3"/>
  <c r="AT42" i="3"/>
  <c r="AU78" i="3"/>
  <c r="AW18" i="3"/>
  <c r="AW30" i="3"/>
  <c r="AU42" i="3"/>
  <c r="AT54" i="3"/>
  <c r="AT66" i="3"/>
  <c r="AX35" i="3"/>
  <c r="AV42" i="3"/>
  <c r="AX38" i="3"/>
  <c r="AU54" i="3"/>
  <c r="AU66" i="3"/>
  <c r="AW78" i="3"/>
  <c r="AV78" i="3"/>
  <c r="AX74" i="3"/>
  <c r="AX10" i="3"/>
  <c r="AX22" i="3"/>
  <c r="AW42" i="3"/>
  <c r="AX50" i="3"/>
  <c r="AV54" i="3"/>
  <c r="AV66" i="3"/>
  <c r="AX62" i="3"/>
  <c r="AY77" i="3" l="1"/>
  <c r="AY76" i="3"/>
  <c r="AX64" i="3"/>
  <c r="AY75" i="3"/>
  <c r="AY74" i="3"/>
  <c r="AX52" i="3" l="1"/>
  <c r="AY78" i="3"/>
  <c r="AZ74" i="3" s="1"/>
  <c r="AZ77" i="3" l="1"/>
  <c r="AZ75" i="3"/>
  <c r="AX47" i="3"/>
  <c r="AZ76" i="3"/>
  <c r="AX41" i="3" l="1"/>
  <c r="AZ78" i="3"/>
  <c r="BA74" i="3" s="1"/>
  <c r="AO74" i="3" s="1"/>
  <c r="X28" i="3" l="1"/>
  <c r="BA77" i="3"/>
  <c r="AO77" i="3" s="1"/>
  <c r="BA76" i="3"/>
  <c r="AO76" i="3" s="1"/>
  <c r="X27" i="3" s="1"/>
  <c r="AX39" i="3"/>
  <c r="BA75" i="3"/>
  <c r="AO75" i="3" s="1"/>
  <c r="X73" i="3" l="1"/>
  <c r="X52" i="3"/>
  <c r="Z28" i="3"/>
  <c r="Y28" i="3"/>
  <c r="AO78" i="3"/>
  <c r="AX34" i="3"/>
  <c r="Z27" i="3"/>
  <c r="Y27" i="3"/>
  <c r="X74" i="3"/>
  <c r="X51" i="3"/>
  <c r="Y74" i="3" l="1"/>
  <c r="Z74" i="3"/>
  <c r="Y73" i="3"/>
  <c r="Z73" i="3"/>
  <c r="Z51" i="3"/>
  <c r="Y51" i="3"/>
  <c r="Z52" i="3"/>
  <c r="Y52" i="3"/>
  <c r="AX21" i="3"/>
  <c r="AX17" i="3" l="1"/>
  <c r="AX9" i="3" l="1"/>
  <c r="AX57" i="3" l="1"/>
  <c r="AX58" i="3"/>
  <c r="AX59" i="3"/>
  <c r="AY56" i="3"/>
  <c r="AY57" i="3"/>
  <c r="AZ57" i="3" s="1"/>
  <c r="AY58" i="3"/>
  <c r="AZ58" i="3" s="1"/>
  <c r="AY59" i="3"/>
  <c r="AZ59" i="3" s="1"/>
  <c r="AY60" i="3"/>
  <c r="AZ56" i="3"/>
  <c r="AX27" i="3"/>
  <c r="AX29" i="3"/>
  <c r="AY26" i="3"/>
  <c r="AY27" i="3"/>
  <c r="AY28" i="3"/>
  <c r="AY29" i="3"/>
  <c r="AY30" i="3"/>
  <c r="AZ26" i="3"/>
  <c r="AX71" i="3"/>
  <c r="AY71" i="3" s="1"/>
  <c r="AY68" i="3"/>
  <c r="AY69" i="3"/>
  <c r="AY70" i="3"/>
  <c r="AX63" i="3"/>
  <c r="AY62" i="3"/>
  <c r="AY63" i="3"/>
  <c r="AY64" i="3"/>
  <c r="AY65" i="3"/>
  <c r="AZ27" i="3"/>
  <c r="AZ28" i="3"/>
  <c r="AZ29" i="3"/>
  <c r="AX51" i="3"/>
  <c r="AY52" i="3" s="1"/>
  <c r="AX53" i="3"/>
  <c r="AY53" i="3" s="1"/>
  <c r="AY50" i="3"/>
  <c r="AY51" i="3"/>
  <c r="AX45" i="3"/>
  <c r="AX46" i="3"/>
  <c r="AY45" i="3"/>
  <c r="AY44" i="3"/>
  <c r="AY46" i="3"/>
  <c r="AY47" i="3"/>
  <c r="AX40" i="3"/>
  <c r="AX33" i="3"/>
  <c r="AY34" i="3"/>
  <c r="AY35" i="3"/>
  <c r="AU36" i="3"/>
  <c r="AX23" i="3"/>
  <c r="AY21" i="3"/>
  <c r="AY20" i="3"/>
  <c r="AY22" i="3"/>
  <c r="AY23" i="3"/>
  <c r="AX15" i="3"/>
  <c r="AY14" i="3"/>
  <c r="AX11" i="3"/>
  <c r="AY8" i="3"/>
  <c r="AY9" i="3"/>
  <c r="AY10" i="3"/>
  <c r="AY11" i="3"/>
  <c r="AY12" i="3" s="1"/>
  <c r="AW60" i="3"/>
  <c r="AY72" i="3" l="1"/>
  <c r="AZ60" i="3"/>
  <c r="BA57" i="3" s="1"/>
  <c r="AO57" i="3" s="1"/>
  <c r="AY54" i="3"/>
  <c r="AZ50" i="3" s="1"/>
  <c r="AY48" i="3"/>
  <c r="AZ47" i="3"/>
  <c r="AY38" i="3"/>
  <c r="AY39" i="3"/>
  <c r="AY40" i="3"/>
  <c r="AY41" i="3"/>
  <c r="AY15" i="3"/>
  <c r="AZ15" i="3" s="1"/>
  <c r="AY16" i="3"/>
  <c r="AZ16" i="3" s="1"/>
  <c r="AY17" i="3"/>
  <c r="AZ17" i="3" s="1"/>
  <c r="AY24" i="3"/>
  <c r="AY18" i="3"/>
  <c r="AZ14" i="3" s="1"/>
  <c r="AZ30" i="3"/>
  <c r="BA26" i="3"/>
  <c r="AO26" i="3" s="1"/>
  <c r="AZ71" i="3"/>
  <c r="AZ70" i="3"/>
  <c r="AY66" i="3"/>
  <c r="AZ65" i="3" s="1"/>
  <c r="AY33" i="3"/>
  <c r="AY32" i="3"/>
  <c r="AZ8" i="3"/>
  <c r="AZ10" i="3"/>
  <c r="AZ11" i="3"/>
  <c r="AZ9" i="3"/>
  <c r="BA59" i="3" l="1"/>
  <c r="AO59" i="3" s="1"/>
  <c r="BA56" i="3"/>
  <c r="AO56" i="3" s="1"/>
  <c r="BA58" i="3"/>
  <c r="AO58" i="3" s="1"/>
  <c r="AZ53" i="3"/>
  <c r="AZ52" i="3"/>
  <c r="AZ51" i="3"/>
  <c r="AZ54" i="3" s="1"/>
  <c r="AZ44" i="3"/>
  <c r="AZ45" i="3"/>
  <c r="AZ46" i="3"/>
  <c r="AY42" i="3"/>
  <c r="AZ38" i="3" s="1"/>
  <c r="AZ69" i="3"/>
  <c r="AZ68" i="3"/>
  <c r="AZ23" i="3"/>
  <c r="AZ20" i="3"/>
  <c r="AZ24" i="3" s="1"/>
  <c r="BA20" i="3" s="1"/>
  <c r="AO20" i="3" s="1"/>
  <c r="AZ21" i="3"/>
  <c r="AZ22" i="3"/>
  <c r="BA27" i="3"/>
  <c r="AO27" i="3" s="1"/>
  <c r="BA29" i="3"/>
  <c r="AO29" i="3" s="1"/>
  <c r="BA28" i="3"/>
  <c r="AO28" i="3" s="1"/>
  <c r="X12" i="3" s="1"/>
  <c r="X37" i="3"/>
  <c r="X10" i="3"/>
  <c r="AO30" i="3"/>
  <c r="AZ72" i="3"/>
  <c r="BA68" i="3" s="1"/>
  <c r="AO68" i="3" s="1"/>
  <c r="AZ64" i="3"/>
  <c r="AZ63" i="3"/>
  <c r="AZ62" i="3"/>
  <c r="AY36" i="3"/>
  <c r="AZ32" i="3" s="1"/>
  <c r="AZ18" i="3"/>
  <c r="BA14" i="3" s="1"/>
  <c r="AO14" i="3" s="1"/>
  <c r="AZ12" i="3"/>
  <c r="BA8" i="3" s="1"/>
  <c r="AO8" i="3" s="1"/>
  <c r="X47" i="3" l="1"/>
  <c r="X67" i="3"/>
  <c r="X23" i="3"/>
  <c r="X48" i="3"/>
  <c r="AO60" i="3"/>
  <c r="X68" i="3"/>
  <c r="X24" i="3"/>
  <c r="AZ41" i="3"/>
  <c r="AZ40" i="3"/>
  <c r="AZ39" i="3"/>
  <c r="AZ48" i="3"/>
  <c r="BA50" i="3"/>
  <c r="AO50" i="3" s="1"/>
  <c r="BA51" i="3"/>
  <c r="AO51" i="3" s="1"/>
  <c r="BA52" i="3"/>
  <c r="AO52" i="3" s="1"/>
  <c r="BA53" i="3"/>
  <c r="AO53" i="3" s="1"/>
  <c r="X38" i="3"/>
  <c r="X65" i="3"/>
  <c r="Z12" i="3"/>
  <c r="Y12" i="3"/>
  <c r="Y37" i="3"/>
  <c r="Z37" i="3"/>
  <c r="Z10" i="3"/>
  <c r="Y10" i="3"/>
  <c r="BA69" i="3"/>
  <c r="AO69" i="3" s="1"/>
  <c r="BA70" i="3"/>
  <c r="AO70" i="3" s="1"/>
  <c r="BA71" i="3"/>
  <c r="AO71" i="3" s="1"/>
  <c r="AZ66" i="3"/>
  <c r="BA62" i="3" s="1"/>
  <c r="AO62" i="3" s="1"/>
  <c r="X66" i="3"/>
  <c r="AZ33" i="3"/>
  <c r="AZ35" i="3"/>
  <c r="AZ34" i="3"/>
  <c r="BA22" i="3"/>
  <c r="AO22" i="3" s="1"/>
  <c r="BA23" i="3"/>
  <c r="AO23" i="3" s="1"/>
  <c r="BA21" i="3"/>
  <c r="AO21" i="3" s="1"/>
  <c r="X13" i="3"/>
  <c r="X35" i="3"/>
  <c r="AO24" i="3"/>
  <c r="BA15" i="3"/>
  <c r="AO15" i="3" s="1"/>
  <c r="BA16" i="3"/>
  <c r="AO16" i="3" s="1"/>
  <c r="BA17" i="3"/>
  <c r="AO17" i="3" s="1"/>
  <c r="X9" i="3"/>
  <c r="X33" i="3"/>
  <c r="AO18" i="3"/>
  <c r="BA9" i="3"/>
  <c r="AO9" i="3" s="1"/>
  <c r="BA11" i="3"/>
  <c r="AO11" i="3" s="1"/>
  <c r="BA10" i="3"/>
  <c r="AO10" i="3" s="1"/>
  <c r="X34" i="3" s="1"/>
  <c r="Y47" i="3" l="1"/>
  <c r="Z47" i="3"/>
  <c r="Z67" i="3"/>
  <c r="Y67" i="3"/>
  <c r="Y23" i="3"/>
  <c r="Z23" i="3"/>
  <c r="Y48" i="3"/>
  <c r="Z48" i="3"/>
  <c r="Z68" i="3"/>
  <c r="Y68" i="3"/>
  <c r="Z24" i="3"/>
  <c r="Y24" i="3"/>
  <c r="AZ42" i="3"/>
  <c r="BA39" i="3"/>
  <c r="AO39" i="3" s="1"/>
  <c r="BA46" i="3"/>
  <c r="AO46" i="3" s="1"/>
  <c r="BA44" i="3"/>
  <c r="AO44" i="3" s="1"/>
  <c r="BA45" i="3"/>
  <c r="AO45" i="3" s="1"/>
  <c r="BA47" i="3"/>
  <c r="AO47" i="3" s="1"/>
  <c r="AO54" i="3"/>
  <c r="X44" i="3"/>
  <c r="X20" i="3"/>
  <c r="X43" i="3"/>
  <c r="X72" i="3"/>
  <c r="X71" i="3"/>
  <c r="X19" i="3"/>
  <c r="Z38" i="3"/>
  <c r="Y38" i="3"/>
  <c r="Z65" i="3"/>
  <c r="Y65" i="3"/>
  <c r="X54" i="3"/>
  <c r="X77" i="3"/>
  <c r="X49" i="3"/>
  <c r="X25" i="3"/>
  <c r="BA64" i="3"/>
  <c r="AO64" i="3" s="1"/>
  <c r="X26" i="3" s="1"/>
  <c r="BA63" i="3"/>
  <c r="AO63" i="3" s="1"/>
  <c r="BA65" i="3"/>
  <c r="AO65" i="3" s="1"/>
  <c r="Y66" i="3"/>
  <c r="Z66" i="3"/>
  <c r="AZ36" i="3"/>
  <c r="X78" i="3"/>
  <c r="AO72" i="3"/>
  <c r="X29" i="3"/>
  <c r="X30" i="3"/>
  <c r="X53" i="3"/>
  <c r="AO12" i="3"/>
  <c r="X7" i="3"/>
  <c r="X11" i="3"/>
  <c r="X36" i="3"/>
  <c r="X55" i="3"/>
  <c r="X56" i="3"/>
  <c r="Z13" i="3"/>
  <c r="Y13" i="3"/>
  <c r="Y35" i="3"/>
  <c r="Z35" i="3"/>
  <c r="X58" i="3"/>
  <c r="X14" i="3"/>
  <c r="X57" i="3"/>
  <c r="X32" i="3"/>
  <c r="Z9" i="3"/>
  <c r="Y9" i="3"/>
  <c r="Y33" i="3"/>
  <c r="Z33" i="3"/>
  <c r="Z34" i="3"/>
  <c r="Y34" i="3"/>
  <c r="X60" i="3"/>
  <c r="X31" i="3"/>
  <c r="X59" i="3"/>
  <c r="X8" i="3"/>
  <c r="BA34" i="3"/>
  <c r="AO34" i="3" s="1"/>
  <c r="BA35" i="3"/>
  <c r="AO35" i="3" s="1"/>
  <c r="BA33" i="3"/>
  <c r="AO33" i="3" s="1"/>
  <c r="BA32" i="3"/>
  <c r="AO32" i="3" s="1"/>
  <c r="X21" i="3" l="1"/>
  <c r="BA40" i="3"/>
  <c r="AO40" i="3" s="1"/>
  <c r="BA41" i="3"/>
  <c r="AO41" i="3" s="1"/>
  <c r="BA38" i="3"/>
  <c r="AO38" i="3" s="1"/>
  <c r="Z21" i="3"/>
  <c r="Y21" i="3"/>
  <c r="X22" i="3"/>
  <c r="AO48" i="3"/>
  <c r="X45" i="3"/>
  <c r="X70" i="3"/>
  <c r="X46" i="3"/>
  <c r="Z44" i="3"/>
  <c r="Y44" i="3"/>
  <c r="Y20" i="3"/>
  <c r="Z20" i="3"/>
  <c r="Y43" i="3"/>
  <c r="Z43" i="3"/>
  <c r="Y72" i="3"/>
  <c r="Z72" i="3"/>
  <c r="Y71" i="3"/>
  <c r="Z71" i="3"/>
  <c r="Z19" i="3"/>
  <c r="Y19" i="3"/>
  <c r="X69" i="3"/>
  <c r="Z54" i="3"/>
  <c r="Y54" i="3"/>
  <c r="Z77" i="3"/>
  <c r="Y77" i="3"/>
  <c r="Y49" i="3"/>
  <c r="Z49" i="3"/>
  <c r="Y25" i="3"/>
  <c r="Z25" i="3"/>
  <c r="Z26" i="3"/>
  <c r="Y26" i="3"/>
  <c r="X50" i="3"/>
  <c r="X76" i="3"/>
  <c r="Z78" i="3"/>
  <c r="Y78" i="3"/>
  <c r="Y29" i="3"/>
  <c r="Z29" i="3"/>
  <c r="Z30" i="3"/>
  <c r="Y30" i="3"/>
  <c r="Y53" i="3"/>
  <c r="Z53" i="3"/>
  <c r="X75" i="3"/>
  <c r="AO66" i="3"/>
  <c r="Z7" i="3"/>
  <c r="Y7" i="3"/>
  <c r="Z11" i="3"/>
  <c r="Y11" i="3"/>
  <c r="Y36" i="3"/>
  <c r="Z36" i="3"/>
  <c r="Y55" i="3"/>
  <c r="Z55" i="3"/>
  <c r="Z56" i="3"/>
  <c r="Y56" i="3"/>
  <c r="Y58" i="3"/>
  <c r="Z58" i="3"/>
  <c r="Z14" i="3"/>
  <c r="Y14" i="3"/>
  <c r="Y57" i="3"/>
  <c r="Z57" i="3"/>
  <c r="Z32" i="3"/>
  <c r="Y32" i="3"/>
  <c r="Z60" i="3"/>
  <c r="Y60" i="3"/>
  <c r="Y31" i="3"/>
  <c r="Z31" i="3"/>
  <c r="Z59" i="3"/>
  <c r="Y59" i="3"/>
  <c r="Y8" i="3"/>
  <c r="Z8" i="3"/>
  <c r="X15" i="3"/>
  <c r="X62" i="3"/>
  <c r="X40" i="3"/>
  <c r="X61" i="3"/>
  <c r="X16" i="3"/>
  <c r="X39" i="3"/>
  <c r="AO36" i="3"/>
  <c r="X63" i="3" l="1"/>
  <c r="X18" i="3"/>
  <c r="X42" i="3"/>
  <c r="X64" i="3"/>
  <c r="X17" i="3"/>
  <c r="AO42" i="3"/>
  <c r="X41" i="3"/>
  <c r="Z22" i="3"/>
  <c r="Y22" i="3"/>
  <c r="Y45" i="3"/>
  <c r="Z45" i="3"/>
  <c r="Z70" i="3"/>
  <c r="Y70" i="3"/>
  <c r="Z46" i="3"/>
  <c r="Y46" i="3"/>
  <c r="Z69" i="3"/>
  <c r="Y69" i="3"/>
  <c r="Z50" i="3"/>
  <c r="Y50" i="3"/>
  <c r="Z76" i="3"/>
  <c r="Y76" i="3"/>
  <c r="Y75" i="3"/>
  <c r="Z75" i="3"/>
  <c r="BE64" i="3" a="1"/>
  <c r="BE9" i="3" a="1"/>
  <c r="BC70" i="3" a="1"/>
  <c r="BC16" i="3" a="1"/>
  <c r="BD32" i="3" a="1"/>
  <c r="BD33" i="3" a="1"/>
  <c r="BE71" i="3" a="1"/>
  <c r="BD69" i="3" a="1"/>
  <c r="BE38" i="3" a="1"/>
  <c r="BD56" i="3" a="1"/>
  <c r="BD53" i="3" a="1"/>
  <c r="BD11" i="3" a="1"/>
  <c r="BC69" i="3" a="1"/>
  <c r="BD71" i="3" a="1"/>
  <c r="BC20" i="3" a="1"/>
  <c r="BB39" i="3" a="1"/>
  <c r="BE40" i="3" a="1"/>
  <c r="BB75" i="3" a="1"/>
  <c r="BB65" i="3" a="1"/>
  <c r="BB38" i="3" a="1"/>
  <c r="BC9" i="3" a="1"/>
  <c r="BE10" i="3" a="1"/>
  <c r="BC65" i="3" a="1"/>
  <c r="BD51" i="3" a="1"/>
  <c r="BD68" i="3" a="1"/>
  <c r="BC11" i="3" a="1"/>
  <c r="BC39" i="3" a="1"/>
  <c r="BB51" i="3" a="1"/>
  <c r="BB10" i="3" a="1"/>
  <c r="BB28" i="3" a="1"/>
  <c r="BD23" i="3" a="1"/>
  <c r="BB53" i="3" a="1"/>
  <c r="BE63" i="3" a="1"/>
  <c r="BC35" i="3" a="1"/>
  <c r="BC40" i="3" a="1"/>
  <c r="BB46" i="3" a="1"/>
  <c r="BE56" i="3" a="1"/>
  <c r="BB11" i="3" a="1"/>
  <c r="BB40" i="3" a="1"/>
  <c r="BE47" i="3" a="1"/>
  <c r="BE68" i="3" a="1"/>
  <c r="BE15" i="3" a="1"/>
  <c r="BB56" i="3" a="1"/>
  <c r="BB23" i="3" a="1"/>
  <c r="BE21" i="3" a="1"/>
  <c r="BD14" i="3" a="1"/>
  <c r="BC26" i="3" a="1"/>
  <c r="BB74" i="3" a="1"/>
  <c r="BE23" i="3" a="1"/>
  <c r="BB14" i="3" a="1"/>
  <c r="BE75" i="3" a="1"/>
  <c r="BC75" i="3" a="1"/>
  <c r="BE22" i="3" a="1"/>
  <c r="BB68" i="3" a="1"/>
  <c r="BE27" i="3" a="1"/>
  <c r="BB44" i="3" a="1"/>
  <c r="BD76" i="3" a="1"/>
  <c r="BE76" i="3" a="1"/>
  <c r="BE59" i="3" a="1"/>
  <c r="BB34" i="3" a="1"/>
  <c r="BE77" i="3" a="1"/>
  <c r="BD17" i="3" a="1"/>
  <c r="BB71" i="3" a="1"/>
  <c r="BC56" i="3" a="1"/>
  <c r="BC8" i="3" a="1"/>
  <c r="BE51" i="3" a="1"/>
  <c r="BE14" i="3" a="1"/>
  <c r="BD22" i="3" a="1"/>
  <c r="BE39" i="3" a="1"/>
  <c r="BC76" i="3" a="1"/>
  <c r="BD15" i="3" a="1"/>
  <c r="BC47" i="3" a="1"/>
  <c r="BB50" i="3" a="1"/>
  <c r="BC10" i="3" a="1"/>
  <c r="BB26" i="3" a="1"/>
  <c r="BB69" i="3" a="1"/>
  <c r="BB58" i="3" a="1"/>
  <c r="BD74" i="3" a="1"/>
  <c r="BD10" i="3" a="1"/>
  <c r="BD38" i="3" a="1"/>
  <c r="BB21" i="3" a="1"/>
  <c r="BC68" i="3" a="1"/>
  <c r="BC62" i="3" a="1"/>
  <c r="BD47" i="3" a="1"/>
  <c r="BD8" i="3" a="1"/>
  <c r="BB16" i="3" a="1"/>
  <c r="BD39" i="3" a="1"/>
  <c r="BC33" i="3" a="1"/>
  <c r="BB22" i="3" a="1"/>
  <c r="BB29" i="3" a="1"/>
  <c r="BB20" i="3" a="1"/>
  <c r="BE16" i="3" a="1"/>
  <c r="BE65" i="3" a="1"/>
  <c r="BD77" i="3" a="1"/>
  <c r="BB64" i="3" a="1"/>
  <c r="BB9" i="3" a="1"/>
  <c r="BC14" i="3" a="1"/>
  <c r="BD9" i="3" a="1"/>
  <c r="BD20" i="3" a="1"/>
  <c r="BB17" i="3" a="1"/>
  <c r="BB35" i="3" a="1"/>
  <c r="BE41" i="3" a="1"/>
  <c r="BD40" i="3" a="1"/>
  <c r="BE45" i="3" a="1"/>
  <c r="BE17" i="3" a="1"/>
  <c r="BE50" i="3" a="1"/>
  <c r="BE26" i="3" a="1"/>
  <c r="BD26" i="3" a="1"/>
  <c r="BB70" i="3" a="1"/>
  <c r="BE46" i="3" a="1"/>
  <c r="BD27" i="3" a="1"/>
  <c r="BE57" i="3" a="1"/>
  <c r="BD21" i="3" a="1"/>
  <c r="BC74" i="3" a="1"/>
  <c r="BC57" i="3" a="1"/>
  <c r="BC50" i="3" a="1"/>
  <c r="BB33" i="3" a="1"/>
  <c r="BD75" i="3" a="1"/>
  <c r="BD63" i="3" a="1"/>
  <c r="BD34" i="3" a="1"/>
  <c r="BD28" i="3" a="1"/>
  <c r="BC28" i="3" a="1"/>
  <c r="BD64" i="3" a="1"/>
  <c r="BE29" i="3" a="1"/>
  <c r="BC29" i="3" a="1"/>
  <c r="BB41" i="3" a="1"/>
  <c r="BE35" i="3" a="1"/>
  <c r="BD52" i="3" a="1"/>
  <c r="BC22" i="3" a="1"/>
  <c r="BC58" i="3" a="1"/>
  <c r="BC64" i="3" a="1"/>
  <c r="BB27" i="3" a="1"/>
  <c r="BB32" i="3" a="1"/>
  <c r="BD57" i="3" a="1"/>
  <c r="BD16" i="3" a="1"/>
  <c r="BC17" i="3" a="1"/>
  <c r="BE28" i="3" a="1"/>
  <c r="BC52" i="3" a="1"/>
  <c r="BD58" i="3" a="1"/>
  <c r="BD41" i="3" a="1"/>
  <c r="BC77" i="3" a="1"/>
  <c r="BC44" i="3" a="1"/>
  <c r="BE8" i="3" a="1"/>
  <c r="BD44" i="3" a="1"/>
  <c r="BE33" i="3" a="1"/>
  <c r="BB57" i="3" a="1"/>
  <c r="BC34" i="3" a="1"/>
  <c r="BE52" i="3" a="1"/>
  <c r="BC41" i="3" a="1"/>
  <c r="BC27" i="3" a="1"/>
  <c r="BD45" i="3" a="1"/>
  <c r="BC15" i="3" a="1"/>
  <c r="Z15" i="3"/>
  <c r="Y15" i="3"/>
  <c r="Z62" i="3"/>
  <c r="Y62" i="3"/>
  <c r="Y40" i="3"/>
  <c r="Z40" i="3"/>
  <c r="Y61" i="3"/>
  <c r="Z61" i="3"/>
  <c r="Z16" i="3"/>
  <c r="Y16" i="3"/>
  <c r="Z39" i="3"/>
  <c r="Y39" i="3"/>
  <c r="BD62" i="3" a="1"/>
  <c r="BB76" i="3" a="1"/>
  <c r="Y63" i="3" l="1"/>
  <c r="Z63" i="3"/>
  <c r="Z18" i="3"/>
  <c r="Y18" i="3"/>
  <c r="Z42" i="3"/>
  <c r="Y42" i="3"/>
  <c r="Z64" i="3"/>
  <c r="Y64" i="3"/>
  <c r="BC53" i="3" a="1"/>
  <c r="BC63" i="3" a="1"/>
  <c r="BE34" i="3" a="1"/>
  <c r="BC38" i="3" a="1"/>
  <c r="BB47" i="3" a="1"/>
  <c r="BB62" i="3" a="1"/>
  <c r="BE74" i="3" a="1"/>
  <c r="BE58" i="3" a="1"/>
  <c r="BE70" i="3" a="1"/>
  <c r="BC23" i="3" a="1"/>
  <c r="BC71" i="3" a="1"/>
  <c r="BE11" i="3" a="1"/>
  <c r="BC59" i="3" a="1"/>
  <c r="BD29" i="3" a="1"/>
  <c r="BE53" i="3" a="1"/>
  <c r="BE32" i="3" a="1"/>
  <c r="BB59" i="3" a="1"/>
  <c r="BD59" i="3" a="1"/>
  <c r="BD70" i="3" a="1"/>
  <c r="BD35" i="3" a="1"/>
  <c r="BC32" i="3" a="1"/>
  <c r="BE20" i="3" a="1"/>
  <c r="BD65" i="3" a="1"/>
  <c r="BE44" i="3" a="1"/>
  <c r="BB63" i="3" a="1"/>
  <c r="BB15" i="3" a="1"/>
  <c r="BE62" i="3" a="1"/>
  <c r="BD50" i="3" a="1"/>
  <c r="Z17" i="3"/>
  <c r="Y17" i="3"/>
  <c r="Y41" i="3"/>
  <c r="Z41" i="3"/>
  <c r="BB52" i="3" a="1"/>
  <c r="BC51" i="3" a="1"/>
  <c r="BB8" i="3" a="1"/>
  <c r="BC46" i="3" a="1"/>
  <c r="BC21" i="3" a="1"/>
  <c r="BC45" i="3" a="1"/>
  <c r="BE69" i="3" a="1"/>
  <c r="BB77" i="3" a="1"/>
  <c r="BD46" i="3" a="1"/>
  <c r="BB45" i="3" a="1"/>
  <c r="AA7" i="2" l="1"/>
  <c r="P80" i="3"/>
  <c r="O80" i="3"/>
  <c r="N80" i="3"/>
  <c r="M80" i="3"/>
  <c r="L80" i="3"/>
  <c r="K80" i="3"/>
  <c r="C78" i="3"/>
  <c r="B78" i="3"/>
  <c r="BE77" i="3"/>
  <c r="BD77" i="3"/>
  <c r="BF77" i="3" s="1"/>
  <c r="BC77" i="3"/>
  <c r="BB77" i="3"/>
  <c r="AW77" i="3"/>
  <c r="AV77" i="3"/>
  <c r="AU77" i="3"/>
  <c r="AT77" i="3"/>
  <c r="C77" i="3"/>
  <c r="B77" i="3"/>
  <c r="BE76" i="3"/>
  <c r="BD76" i="3"/>
  <c r="BF76" i="3" s="1"/>
  <c r="BC76" i="3"/>
  <c r="BB76" i="3"/>
  <c r="AW76" i="3"/>
  <c r="AV76" i="3"/>
  <c r="AU76" i="3"/>
  <c r="AT76" i="3"/>
  <c r="C76" i="3"/>
  <c r="B76" i="3"/>
  <c r="BE75" i="3"/>
  <c r="BD75" i="3"/>
  <c r="BC75" i="3"/>
  <c r="BB75" i="3"/>
  <c r="AW75" i="3"/>
  <c r="AV75" i="3"/>
  <c r="AU75" i="3"/>
  <c r="AT75" i="3"/>
  <c r="C75" i="3"/>
  <c r="B75" i="3"/>
  <c r="BE74" i="3"/>
  <c r="BE78" i="3" s="1"/>
  <c r="BD74" i="3"/>
  <c r="BC74" i="3"/>
  <c r="BC78" i="3" s="1"/>
  <c r="BB74" i="3"/>
  <c r="AW74" i="3"/>
  <c r="AV74" i="3"/>
  <c r="AU74" i="3"/>
  <c r="AT74" i="3"/>
  <c r="P74" i="3"/>
  <c r="O74" i="3"/>
  <c r="N74" i="3"/>
  <c r="M74" i="3"/>
  <c r="L74" i="3"/>
  <c r="K74" i="3"/>
  <c r="J74" i="3"/>
  <c r="C74" i="3"/>
  <c r="B74" i="3"/>
  <c r="C73" i="3"/>
  <c r="B73" i="3"/>
  <c r="C72" i="3"/>
  <c r="B72" i="3"/>
  <c r="BE71" i="3"/>
  <c r="BD71" i="3"/>
  <c r="BC71" i="3"/>
  <c r="BB71" i="3"/>
  <c r="AW71" i="3"/>
  <c r="AV71" i="3"/>
  <c r="AU71" i="3"/>
  <c r="AT71" i="3"/>
  <c r="C71" i="3"/>
  <c r="B71" i="3"/>
  <c r="BE70" i="3"/>
  <c r="BD70" i="3"/>
  <c r="BC70" i="3"/>
  <c r="BB70" i="3"/>
  <c r="AW70" i="3"/>
  <c r="AV70" i="3"/>
  <c r="AU70" i="3"/>
  <c r="AT70" i="3"/>
  <c r="C70" i="3"/>
  <c r="B70" i="3"/>
  <c r="BK69" i="3"/>
  <c r="BE69" i="3"/>
  <c r="BD69" i="3"/>
  <c r="BF69" i="3" s="1"/>
  <c r="BC69" i="3"/>
  <c r="BB69" i="3"/>
  <c r="AW69" i="3"/>
  <c r="AV69" i="3"/>
  <c r="AU69" i="3"/>
  <c r="AT69" i="3"/>
  <c r="C69" i="3"/>
  <c r="B69" i="3"/>
  <c r="BE68" i="3"/>
  <c r="BD68" i="3"/>
  <c r="BC68" i="3"/>
  <c r="BB68" i="3"/>
  <c r="AW68" i="3"/>
  <c r="AV68" i="3"/>
  <c r="AU68" i="3"/>
  <c r="AT68" i="3"/>
  <c r="P68" i="3"/>
  <c r="O68" i="3"/>
  <c r="N68" i="3"/>
  <c r="M68" i="3"/>
  <c r="L68" i="3"/>
  <c r="K68" i="3"/>
  <c r="J68" i="3"/>
  <c r="C68" i="3"/>
  <c r="B68" i="3"/>
  <c r="BR67" i="3"/>
  <c r="C67" i="3"/>
  <c r="B67" i="3"/>
  <c r="C66" i="3"/>
  <c r="B66" i="3"/>
  <c r="BK65" i="3"/>
  <c r="BE65" i="3"/>
  <c r="BD65" i="3"/>
  <c r="BF65" i="3" s="1"/>
  <c r="BC65" i="3"/>
  <c r="BB65" i="3"/>
  <c r="AW65" i="3"/>
  <c r="AV65" i="3"/>
  <c r="AU65" i="3"/>
  <c r="AT65" i="3"/>
  <c r="C65" i="3"/>
  <c r="B65" i="3"/>
  <c r="BE64" i="3"/>
  <c r="BD64" i="3"/>
  <c r="BC64" i="3"/>
  <c r="BB64" i="3"/>
  <c r="AW64" i="3"/>
  <c r="AV64" i="3"/>
  <c r="AU64" i="3"/>
  <c r="AT64" i="3"/>
  <c r="C64" i="3"/>
  <c r="B64" i="3"/>
  <c r="BY63" i="3"/>
  <c r="BE63" i="3"/>
  <c r="BD63" i="3"/>
  <c r="BF63" i="3" s="1"/>
  <c r="BC63" i="3"/>
  <c r="BB63" i="3"/>
  <c r="AW63" i="3"/>
  <c r="AV63" i="3"/>
  <c r="AU63" i="3"/>
  <c r="AT63" i="3"/>
  <c r="C63" i="3"/>
  <c r="B63" i="3"/>
  <c r="BE62" i="3"/>
  <c r="BD62" i="3"/>
  <c r="BC62" i="3"/>
  <c r="BC66" i="3" s="1"/>
  <c r="BB62" i="3"/>
  <c r="BB66" i="3" s="1"/>
  <c r="AW62" i="3"/>
  <c r="AV62" i="3"/>
  <c r="AU62" i="3"/>
  <c r="AT62" i="3"/>
  <c r="P62" i="3"/>
  <c r="O62" i="3"/>
  <c r="N62" i="3"/>
  <c r="M62" i="3"/>
  <c r="L62" i="3"/>
  <c r="K62" i="3"/>
  <c r="J62" i="3"/>
  <c r="C62" i="3"/>
  <c r="B62" i="3"/>
  <c r="BK61" i="3"/>
  <c r="C61" i="3"/>
  <c r="B61" i="3"/>
  <c r="C60" i="3"/>
  <c r="B60" i="3"/>
  <c r="BR59" i="3"/>
  <c r="BE59" i="3"/>
  <c r="BD59" i="3"/>
  <c r="BF59" i="3" s="1"/>
  <c r="BC59" i="3"/>
  <c r="BB59" i="3"/>
  <c r="BH59" i="3" s="1"/>
  <c r="AW59" i="3"/>
  <c r="AV59" i="3"/>
  <c r="AU59" i="3"/>
  <c r="AT59" i="3"/>
  <c r="C59" i="3"/>
  <c r="B59" i="3"/>
  <c r="BE58" i="3"/>
  <c r="BD58" i="3"/>
  <c r="BC58" i="3"/>
  <c r="BB58" i="3"/>
  <c r="AW58" i="3"/>
  <c r="AV58" i="3"/>
  <c r="AU58" i="3"/>
  <c r="AT58" i="3"/>
  <c r="C58" i="3"/>
  <c r="B58" i="3"/>
  <c r="BK57" i="3"/>
  <c r="BE57" i="3"/>
  <c r="BD57" i="3"/>
  <c r="BF57" i="3" s="1"/>
  <c r="BC57" i="3"/>
  <c r="BB57" i="3"/>
  <c r="AW57" i="3"/>
  <c r="AV57" i="3"/>
  <c r="AU57" i="3"/>
  <c r="AT57" i="3"/>
  <c r="C57" i="3"/>
  <c r="B57" i="3"/>
  <c r="BE56" i="3"/>
  <c r="BD56" i="3"/>
  <c r="BC56" i="3"/>
  <c r="BB56" i="3"/>
  <c r="AW56" i="3"/>
  <c r="AV56" i="3"/>
  <c r="AU56" i="3"/>
  <c r="AT56" i="3"/>
  <c r="P56" i="3"/>
  <c r="O56" i="3"/>
  <c r="N56" i="3"/>
  <c r="M56" i="3"/>
  <c r="L56" i="3"/>
  <c r="K56" i="3"/>
  <c r="J56" i="3"/>
  <c r="C56" i="3"/>
  <c r="B56" i="3"/>
  <c r="C55" i="3"/>
  <c r="B55" i="3"/>
  <c r="CF54" i="3"/>
  <c r="C54" i="3"/>
  <c r="B54" i="3"/>
  <c r="BK53" i="3"/>
  <c r="BE53" i="3"/>
  <c r="BD53" i="3"/>
  <c r="BF53" i="3" s="1"/>
  <c r="BC53" i="3"/>
  <c r="BB53" i="3"/>
  <c r="AW53" i="3"/>
  <c r="AV53" i="3"/>
  <c r="AU53" i="3"/>
  <c r="AT53" i="3"/>
  <c r="C53" i="3"/>
  <c r="B53" i="3"/>
  <c r="BE52" i="3"/>
  <c r="BD52" i="3"/>
  <c r="BC52" i="3"/>
  <c r="BB52" i="3"/>
  <c r="AW52" i="3"/>
  <c r="AV52" i="3"/>
  <c r="AU52" i="3"/>
  <c r="AT52" i="3"/>
  <c r="C52" i="3"/>
  <c r="B52" i="3"/>
  <c r="BR51" i="3"/>
  <c r="BE51" i="3"/>
  <c r="BD51" i="3"/>
  <c r="BF51" i="3" s="1"/>
  <c r="BC51" i="3"/>
  <c r="BB51" i="3"/>
  <c r="AW51" i="3"/>
  <c r="AV51" i="3"/>
  <c r="AU51" i="3"/>
  <c r="AT51" i="3"/>
  <c r="C51" i="3"/>
  <c r="B51" i="3"/>
  <c r="BE50" i="3"/>
  <c r="BD50" i="3"/>
  <c r="BC50" i="3"/>
  <c r="BC54" i="3" s="1"/>
  <c r="BB50" i="3"/>
  <c r="BB54" i="3" s="1"/>
  <c r="AW50" i="3"/>
  <c r="AV50" i="3"/>
  <c r="AU50" i="3"/>
  <c r="AT50" i="3"/>
  <c r="P50" i="3"/>
  <c r="O50" i="3"/>
  <c r="N50" i="3"/>
  <c r="M50" i="3"/>
  <c r="L50" i="3"/>
  <c r="K50" i="3"/>
  <c r="J50" i="3"/>
  <c r="C50" i="3"/>
  <c r="B50" i="3"/>
  <c r="BK49" i="3"/>
  <c r="C49" i="3"/>
  <c r="B49" i="3"/>
  <c r="C48" i="3"/>
  <c r="B48" i="3"/>
  <c r="CM47" i="3"/>
  <c r="BY47" i="3"/>
  <c r="BE47" i="3"/>
  <c r="BD47" i="3"/>
  <c r="BF47" i="3" s="1"/>
  <c r="BC47" i="3"/>
  <c r="BB47" i="3"/>
  <c r="AW47" i="3"/>
  <c r="AV47" i="3"/>
  <c r="AU47" i="3"/>
  <c r="AT47" i="3"/>
  <c r="C47" i="3"/>
  <c r="B47" i="3"/>
  <c r="BE46" i="3"/>
  <c r="BD46" i="3"/>
  <c r="BF46" i="3" s="1"/>
  <c r="BC46" i="3"/>
  <c r="BB46" i="3"/>
  <c r="AW46" i="3"/>
  <c r="AV46" i="3"/>
  <c r="AU46" i="3"/>
  <c r="AT46" i="3"/>
  <c r="C46" i="3"/>
  <c r="B46" i="3"/>
  <c r="BK45" i="3"/>
  <c r="BE45" i="3"/>
  <c r="BD45" i="3"/>
  <c r="BC45" i="3"/>
  <c r="BB45" i="3"/>
  <c r="AW45" i="3"/>
  <c r="AV45" i="3"/>
  <c r="AU45" i="3"/>
  <c r="AT45" i="3"/>
  <c r="C45" i="3"/>
  <c r="B45" i="3"/>
  <c r="CM44" i="3"/>
  <c r="BE44" i="3"/>
  <c r="BD44" i="3"/>
  <c r="BC44" i="3"/>
  <c r="BB44" i="3"/>
  <c r="AW44" i="3"/>
  <c r="AV44" i="3"/>
  <c r="AU44" i="3"/>
  <c r="AT44" i="3"/>
  <c r="P44" i="3"/>
  <c r="O44" i="3"/>
  <c r="N44" i="3"/>
  <c r="M44" i="3"/>
  <c r="L44" i="3"/>
  <c r="K44" i="3"/>
  <c r="J44" i="3"/>
  <c r="C44" i="3"/>
  <c r="B44" i="3"/>
  <c r="BR43" i="3"/>
  <c r="C43" i="3"/>
  <c r="B43" i="3"/>
  <c r="C42" i="3"/>
  <c r="B42" i="3"/>
  <c r="BK41" i="3"/>
  <c r="BE41" i="3"/>
  <c r="BD41" i="3"/>
  <c r="BF41" i="3" s="1"/>
  <c r="BC41" i="3"/>
  <c r="BB41" i="3"/>
  <c r="AW41" i="3"/>
  <c r="AV41" i="3"/>
  <c r="AU41" i="3"/>
  <c r="AT41" i="3"/>
  <c r="C41" i="3"/>
  <c r="B41" i="3"/>
  <c r="BE40" i="3"/>
  <c r="BD40" i="3"/>
  <c r="BF40" i="3" s="1"/>
  <c r="BC40" i="3"/>
  <c r="BB40" i="3"/>
  <c r="AW40" i="3"/>
  <c r="AV40" i="3"/>
  <c r="AU40" i="3"/>
  <c r="AT40" i="3"/>
  <c r="C40" i="3"/>
  <c r="B40" i="3"/>
  <c r="BE39" i="3"/>
  <c r="BD39" i="3"/>
  <c r="BC39" i="3"/>
  <c r="BB39" i="3"/>
  <c r="AW39" i="3"/>
  <c r="AV39" i="3"/>
  <c r="AU39" i="3"/>
  <c r="AT39" i="3"/>
  <c r="C39" i="3"/>
  <c r="B39" i="3"/>
  <c r="BE38" i="3"/>
  <c r="BD38" i="3"/>
  <c r="BC38" i="3"/>
  <c r="BC42" i="3" s="1"/>
  <c r="BB38" i="3"/>
  <c r="BB42" i="3" s="1"/>
  <c r="AW38" i="3"/>
  <c r="AV38" i="3"/>
  <c r="AU38" i="3"/>
  <c r="AT38" i="3"/>
  <c r="P38" i="3"/>
  <c r="O38" i="3"/>
  <c r="N38" i="3"/>
  <c r="M38" i="3"/>
  <c r="L38" i="3"/>
  <c r="K38" i="3"/>
  <c r="J38" i="3"/>
  <c r="C38" i="3"/>
  <c r="B38" i="3"/>
  <c r="BK37" i="3"/>
  <c r="C37" i="3"/>
  <c r="B37" i="3"/>
  <c r="CM36" i="3"/>
  <c r="C36" i="3"/>
  <c r="B36" i="3"/>
  <c r="BR35" i="3"/>
  <c r="BE35" i="3"/>
  <c r="BD35" i="3"/>
  <c r="BF35" i="3" s="1"/>
  <c r="BC35" i="3"/>
  <c r="BB35" i="3"/>
  <c r="AW35" i="3"/>
  <c r="AV35" i="3"/>
  <c r="AU35" i="3"/>
  <c r="AT35" i="3"/>
  <c r="C35" i="3"/>
  <c r="B35" i="3"/>
  <c r="BE34" i="3"/>
  <c r="BD34" i="3"/>
  <c r="BF34" i="3" s="1"/>
  <c r="BC34" i="3"/>
  <c r="BB34" i="3"/>
  <c r="AW34" i="3"/>
  <c r="AV34" i="3"/>
  <c r="AU34" i="3"/>
  <c r="AT34" i="3"/>
  <c r="C34" i="3"/>
  <c r="B34" i="3"/>
  <c r="CM33" i="3"/>
  <c r="BK33" i="3"/>
  <c r="BE33" i="3"/>
  <c r="BD33" i="3"/>
  <c r="BF33" i="3" s="1"/>
  <c r="BC33" i="3"/>
  <c r="BB33" i="3"/>
  <c r="AW33" i="3"/>
  <c r="AV33" i="3"/>
  <c r="AU33" i="3"/>
  <c r="AT33" i="3"/>
  <c r="C33" i="3"/>
  <c r="B33" i="3"/>
  <c r="BE32" i="3"/>
  <c r="BD32" i="3"/>
  <c r="BC32" i="3"/>
  <c r="BB32" i="3"/>
  <c r="AW32" i="3"/>
  <c r="AV32" i="3"/>
  <c r="AU32" i="3"/>
  <c r="AT32" i="3"/>
  <c r="P32" i="3"/>
  <c r="O32" i="3"/>
  <c r="N32" i="3"/>
  <c r="M32" i="3"/>
  <c r="L32" i="3"/>
  <c r="K32" i="3"/>
  <c r="J32" i="3"/>
  <c r="C32" i="3"/>
  <c r="B32" i="3"/>
  <c r="BY31" i="3"/>
  <c r="C31" i="3"/>
  <c r="B31" i="3"/>
  <c r="C30" i="3"/>
  <c r="B30" i="3"/>
  <c r="BK29" i="3"/>
  <c r="BE29" i="3"/>
  <c r="BD29" i="3"/>
  <c r="BC29" i="3"/>
  <c r="BB29" i="3"/>
  <c r="AW29" i="3"/>
  <c r="AV29" i="3"/>
  <c r="AU29" i="3"/>
  <c r="AT29" i="3"/>
  <c r="C29" i="3"/>
  <c r="B29" i="3"/>
  <c r="BE28" i="3"/>
  <c r="BD28" i="3"/>
  <c r="BF28" i="3" s="1"/>
  <c r="BC28" i="3"/>
  <c r="BB28" i="3"/>
  <c r="AW28" i="3"/>
  <c r="AV28" i="3"/>
  <c r="AU28" i="3"/>
  <c r="AT28" i="3"/>
  <c r="C28" i="3"/>
  <c r="B28" i="3"/>
  <c r="BR27" i="3"/>
  <c r="BE27" i="3"/>
  <c r="BD27" i="3"/>
  <c r="BF27" i="3" s="1"/>
  <c r="BC27" i="3"/>
  <c r="BB27" i="3"/>
  <c r="AW27" i="3"/>
  <c r="AV27" i="3"/>
  <c r="AU27" i="3"/>
  <c r="AT27" i="3"/>
  <c r="C27" i="3"/>
  <c r="B27" i="3"/>
  <c r="BE26" i="3"/>
  <c r="BE30" i="3" s="1"/>
  <c r="BD26" i="3"/>
  <c r="BC26" i="3"/>
  <c r="BB26" i="3"/>
  <c r="AW26" i="3"/>
  <c r="AV26" i="3"/>
  <c r="AU26" i="3"/>
  <c r="AT26" i="3"/>
  <c r="P26" i="3"/>
  <c r="O26" i="3"/>
  <c r="N26" i="3"/>
  <c r="M26" i="3"/>
  <c r="L26" i="3"/>
  <c r="K26" i="3"/>
  <c r="J26" i="3"/>
  <c r="C26" i="3"/>
  <c r="B26" i="3"/>
  <c r="BK25" i="3"/>
  <c r="C25" i="3"/>
  <c r="B25" i="3"/>
  <c r="C24" i="3"/>
  <c r="B24" i="3"/>
  <c r="BE23" i="3"/>
  <c r="BD23" i="3"/>
  <c r="BF23" i="3" s="1"/>
  <c r="BC23" i="3"/>
  <c r="BB23" i="3"/>
  <c r="AW23" i="3"/>
  <c r="AV23" i="3"/>
  <c r="AU23" i="3"/>
  <c r="AT23" i="3"/>
  <c r="C23" i="3"/>
  <c r="B23" i="3"/>
  <c r="CF22" i="3"/>
  <c r="BE22" i="3"/>
  <c r="BD22" i="3"/>
  <c r="BF22" i="3" s="1"/>
  <c r="BC22" i="3"/>
  <c r="BB22" i="3"/>
  <c r="AW22" i="3"/>
  <c r="AV22" i="3"/>
  <c r="AU22" i="3"/>
  <c r="AT22" i="3"/>
  <c r="C22" i="3"/>
  <c r="B22" i="3"/>
  <c r="BK21" i="3"/>
  <c r="BE21" i="3"/>
  <c r="BD21" i="3"/>
  <c r="BF21" i="3" s="1"/>
  <c r="BC21" i="3"/>
  <c r="BB21" i="3"/>
  <c r="AW21" i="3"/>
  <c r="AV21" i="3"/>
  <c r="AU21" i="3"/>
  <c r="AT21" i="3"/>
  <c r="C21" i="3"/>
  <c r="B21" i="3"/>
  <c r="BE20" i="3"/>
  <c r="BD20" i="3"/>
  <c r="BC20" i="3"/>
  <c r="BB20" i="3"/>
  <c r="AW20" i="3"/>
  <c r="AV20" i="3"/>
  <c r="AU20" i="3"/>
  <c r="AT20" i="3"/>
  <c r="P20" i="3"/>
  <c r="O20" i="3"/>
  <c r="N20" i="3"/>
  <c r="M20" i="3"/>
  <c r="L20" i="3"/>
  <c r="K20" i="3"/>
  <c r="J20" i="3"/>
  <c r="C20" i="3"/>
  <c r="B20" i="3"/>
  <c r="BR19" i="3"/>
  <c r="C19" i="3"/>
  <c r="B19" i="3"/>
  <c r="C18" i="3"/>
  <c r="B18" i="3"/>
  <c r="BK17" i="3"/>
  <c r="BE17" i="3"/>
  <c r="BD17" i="3"/>
  <c r="BF17" i="3" s="1"/>
  <c r="BC17" i="3"/>
  <c r="BB17" i="3"/>
  <c r="AW17" i="3"/>
  <c r="AV17" i="3"/>
  <c r="AU17" i="3"/>
  <c r="AT17" i="3"/>
  <c r="C17" i="3"/>
  <c r="B17" i="3"/>
  <c r="BE16" i="3"/>
  <c r="BD16" i="3"/>
  <c r="BF16" i="3" s="1"/>
  <c r="BC16" i="3"/>
  <c r="BB16" i="3"/>
  <c r="AW16" i="3"/>
  <c r="AV16" i="3"/>
  <c r="AU16" i="3"/>
  <c r="AT16" i="3"/>
  <c r="C16" i="3"/>
  <c r="B16" i="3"/>
  <c r="BY15" i="3"/>
  <c r="BE15" i="3"/>
  <c r="BD15" i="3"/>
  <c r="BF15" i="3" s="1"/>
  <c r="BC15" i="3"/>
  <c r="BB15" i="3"/>
  <c r="AW15" i="3"/>
  <c r="AV15" i="3"/>
  <c r="AU15" i="3"/>
  <c r="AT15" i="3"/>
  <c r="C15" i="3"/>
  <c r="B15" i="3"/>
  <c r="BE14" i="3"/>
  <c r="BE18" i="3" s="1"/>
  <c r="BD14" i="3"/>
  <c r="BC14" i="3"/>
  <c r="BC18" i="3" s="1"/>
  <c r="BB14" i="3"/>
  <c r="BB18" i="3" s="1"/>
  <c r="AW14" i="3"/>
  <c r="AV14" i="3"/>
  <c r="AU14" i="3"/>
  <c r="AT14" i="3"/>
  <c r="P14" i="3"/>
  <c r="O14" i="3"/>
  <c r="N14" i="3"/>
  <c r="M14" i="3"/>
  <c r="L14" i="3"/>
  <c r="K14" i="3"/>
  <c r="J14" i="3"/>
  <c r="C14" i="3"/>
  <c r="B14" i="3"/>
  <c r="BK13" i="3"/>
  <c r="C13" i="3"/>
  <c r="B13" i="3"/>
  <c r="C12" i="3"/>
  <c r="B12" i="3"/>
  <c r="BR11" i="3"/>
  <c r="BE11" i="3"/>
  <c r="BD11" i="3"/>
  <c r="BF11" i="3" s="1"/>
  <c r="BC11" i="3"/>
  <c r="BB11" i="3"/>
  <c r="AW11" i="3"/>
  <c r="AV11" i="3"/>
  <c r="AU11" i="3"/>
  <c r="AT11" i="3"/>
  <c r="C11" i="3"/>
  <c r="B11" i="3"/>
  <c r="BE10" i="3"/>
  <c r="BD10" i="3"/>
  <c r="BF10" i="3" s="1"/>
  <c r="BC10" i="3"/>
  <c r="BB10" i="3"/>
  <c r="AW10" i="3"/>
  <c r="AV10" i="3"/>
  <c r="AU10" i="3"/>
  <c r="AT10" i="3"/>
  <c r="C10" i="3"/>
  <c r="B10" i="3"/>
  <c r="BK9" i="3"/>
  <c r="BE9" i="3"/>
  <c r="BD9" i="3"/>
  <c r="BF9" i="3" s="1"/>
  <c r="BC9" i="3"/>
  <c r="BB9" i="3"/>
  <c r="AW9" i="3"/>
  <c r="AV9" i="3"/>
  <c r="AU9" i="3"/>
  <c r="AT9" i="3"/>
  <c r="C9" i="3"/>
  <c r="B9" i="3"/>
  <c r="BE8" i="3"/>
  <c r="BD8" i="3"/>
  <c r="BC8" i="3"/>
  <c r="BB8" i="3"/>
  <c r="AW8" i="3"/>
  <c r="AV8" i="3"/>
  <c r="AU8" i="3"/>
  <c r="AT8" i="3"/>
  <c r="P8" i="3"/>
  <c r="O8" i="3"/>
  <c r="N8" i="3"/>
  <c r="M8" i="3"/>
  <c r="L8" i="3"/>
  <c r="K8" i="3"/>
  <c r="J8" i="3"/>
  <c r="C8" i="3"/>
  <c r="B8" i="3"/>
  <c r="C7" i="3"/>
  <c r="B7" i="3"/>
  <c r="CF6" i="3"/>
  <c r="BY6" i="3"/>
  <c r="BR6" i="3"/>
  <c r="A5" i="3"/>
  <c r="A1" i="3"/>
  <c r="BF14" i="3" l="1"/>
  <c r="BG14" i="3" s="1"/>
  <c r="BD18" i="3"/>
  <c r="BF26" i="3"/>
  <c r="BG26" i="3" s="1"/>
  <c r="BD30" i="3"/>
  <c r="BF39" i="3"/>
  <c r="BG39" i="3" s="1"/>
  <c r="BF52" i="3"/>
  <c r="BG52" i="3" s="1"/>
  <c r="BF64" i="3"/>
  <c r="BG64" i="3" s="1"/>
  <c r="BG51" i="3"/>
  <c r="BB24" i="3"/>
  <c r="BB36" i="3"/>
  <c r="BG33" i="3"/>
  <c r="BG34" i="3"/>
  <c r="BE54" i="3"/>
  <c r="BH58" i="3"/>
  <c r="BG59" i="3"/>
  <c r="BE66" i="3"/>
  <c r="BF71" i="3"/>
  <c r="BG35" i="3"/>
  <c r="BE42" i="3"/>
  <c r="BC12" i="3"/>
  <c r="BC24" i="3"/>
  <c r="BC36" i="3"/>
  <c r="BB48" i="3"/>
  <c r="BG46" i="3"/>
  <c r="BF38" i="3"/>
  <c r="BD42" i="3"/>
  <c r="BG47" i="3"/>
  <c r="BD66" i="3"/>
  <c r="BF62" i="3"/>
  <c r="BD12" i="3"/>
  <c r="BF8" i="3"/>
  <c r="BG8" i="3" s="1"/>
  <c r="BD24" i="3"/>
  <c r="BF20" i="3"/>
  <c r="BG20" i="3" s="1"/>
  <c r="BD36" i="3"/>
  <c r="BF32" i="3"/>
  <c r="BG32" i="3" s="1"/>
  <c r="BC48" i="3"/>
  <c r="BF45" i="3"/>
  <c r="BF58" i="3"/>
  <c r="BF70" i="3"/>
  <c r="BD78" i="3"/>
  <c r="BF74" i="3"/>
  <c r="BE12" i="3"/>
  <c r="BG17" i="3"/>
  <c r="BE24" i="3"/>
  <c r="BF29" i="3"/>
  <c r="BE36" i="3"/>
  <c r="BF44" i="3"/>
  <c r="BG44" i="3" s="1"/>
  <c r="BD48" i="3"/>
  <c r="BB60" i="3"/>
  <c r="BH57" i="3"/>
  <c r="BG57" i="3"/>
  <c r="BB72" i="3"/>
  <c r="BG69" i="3"/>
  <c r="BG77" i="3"/>
  <c r="BG41" i="3"/>
  <c r="BE48" i="3"/>
  <c r="BC60" i="3"/>
  <c r="BC72" i="3"/>
  <c r="BB12" i="3"/>
  <c r="BG16" i="3"/>
  <c r="BG28" i="3"/>
  <c r="BF56" i="3"/>
  <c r="BD60" i="3"/>
  <c r="BF68" i="3"/>
  <c r="BG68" i="3" s="1"/>
  <c r="BD72" i="3"/>
  <c r="BD54" i="3"/>
  <c r="BF50" i="3"/>
  <c r="BG15" i="3"/>
  <c r="BB30" i="3"/>
  <c r="BG27" i="3"/>
  <c r="BG40" i="3"/>
  <c r="BG53" i="3"/>
  <c r="BE60" i="3"/>
  <c r="BE72" i="3"/>
  <c r="BC30" i="3"/>
  <c r="BB78" i="3"/>
  <c r="BF75" i="3"/>
  <c r="BG75" i="3" s="1"/>
  <c r="BH17" i="3" l="1"/>
  <c r="BH51" i="3"/>
  <c r="BH41" i="3"/>
  <c r="BG70" i="3"/>
  <c r="BG58" i="3"/>
  <c r="BG30" i="3"/>
  <c r="BH26" i="3" s="1"/>
  <c r="BG74" i="3"/>
  <c r="BG78" i="3" s="1"/>
  <c r="BH74" i="3" s="1"/>
  <c r="BH27" i="3"/>
  <c r="BG45" i="3"/>
  <c r="BG48" i="3" s="1"/>
  <c r="BG62" i="3"/>
  <c r="BG50" i="3"/>
  <c r="BG54" i="3" s="1"/>
  <c r="BG38" i="3"/>
  <c r="BG42" i="3" s="1"/>
  <c r="BG76" i="3"/>
  <c r="BG72" i="3"/>
  <c r="BH56" i="3"/>
  <c r="BG56" i="3"/>
  <c r="BG60" i="3" s="1"/>
  <c r="BG21" i="3"/>
  <c r="BG9" i="3"/>
  <c r="BG12" i="3" s="1"/>
  <c r="BG29" i="3"/>
  <c r="BG18" i="3"/>
  <c r="BH15" i="3" s="1"/>
  <c r="BG10" i="3"/>
  <c r="BG11" i="3"/>
  <c r="BG65" i="3"/>
  <c r="BG23" i="3"/>
  <c r="BG36" i="3"/>
  <c r="BH35" i="3" s="1"/>
  <c r="BG63" i="3"/>
  <c r="BG71" i="3"/>
  <c r="BG22" i="3"/>
  <c r="BH44" i="3" l="1"/>
  <c r="BH46" i="3"/>
  <c r="BH47" i="3"/>
  <c r="BH8" i="3"/>
  <c r="BH10" i="3"/>
  <c r="BH30" i="3"/>
  <c r="BI26" i="3" s="1"/>
  <c r="AP26" i="3" s="1"/>
  <c r="BH68" i="3"/>
  <c r="BH69" i="3"/>
  <c r="BH9" i="3"/>
  <c r="BH76" i="3"/>
  <c r="BH50" i="3"/>
  <c r="BH52" i="3"/>
  <c r="BH29" i="3"/>
  <c r="BH60" i="3"/>
  <c r="BI56" i="3"/>
  <c r="AP56" i="3" s="1"/>
  <c r="BH45" i="3"/>
  <c r="BH71" i="3"/>
  <c r="BH53" i="3"/>
  <c r="BH33" i="3"/>
  <c r="BH70" i="3"/>
  <c r="BH38" i="3"/>
  <c r="BH39" i="3"/>
  <c r="BH14" i="3"/>
  <c r="BH16" i="3"/>
  <c r="BG24" i="3"/>
  <c r="BH20" i="3" s="1"/>
  <c r="BH75" i="3"/>
  <c r="BH28" i="3"/>
  <c r="BH32" i="3"/>
  <c r="BH34" i="3"/>
  <c r="BH11" i="3"/>
  <c r="BG66" i="3"/>
  <c r="BH63" i="3"/>
  <c r="BH77" i="3"/>
  <c r="BH40" i="3"/>
  <c r="BI27" i="3" l="1"/>
  <c r="AP27" i="3" s="1"/>
  <c r="BH42" i="3"/>
  <c r="BI41" i="3" s="1"/>
  <c r="AP41" i="3" s="1"/>
  <c r="BI39" i="3"/>
  <c r="AP39" i="3" s="1"/>
  <c r="BI52" i="3"/>
  <c r="AP52" i="3" s="1"/>
  <c r="BH36" i="3"/>
  <c r="BI35" i="3" s="1"/>
  <c r="AP35" i="3" s="1"/>
  <c r="BH18" i="3"/>
  <c r="BI14" i="3"/>
  <c r="AP14" i="3" s="1"/>
  <c r="BH12" i="3"/>
  <c r="BI8" i="3" s="1"/>
  <c r="AP8" i="3" s="1"/>
  <c r="BI10" i="3"/>
  <c r="AP10" i="3" s="1"/>
  <c r="BH78" i="3"/>
  <c r="BI74" i="3" s="1"/>
  <c r="AP74" i="3" s="1"/>
  <c r="BI75" i="3"/>
  <c r="AP75" i="3" s="1"/>
  <c r="BI59" i="3"/>
  <c r="AP59" i="3" s="1"/>
  <c r="BI57" i="3"/>
  <c r="AP57" i="3" s="1"/>
  <c r="BI58" i="3"/>
  <c r="AP58" i="3" s="1"/>
  <c r="BI77" i="3"/>
  <c r="AP77" i="3" s="1"/>
  <c r="BH21" i="3"/>
  <c r="BH62" i="3"/>
  <c r="BH64" i="3"/>
  <c r="BH54" i="3"/>
  <c r="BI51" i="3" s="1"/>
  <c r="AP51" i="3" s="1"/>
  <c r="BI50" i="3"/>
  <c r="AP50" i="3" s="1"/>
  <c r="BI53" i="3"/>
  <c r="AP53" i="3" s="1"/>
  <c r="BH48" i="3"/>
  <c r="BI45" i="3" s="1"/>
  <c r="AP45" i="3" s="1"/>
  <c r="BH22" i="3"/>
  <c r="BH72" i="3"/>
  <c r="BI68" i="3" s="1"/>
  <c r="AP68" i="3" s="1"/>
  <c r="BI69" i="3"/>
  <c r="AP69" i="3" s="1"/>
  <c r="BH23" i="3"/>
  <c r="BI40" i="3"/>
  <c r="AP40" i="3" s="1"/>
  <c r="BI29" i="3"/>
  <c r="AP29" i="3" s="1"/>
  <c r="BI38" i="3"/>
  <c r="AP38" i="3" s="1"/>
  <c r="AP42" i="3" s="1"/>
  <c r="AR38" i="3" s="1"/>
  <c r="BI11" i="3"/>
  <c r="AP11" i="3" s="1"/>
  <c r="BI9" i="3"/>
  <c r="AP9" i="3" s="1"/>
  <c r="BI34" i="3"/>
  <c r="AP34" i="3" s="1"/>
  <c r="BH65" i="3"/>
  <c r="BI32" i="3"/>
  <c r="AP32" i="3" s="1"/>
  <c r="BI28" i="3"/>
  <c r="AP28" i="3" s="1"/>
  <c r="BI15" i="3" l="1"/>
  <c r="AP15" i="3" s="1"/>
  <c r="BI17" i="3"/>
  <c r="AP17" i="3" s="1"/>
  <c r="BI44" i="3"/>
  <c r="AP44" i="3" s="1"/>
  <c r="AP60" i="3"/>
  <c r="AR56" i="3" s="1"/>
  <c r="AR57" i="3"/>
  <c r="BI33" i="3"/>
  <c r="AP33" i="3" s="1"/>
  <c r="AR39" i="3"/>
  <c r="AR28" i="3"/>
  <c r="AR11" i="3"/>
  <c r="BI46" i="3"/>
  <c r="AP46" i="3" s="1"/>
  <c r="AR53" i="3"/>
  <c r="BI76" i="3"/>
  <c r="AP76" i="3" s="1"/>
  <c r="BI71" i="3"/>
  <c r="AP71" i="3" s="1"/>
  <c r="AR41" i="3"/>
  <c r="BI21" i="3"/>
  <c r="AP21" i="3" s="1"/>
  <c r="BI47" i="3"/>
  <c r="AP47" i="3" s="1"/>
  <c r="AR29" i="3"/>
  <c r="AR10" i="3"/>
  <c r="AR27" i="3"/>
  <c r="AD27" i="3" s="1"/>
  <c r="BH66" i="3"/>
  <c r="BI63" i="3" s="1"/>
  <c r="AP63" i="3" s="1"/>
  <c r="BH24" i="3"/>
  <c r="BI20" i="3" s="1"/>
  <c r="AP20" i="3" s="1"/>
  <c r="BI70" i="3"/>
  <c r="AP70" i="3" s="1"/>
  <c r="AP54" i="3"/>
  <c r="AR50" i="3" s="1"/>
  <c r="AP12" i="3"/>
  <c r="AR9" i="3" s="1"/>
  <c r="AD9" i="3" s="1"/>
  <c r="AR8" i="3"/>
  <c r="BI16" i="3"/>
  <c r="AP16" i="3" s="1"/>
  <c r="AD38" i="3"/>
  <c r="AR40" i="3"/>
  <c r="AD40" i="3" s="1"/>
  <c r="AR51" i="3"/>
  <c r="AP30" i="3"/>
  <c r="AR26" i="3" s="1"/>
  <c r="AD29" i="3" l="1"/>
  <c r="AR59" i="3"/>
  <c r="AD59" i="3" s="1"/>
  <c r="AR52" i="3"/>
  <c r="AD52" i="3" s="1"/>
  <c r="BI65" i="3"/>
  <c r="AP65" i="3" s="1"/>
  <c r="AP48" i="3"/>
  <c r="AR45" i="3" s="1"/>
  <c r="AD51" i="3"/>
  <c r="BI62" i="3"/>
  <c r="AP62" i="3" s="1"/>
  <c r="AP66" i="3" s="1"/>
  <c r="AR62" i="3" s="1"/>
  <c r="AP36" i="3"/>
  <c r="AD11" i="3"/>
  <c r="AD28" i="3"/>
  <c r="AR17" i="3"/>
  <c r="AR16" i="3"/>
  <c r="AD16" i="3" s="1"/>
  <c r="AD39" i="3"/>
  <c r="J41" i="3" s="1"/>
  <c r="AE85" i="3" s="1"/>
  <c r="AR15" i="3"/>
  <c r="AD15" i="3" s="1"/>
  <c r="AD8" i="3"/>
  <c r="AR58" i="3"/>
  <c r="AP18" i="3"/>
  <c r="AR14" i="3" s="1"/>
  <c r="BI23" i="3"/>
  <c r="AP23" i="3" s="1"/>
  <c r="AD53" i="3"/>
  <c r="AD10" i="3"/>
  <c r="AD41" i="3"/>
  <c r="AP78" i="3"/>
  <c r="M42" i="3"/>
  <c r="L42" i="3"/>
  <c r="L39" i="3"/>
  <c r="O39" i="3"/>
  <c r="N39" i="3"/>
  <c r="L40" i="3"/>
  <c r="N40" i="3"/>
  <c r="O41" i="3"/>
  <c r="M39" i="3"/>
  <c r="J39" i="3"/>
  <c r="AS38" i="3" s="1"/>
  <c r="BL22" i="3" s="1"/>
  <c r="AD57" i="3"/>
  <c r="AD26" i="3"/>
  <c r="BI22" i="3"/>
  <c r="AP22" i="3" s="1"/>
  <c r="BI64" i="3"/>
  <c r="AP64" i="3" s="1"/>
  <c r="AP72" i="3"/>
  <c r="AR71" i="3" s="1"/>
  <c r="AJ85" i="3" l="1"/>
  <c r="AT85" i="3"/>
  <c r="AL85" i="3"/>
  <c r="AG85" i="3"/>
  <c r="AH85" i="3"/>
  <c r="AQ85" i="3"/>
  <c r="AI85" i="3"/>
  <c r="AN85" i="3"/>
  <c r="AF85" i="3"/>
  <c r="AR44" i="3"/>
  <c r="P42" i="3"/>
  <c r="AR65" i="3"/>
  <c r="AR77" i="3"/>
  <c r="AR74" i="3"/>
  <c r="AR75" i="3"/>
  <c r="L28" i="3"/>
  <c r="J28" i="3"/>
  <c r="AS27" i="3" s="1"/>
  <c r="BL62" i="3" s="1"/>
  <c r="M29" i="3"/>
  <c r="M30" i="3"/>
  <c r="M27" i="3"/>
  <c r="L27" i="3"/>
  <c r="O29" i="3"/>
  <c r="O30" i="3"/>
  <c r="J29" i="3"/>
  <c r="AE83" i="3" s="1"/>
  <c r="L30" i="3"/>
  <c r="L29" i="3"/>
  <c r="O28" i="3"/>
  <c r="J30" i="3"/>
  <c r="N30" i="3"/>
  <c r="N29" i="3"/>
  <c r="J27" i="3"/>
  <c r="AS26" i="3" s="1"/>
  <c r="BL34" i="3" s="1"/>
  <c r="N28" i="3"/>
  <c r="M28" i="3"/>
  <c r="N27" i="3"/>
  <c r="O27" i="3"/>
  <c r="O40" i="3"/>
  <c r="AR68" i="3"/>
  <c r="AR69" i="3"/>
  <c r="AR70" i="3"/>
  <c r="AD70" i="3" s="1"/>
  <c r="J9" i="3"/>
  <c r="AS8" i="3" s="1"/>
  <c r="BL50" i="3" s="1"/>
  <c r="BS52" i="3" s="1"/>
  <c r="M9" i="3"/>
  <c r="O11" i="3"/>
  <c r="M11" i="3"/>
  <c r="N10" i="3"/>
  <c r="L12" i="3"/>
  <c r="O10" i="3"/>
  <c r="N12" i="3"/>
  <c r="O9" i="3"/>
  <c r="N9" i="3"/>
  <c r="L11" i="3"/>
  <c r="J12" i="3"/>
  <c r="N11" i="3"/>
  <c r="L9" i="3"/>
  <c r="O12" i="3"/>
  <c r="L10" i="3"/>
  <c r="M10" i="3"/>
  <c r="M12" i="3"/>
  <c r="J10" i="3"/>
  <c r="AS9" i="3" s="1"/>
  <c r="BL18" i="3" s="1"/>
  <c r="J11" i="3"/>
  <c r="AE80" i="3" s="1"/>
  <c r="M41" i="3"/>
  <c r="AD14" i="3"/>
  <c r="O42" i="3"/>
  <c r="AD56" i="3"/>
  <c r="AD62" i="3"/>
  <c r="AP24" i="3"/>
  <c r="AR22" i="3" s="1"/>
  <c r="AR32" i="3"/>
  <c r="AD32" i="3" s="1"/>
  <c r="AR35" i="3"/>
  <c r="AR34" i="3"/>
  <c r="AR33" i="3"/>
  <c r="AR64" i="3"/>
  <c r="M40" i="3"/>
  <c r="K40" i="3" s="1"/>
  <c r="AD17" i="3"/>
  <c r="K39" i="3"/>
  <c r="P39" i="3"/>
  <c r="AR47" i="3"/>
  <c r="AD47" i="3" s="1"/>
  <c r="AR46" i="3"/>
  <c r="N41" i="3"/>
  <c r="AR76" i="3"/>
  <c r="AD76" i="3" s="1"/>
  <c r="J42" i="3"/>
  <c r="J40" i="3"/>
  <c r="AS39" i="3" s="1"/>
  <c r="BL43" i="3" s="1"/>
  <c r="L41" i="3"/>
  <c r="N42" i="3"/>
  <c r="K42" i="3" s="1"/>
  <c r="AD58" i="3"/>
  <c r="AD50" i="3"/>
  <c r="AR63" i="3"/>
  <c r="AD63" i="3" s="1"/>
  <c r="BS36" i="3" l="1"/>
  <c r="S90" i="3"/>
  <c r="T90" i="3" s="1" a="1"/>
  <c r="T90" i="3" s="1"/>
  <c r="AD44" i="3"/>
  <c r="AD46" i="3"/>
  <c r="P9" i="3"/>
  <c r="K9" i="3"/>
  <c r="P28" i="3"/>
  <c r="K28" i="3"/>
  <c r="L36" i="3"/>
  <c r="M36" i="3"/>
  <c r="M33" i="3"/>
  <c r="N33" i="3"/>
  <c r="O33" i="3"/>
  <c r="L33" i="3"/>
  <c r="N36" i="3"/>
  <c r="O34" i="3"/>
  <c r="J33" i="3"/>
  <c r="AS32" i="3" s="1"/>
  <c r="BL10" i="3" s="1"/>
  <c r="AD68" i="3"/>
  <c r="P29" i="3"/>
  <c r="K29" i="3"/>
  <c r="AD74" i="3"/>
  <c r="AD77" i="3"/>
  <c r="K10" i="3"/>
  <c r="P10" i="3"/>
  <c r="L63" i="3"/>
  <c r="M63" i="3"/>
  <c r="L65" i="3"/>
  <c r="N63" i="3"/>
  <c r="J63" i="3"/>
  <c r="AS62" i="3" s="1"/>
  <c r="BL58" i="3" s="1"/>
  <c r="BS60" i="3" s="1"/>
  <c r="BZ64" i="3" s="1"/>
  <c r="CG56" i="3" s="1"/>
  <c r="CN38" i="3" s="1"/>
  <c r="O63" i="3"/>
  <c r="O65" i="3"/>
  <c r="J65" i="3"/>
  <c r="AE89" i="3" s="1"/>
  <c r="N65" i="3"/>
  <c r="M65" i="3"/>
  <c r="K41" i="3"/>
  <c r="P41" i="3"/>
  <c r="AR21" i="3"/>
  <c r="AR20" i="3"/>
  <c r="M53" i="3"/>
  <c r="L51" i="3"/>
  <c r="L52" i="3"/>
  <c r="O53" i="3"/>
  <c r="M51" i="3"/>
  <c r="L53" i="3"/>
  <c r="M52" i="3"/>
  <c r="J51" i="3"/>
  <c r="AS50" i="3" s="1"/>
  <c r="BL30" i="3" s="1"/>
  <c r="N53" i="3"/>
  <c r="N52" i="3"/>
  <c r="M54" i="3"/>
  <c r="J54" i="3"/>
  <c r="O54" i="3"/>
  <c r="N51" i="3"/>
  <c r="L54" i="3"/>
  <c r="J53" i="3"/>
  <c r="AE87" i="3" s="1"/>
  <c r="O51" i="3"/>
  <c r="N54" i="3"/>
  <c r="O52" i="3"/>
  <c r="J52" i="3"/>
  <c r="AS51" i="3" s="1"/>
  <c r="BL59" i="3" s="1"/>
  <c r="AD69" i="3"/>
  <c r="J17" i="3"/>
  <c r="AE81" i="3" s="1"/>
  <c r="J18" i="3"/>
  <c r="N16" i="3"/>
  <c r="N15" i="3"/>
  <c r="L17" i="3"/>
  <c r="M16" i="3"/>
  <c r="N17" i="3"/>
  <c r="L18" i="3"/>
  <c r="O15" i="3"/>
  <c r="L16" i="3"/>
  <c r="J15" i="3"/>
  <c r="AS14" i="3" s="1"/>
  <c r="BL66" i="3" s="1"/>
  <c r="BS68" i="3" s="1"/>
  <c r="BZ65" i="3" s="1"/>
  <c r="O16" i="3"/>
  <c r="O17" i="3"/>
  <c r="J16" i="3"/>
  <c r="AS15" i="3" s="1"/>
  <c r="BL19" i="3" s="1"/>
  <c r="N18" i="3"/>
  <c r="M17" i="3"/>
  <c r="M18" i="3"/>
  <c r="M15" i="3"/>
  <c r="O18" i="3"/>
  <c r="L15" i="3"/>
  <c r="K30" i="3"/>
  <c r="P30" i="3"/>
  <c r="AD64" i="3"/>
  <c r="N66" i="3" s="1"/>
  <c r="AD45" i="3"/>
  <c r="AD65" i="3"/>
  <c r="AD33" i="3"/>
  <c r="J35" i="3" s="1"/>
  <c r="AE84" i="3" s="1"/>
  <c r="P40" i="3"/>
  <c r="J60" i="3"/>
  <c r="O60" i="3"/>
  <c r="O57" i="3"/>
  <c r="N57" i="3"/>
  <c r="O58" i="3"/>
  <c r="L60" i="3"/>
  <c r="J58" i="3"/>
  <c r="AS57" i="3" s="1"/>
  <c r="BL47" i="3" s="1"/>
  <c r="BS45" i="3" s="1"/>
  <c r="BZ48" i="3" s="1"/>
  <c r="M57" i="3"/>
  <c r="N60" i="3"/>
  <c r="M58" i="3"/>
  <c r="N59" i="3"/>
  <c r="L57" i="3"/>
  <c r="M59" i="3"/>
  <c r="N58" i="3"/>
  <c r="L59" i="3"/>
  <c r="L58" i="3"/>
  <c r="M60" i="3"/>
  <c r="J59" i="3"/>
  <c r="AE88" i="3" s="1"/>
  <c r="J57" i="3"/>
  <c r="AS56" i="3" s="1"/>
  <c r="BL14" i="3" s="1"/>
  <c r="O59" i="3"/>
  <c r="K11" i="3"/>
  <c r="P11" i="3"/>
  <c r="AD75" i="3"/>
  <c r="AI80" i="3"/>
  <c r="AF80" i="3"/>
  <c r="AQ80" i="3"/>
  <c r="AH80" i="3"/>
  <c r="AJ80" i="3"/>
  <c r="AN80" i="3"/>
  <c r="AG80" i="3"/>
  <c r="AL80" i="3"/>
  <c r="AT80" i="3"/>
  <c r="AG83" i="3"/>
  <c r="AQ83" i="3"/>
  <c r="AN83" i="3"/>
  <c r="AF83" i="3"/>
  <c r="AJ83" i="3"/>
  <c r="AI83" i="3"/>
  <c r="AL83" i="3"/>
  <c r="AH83" i="3"/>
  <c r="AT83" i="3"/>
  <c r="AD34" i="3"/>
  <c r="P12" i="3"/>
  <c r="K12" i="3"/>
  <c r="AR23" i="3"/>
  <c r="AD23" i="3" s="1"/>
  <c r="AD35" i="3"/>
  <c r="M35" i="3" s="1"/>
  <c r="P27" i="3"/>
  <c r="K27" i="3"/>
  <c r="AD71" i="3"/>
  <c r="AG84" i="3" l="1"/>
  <c r="AQ84" i="3"/>
  <c r="AH84" i="3"/>
  <c r="AT84" i="3"/>
  <c r="AN84" i="3"/>
  <c r="AI84" i="3"/>
  <c r="AJ84" i="3"/>
  <c r="AF84" i="3"/>
  <c r="AL84" i="3"/>
  <c r="L66" i="3"/>
  <c r="AH88" i="3"/>
  <c r="AG88" i="3"/>
  <c r="AJ88" i="3"/>
  <c r="AN88" i="3"/>
  <c r="AQ88" i="3"/>
  <c r="AF88" i="3"/>
  <c r="AT88" i="3"/>
  <c r="AI88" i="3"/>
  <c r="AL88" i="3"/>
  <c r="P60" i="3"/>
  <c r="K60" i="3"/>
  <c r="P53" i="3"/>
  <c r="K53" i="3"/>
  <c r="K33" i="3"/>
  <c r="P33" i="3"/>
  <c r="N64" i="3"/>
  <c r="O66" i="3"/>
  <c r="L71" i="3"/>
  <c r="N70" i="3"/>
  <c r="N69" i="3"/>
  <c r="O72" i="3"/>
  <c r="J72" i="3"/>
  <c r="M70" i="3"/>
  <c r="L70" i="3"/>
  <c r="N72" i="3"/>
  <c r="O69" i="3"/>
  <c r="M72" i="3"/>
  <c r="M71" i="3"/>
  <c r="O70" i="3"/>
  <c r="L72" i="3"/>
  <c r="M69" i="3"/>
  <c r="J70" i="3"/>
  <c r="AS69" i="3" s="1"/>
  <c r="BL26" i="3" s="1"/>
  <c r="N71" i="3"/>
  <c r="J71" i="3"/>
  <c r="AE90" i="3" s="1"/>
  <c r="J69" i="3"/>
  <c r="AS68" i="3" s="1"/>
  <c r="BL70" i="3" s="1"/>
  <c r="BS69" i="3" s="1"/>
  <c r="L69" i="3"/>
  <c r="O71" i="3"/>
  <c r="O36" i="3"/>
  <c r="S85" i="3"/>
  <c r="T85" i="3" s="1" a="1"/>
  <c r="T85" i="3" s="1"/>
  <c r="BS13" i="3"/>
  <c r="L64" i="3"/>
  <c r="K58" i="3"/>
  <c r="P58" i="3"/>
  <c r="AJ87" i="3"/>
  <c r="AQ87" i="3"/>
  <c r="AG87" i="3"/>
  <c r="AI87" i="3"/>
  <c r="AL87" i="3"/>
  <c r="AN87" i="3"/>
  <c r="AH87" i="3"/>
  <c r="AF87" i="3"/>
  <c r="AT87" i="3"/>
  <c r="P65" i="3"/>
  <c r="K65" i="3"/>
  <c r="S87" i="3"/>
  <c r="T87" i="3" s="1" a="1"/>
  <c r="T87" i="3" s="1"/>
  <c r="BS29" i="3"/>
  <c r="J64" i="3"/>
  <c r="AS63" i="3" s="1"/>
  <c r="BL31" i="3" s="1"/>
  <c r="L35" i="3"/>
  <c r="P18" i="3"/>
  <c r="K18" i="3"/>
  <c r="K59" i="3"/>
  <c r="P59" i="3"/>
  <c r="K54" i="3"/>
  <c r="P54" i="3"/>
  <c r="P52" i="3"/>
  <c r="K52" i="3"/>
  <c r="AG89" i="3"/>
  <c r="AF89" i="3"/>
  <c r="AQ89" i="3"/>
  <c r="AT89" i="3"/>
  <c r="AL89" i="3"/>
  <c r="AJ89" i="3"/>
  <c r="AH89" i="3"/>
  <c r="AI89" i="3"/>
  <c r="AN89" i="3"/>
  <c r="L34" i="3"/>
  <c r="N34" i="3"/>
  <c r="J78" i="3"/>
  <c r="N78" i="3"/>
  <c r="N77" i="3"/>
  <c r="M76" i="3"/>
  <c r="J77" i="3"/>
  <c r="AE91" i="3" s="1"/>
  <c r="J76" i="3"/>
  <c r="AS75" i="3" s="1"/>
  <c r="BL27" i="3" s="1"/>
  <c r="M78" i="3"/>
  <c r="O78" i="3"/>
  <c r="O77" i="3"/>
  <c r="N75" i="3"/>
  <c r="O76" i="3"/>
  <c r="L75" i="3"/>
  <c r="M77" i="3"/>
  <c r="L76" i="3"/>
  <c r="N76" i="3"/>
  <c r="M75" i="3"/>
  <c r="L77" i="3"/>
  <c r="O75" i="3"/>
  <c r="L78" i="3"/>
  <c r="J75" i="3"/>
  <c r="AS74" i="3" s="1"/>
  <c r="BL54" i="3" s="1"/>
  <c r="BS53" i="3" s="1"/>
  <c r="BZ49" i="3" s="1"/>
  <c r="CG55" i="3" s="1"/>
  <c r="CN49" i="3" s="1"/>
  <c r="P16" i="3"/>
  <c r="K16" i="3"/>
  <c r="K15" i="3"/>
  <c r="P15" i="3"/>
  <c r="K17" i="3"/>
  <c r="P17" i="3"/>
  <c r="K51" i="3"/>
  <c r="P51" i="3"/>
  <c r="J66" i="3"/>
  <c r="M64" i="3"/>
  <c r="M34" i="3"/>
  <c r="M47" i="3"/>
  <c r="M46" i="3"/>
  <c r="L47" i="3"/>
  <c r="O45" i="3"/>
  <c r="M45" i="3"/>
  <c r="O46" i="3"/>
  <c r="O48" i="3"/>
  <c r="N45" i="3"/>
  <c r="O47" i="3"/>
  <c r="N47" i="3"/>
  <c r="J48" i="3"/>
  <c r="J45" i="3"/>
  <c r="AS44" i="3" s="1"/>
  <c r="BL38" i="3" s="1"/>
  <c r="J46" i="3"/>
  <c r="AS45" i="3" s="1"/>
  <c r="BL63" i="3" s="1"/>
  <c r="BS61" i="3" s="1"/>
  <c r="L48" i="3"/>
  <c r="L46" i="3"/>
  <c r="L45" i="3"/>
  <c r="N48" i="3"/>
  <c r="M48" i="3"/>
  <c r="N46" i="3"/>
  <c r="J47" i="3"/>
  <c r="AE86" i="3" s="1"/>
  <c r="AQ81" i="3"/>
  <c r="AF81" i="3"/>
  <c r="AJ81" i="3"/>
  <c r="AI81" i="3"/>
  <c r="AG81" i="3"/>
  <c r="AL81" i="3"/>
  <c r="AH81" i="3"/>
  <c r="AT81" i="3"/>
  <c r="AN81" i="3"/>
  <c r="P36" i="3"/>
  <c r="K36" i="3"/>
  <c r="J36" i="3"/>
  <c r="M66" i="3"/>
  <c r="P63" i="3"/>
  <c r="K63" i="3"/>
  <c r="K57" i="3"/>
  <c r="P57" i="3"/>
  <c r="AD20" i="3"/>
  <c r="O64" i="3"/>
  <c r="O35" i="3"/>
  <c r="N35" i="3"/>
  <c r="BS20" i="3"/>
  <c r="S88" i="3"/>
  <c r="T88" i="3" s="1" a="1"/>
  <c r="T88" i="3" s="1"/>
  <c r="AD21" i="3"/>
  <c r="J34" i="3"/>
  <c r="AS33" i="3" s="1"/>
  <c r="BL46" i="3" s="1"/>
  <c r="AD22" i="3"/>
  <c r="K34" i="3" l="1"/>
  <c r="P34" i="3"/>
  <c r="K75" i="3"/>
  <c r="P75" i="3"/>
  <c r="P69" i="3"/>
  <c r="K69" i="3"/>
  <c r="N24" i="3"/>
  <c r="O22" i="3"/>
  <c r="O23" i="3"/>
  <c r="J21" i="3"/>
  <c r="AS20" i="3" s="1"/>
  <c r="BL42" i="3" s="1"/>
  <c r="BS44" i="3" s="1"/>
  <c r="N22" i="3"/>
  <c r="M22" i="3"/>
  <c r="N21" i="3"/>
  <c r="L21" i="3"/>
  <c r="M23" i="3"/>
  <c r="M21" i="3"/>
  <c r="O21" i="3"/>
  <c r="J22" i="3"/>
  <c r="AS21" i="3" s="1"/>
  <c r="BL23" i="3" s="1"/>
  <c r="J24" i="3"/>
  <c r="L22" i="3"/>
  <c r="O24" i="3"/>
  <c r="L23" i="3"/>
  <c r="J23" i="3"/>
  <c r="AE82" i="3" s="1"/>
  <c r="L24" i="3"/>
  <c r="N23" i="3"/>
  <c r="M24" i="3"/>
  <c r="P46" i="3"/>
  <c r="K46" i="3"/>
  <c r="P47" i="3"/>
  <c r="K47" i="3"/>
  <c r="P66" i="3"/>
  <c r="K66" i="3"/>
  <c r="P70" i="3"/>
  <c r="K70" i="3"/>
  <c r="P48" i="3"/>
  <c r="K48" i="3"/>
  <c r="BS37" i="3"/>
  <c r="S91" i="3"/>
  <c r="T91" i="3" s="1" a="1"/>
  <c r="T91" i="3" s="1"/>
  <c r="P78" i="3"/>
  <c r="K78" i="3"/>
  <c r="S86" i="3"/>
  <c r="T86" i="3" s="1" a="1"/>
  <c r="T86" i="3" s="1"/>
  <c r="BS28" i="3"/>
  <c r="P45" i="3"/>
  <c r="K45" i="3"/>
  <c r="P77" i="3"/>
  <c r="K77" i="3"/>
  <c r="AJ91" i="3"/>
  <c r="AG91" i="3"/>
  <c r="AN91" i="3"/>
  <c r="AI91" i="3"/>
  <c r="AL91" i="3"/>
  <c r="AT91" i="3"/>
  <c r="AF91" i="3"/>
  <c r="AH91" i="3"/>
  <c r="AQ91" i="3"/>
  <c r="K64" i="3"/>
  <c r="P64" i="3"/>
  <c r="P72" i="3"/>
  <c r="K72" i="3"/>
  <c r="K71" i="3"/>
  <c r="P71" i="3"/>
  <c r="S97" i="3"/>
  <c r="T97" i="3" s="1" a="1"/>
  <c r="T97" i="3" s="1"/>
  <c r="BZ32" i="3"/>
  <c r="AI90" i="3"/>
  <c r="AG90" i="3"/>
  <c r="AN90" i="3"/>
  <c r="AF90" i="3"/>
  <c r="AQ90" i="3"/>
  <c r="AL90" i="3"/>
  <c r="AT90" i="3"/>
  <c r="AH90" i="3"/>
  <c r="AJ90" i="3"/>
  <c r="S95" i="3"/>
  <c r="T95" i="3" s="1" a="1"/>
  <c r="T95" i="3" s="1"/>
  <c r="BZ16" i="3"/>
  <c r="AI86" i="3"/>
  <c r="AQ86" i="3"/>
  <c r="AG86" i="3"/>
  <c r="AH86" i="3"/>
  <c r="AJ86" i="3"/>
  <c r="AF86" i="3"/>
  <c r="AN86" i="3"/>
  <c r="AT86" i="3"/>
  <c r="AL86" i="3"/>
  <c r="K35" i="3"/>
  <c r="P35" i="3"/>
  <c r="K76" i="3"/>
  <c r="P76" i="3"/>
  <c r="BZ33" i="3" l="1"/>
  <c r="U103" i="3" s="1"/>
  <c r="AC103" i="3" s="1" a="1"/>
  <c r="AC103" i="3" s="1"/>
  <c r="S98" i="3"/>
  <c r="T98" i="3" s="1" a="1"/>
  <c r="T98" i="3" s="1"/>
  <c r="K21" i="3"/>
  <c r="P21" i="3"/>
  <c r="K23" i="3"/>
  <c r="K24" i="3"/>
  <c r="P24" i="3"/>
  <c r="AT82" i="3"/>
  <c r="AJ82" i="3"/>
  <c r="AJ92" i="3" s="1"/>
  <c r="AF82" i="3"/>
  <c r="AF92" i="3" s="1"/>
  <c r="AI82" i="3"/>
  <c r="AI92" i="3" s="1"/>
  <c r="AG82" i="3"/>
  <c r="AG92" i="3" s="1"/>
  <c r="AL82" i="3"/>
  <c r="AH82" i="3"/>
  <c r="AH92" i="3" s="1"/>
  <c r="AQ82" i="3"/>
  <c r="AN82" i="3"/>
  <c r="K22" i="3"/>
  <c r="P23" i="3"/>
  <c r="S89" i="3"/>
  <c r="T89" i="3" s="1" a="1"/>
  <c r="T89" i="3" s="1"/>
  <c r="BS21" i="3"/>
  <c r="CG23" i="3"/>
  <c r="CN48" i="3" s="1"/>
  <c r="S102" i="3"/>
  <c r="T102" i="3" s="1" a="1"/>
  <c r="T102" i="3" s="1"/>
  <c r="S103" i="3"/>
  <c r="T103" i="3" s="1" a="1"/>
  <c r="T103" i="3" s="1"/>
  <c r="CG24" i="3"/>
  <c r="P22" i="3"/>
  <c r="AL92" i="3" l="1"/>
  <c r="AS92" i="3"/>
  <c r="AN92" i="3"/>
  <c r="CN37" i="3"/>
  <c r="CK68" i="3" s="1"/>
  <c r="S111" i="3"/>
  <c r="T111" i="3" s="1"/>
  <c r="BZ17" i="3"/>
  <c r="U102" i="3" s="1"/>
  <c r="AC102" i="3" s="1" a="1"/>
  <c r="AC102" i="3" s="1"/>
  <c r="S96" i="3"/>
  <c r="T96" i="3" s="1" a="1"/>
  <c r="T96" i="3" s="1"/>
  <c r="AM85" i="3" l="1"/>
  <c r="AM80" i="3"/>
  <c r="AM83" i="3"/>
  <c r="AM87" i="3"/>
  <c r="AM84" i="3"/>
  <c r="AM88" i="3"/>
  <c r="AM89" i="3"/>
  <c r="AM81" i="3"/>
  <c r="AM86" i="3"/>
  <c r="AM90" i="3"/>
  <c r="AM91" i="3"/>
  <c r="AM82" i="3"/>
  <c r="AM92" i="3" l="1"/>
  <c r="AP87" i="3" l="1"/>
  <c r="AP90" i="3"/>
  <c r="AP84" i="3"/>
  <c r="AP86" i="3"/>
  <c r="AP82" i="3"/>
  <c r="AP85" i="3"/>
  <c r="AD85" i="3" s="1"/>
  <c r="AS85" i="3" s="1"/>
  <c r="AP83" i="3"/>
  <c r="AD83" i="3" s="1"/>
  <c r="AS83" i="3" s="1"/>
  <c r="AP88" i="3"/>
  <c r="AD88" i="3" s="1"/>
  <c r="AS88" i="3" s="1"/>
  <c r="AP81" i="3"/>
  <c r="AD81" i="3" s="1"/>
  <c r="AS81" i="3" s="1"/>
  <c r="AP91" i="3"/>
  <c r="AD91" i="3" s="1"/>
  <c r="AS91" i="3" s="1"/>
  <c r="AP80" i="3"/>
  <c r="AD80" i="3" s="1"/>
  <c r="AP89" i="3"/>
  <c r="AD89" i="3" s="1"/>
  <c r="AS89" i="3" s="1"/>
  <c r="AD82" i="3" l="1"/>
  <c r="AS82" i="3" s="1"/>
  <c r="AD86" i="3"/>
  <c r="AS86" i="3" s="1"/>
  <c r="AD84" i="3"/>
  <c r="AS84" i="3" s="1"/>
  <c r="AD90" i="3"/>
  <c r="AS90" i="3" s="1"/>
  <c r="N83" i="3"/>
  <c r="J90" i="3"/>
  <c r="O87" i="3"/>
  <c r="N89" i="3"/>
  <c r="M89" i="3"/>
  <c r="M88" i="3"/>
  <c r="O90" i="3"/>
  <c r="O82" i="3"/>
  <c r="O85" i="3"/>
  <c r="O89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J83" i="3"/>
  <c r="N81" i="3"/>
  <c r="N90" i="3"/>
  <c r="L82" i="3"/>
  <c r="M91" i="3"/>
  <c r="J87" i="3"/>
  <c r="L91" i="3"/>
  <c r="J89" i="3"/>
  <c r="L89" i="3"/>
  <c r="L85" i="3"/>
  <c r="N87" i="3"/>
  <c r="N82" i="3"/>
  <c r="M83" i="3"/>
  <c r="N85" i="3"/>
  <c r="N91" i="3"/>
  <c r="L90" i="3"/>
  <c r="N84" i="3"/>
  <c r="L84" i="3"/>
  <c r="J91" i="3"/>
  <c r="O83" i="3"/>
  <c r="M87" i="3"/>
  <c r="J85" i="3"/>
  <c r="L87" i="3"/>
  <c r="M85" i="3"/>
  <c r="L83" i="3"/>
  <c r="AS80" i="3"/>
  <c r="L92" i="3"/>
  <c r="M84" i="3"/>
  <c r="J82" i="3"/>
  <c r="M90" i="3"/>
  <c r="O91" i="3"/>
  <c r="M82" i="3"/>
  <c r="AD87" i="3"/>
  <c r="AS87" i="3" s="1"/>
  <c r="K85" i="3" l="1"/>
  <c r="P85" i="3"/>
  <c r="B3" i="4"/>
  <c r="G3" i="4"/>
  <c r="BL11" i="3" s="1"/>
  <c r="D3" i="4"/>
  <c r="BL51" i="3" s="1"/>
  <c r="H3" i="4"/>
  <c r="BL39" i="3" s="1"/>
  <c r="K3" i="4"/>
  <c r="BL55" i="3" s="1"/>
  <c r="F3" i="4"/>
  <c r="BL35" i="3" s="1"/>
  <c r="I3" i="4"/>
  <c r="BL15" i="3" s="1"/>
  <c r="J3" i="4"/>
  <c r="BL71" i="3" s="1"/>
  <c r="E3" i="4"/>
  <c r="BL67" i="3" s="1"/>
  <c r="J88" i="3"/>
  <c r="J81" i="3"/>
  <c r="K83" i="3"/>
  <c r="P83" i="3"/>
  <c r="O88" i="3"/>
  <c r="M86" i="3"/>
  <c r="O92" i="3"/>
  <c r="N92" i="3"/>
  <c r="O81" i="3"/>
  <c r="L81" i="3"/>
  <c r="L88" i="3"/>
  <c r="P92" i="3"/>
  <c r="K92" i="3"/>
  <c r="P90" i="3"/>
  <c r="K90" i="3"/>
  <c r="P91" i="3"/>
  <c r="K91" i="3"/>
  <c r="M92" i="3"/>
  <c r="K87" i="3"/>
  <c r="P87" i="3"/>
  <c r="J86" i="3"/>
  <c r="J92" i="3"/>
  <c r="P84" i="3"/>
  <c r="K84" i="3"/>
  <c r="J84" i="3"/>
  <c r="N86" i="3"/>
  <c r="O86" i="3"/>
  <c r="O84" i="3"/>
  <c r="M81" i="3"/>
  <c r="K82" i="3"/>
  <c r="P82" i="3"/>
  <c r="K89" i="3"/>
  <c r="P89" i="3"/>
  <c r="N88" i="3"/>
  <c r="L86" i="3"/>
  <c r="P86" i="3" s="1"/>
  <c r="P88" i="3" l="1"/>
  <c r="K88" i="3"/>
  <c r="P81" i="3"/>
  <c r="K81" i="3"/>
  <c r="K86" i="3"/>
  <c r="BS12" i="3"/>
  <c r="S84" i="3"/>
  <c r="T84" i="3" s="1" a="1"/>
  <c r="T8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<sst xmlns="http://schemas.openxmlformats.org/spreadsheetml/2006/main" count="9786" uniqueCount="3698">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</sst>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42578125" style="10" customWidth="1"/>
    <col min="4" max="4" width="9.140625" style="10"/>
    <col min="5" max="5" width="1.140625" style="10" customWidth="1"/>
    <col min="6" max="6" width="9.140625" style="10"/>
    <col min="7" max="7" width="27.42578125" style="10" bestFit="1" customWidth="1"/>
    <col min="8" max="8" width="2.4257812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V16" zoomScale="183" zoomScaleNormal="100" workbookViewId="0">
      <selection activeCell="CO50" sqref="CO50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42578125" style="3" bestFit="1" customWidth="1"/>
    <col min="4" max="4" width="9" style="4" customWidth="1"/>
    <col min="5" max="5" width="22.42578125" style="5" customWidth="1"/>
    <col min="6" max="7" width="4.42578125" style="6" customWidth="1"/>
    <col min="8" max="8" width="22.42578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42578125" style="9" customWidth="1"/>
    <col min="16" max="16" width="6.4257812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425781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42578125" style="125" hidden="1" customWidth="1"/>
    <col min="46" max="50" width="4.4257812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42578125" style="2" customWidth="1"/>
    <col min="64" max="64" width="19.42578125" style="2" customWidth="1"/>
    <col min="65" max="67" width="3" style="2" customWidth="1"/>
    <col min="68" max="69" width="2" style="111" customWidth="1"/>
    <col min="70" max="70" width="3.42578125" style="2" customWidth="1"/>
    <col min="71" max="71" width="19.42578125" style="2" customWidth="1"/>
    <col min="72" max="74" width="3" style="2" customWidth="1"/>
    <col min="75" max="76" width="2" style="111" customWidth="1"/>
    <col min="77" max="77" width="4" style="2" customWidth="1"/>
    <col min="78" max="78" width="19.42578125" style="2" customWidth="1"/>
    <col min="79" max="81" width="3" style="2" customWidth="1"/>
    <col min="82" max="83" width="2" style="111" customWidth="1"/>
    <col min="84" max="84" width="3.85546875" style="2" customWidth="1"/>
    <col min="85" max="85" width="19.42578125" style="2" customWidth="1"/>
    <col min="86" max="88" width="3" style="2" customWidth="1"/>
    <col min="89" max="90" width="2" style="111" customWidth="1"/>
    <col min="91" max="91" width="3.42578125" style="2" customWidth="1"/>
    <col min="92" max="92" width="19.4257812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0</v>
      </c>
      <c r="AL8" s="123">
        <f>AI8-AJ8</f>
        <v>6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90000009.948892459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6 - 0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3</v>
      </c>
      <c r="AN9" s="123">
        <f>AF9*3+AG9</f>
        <v>4</v>
      </c>
      <c r="AO9" s="123">
        <f>AN9/AN12*10+BA9</f>
        <v>4</v>
      </c>
      <c r="AP9" s="123">
        <f>AO9*10000000+BI9*100+AM9/AM12*10+AI9/AI12*1++IF(AQ9=0,ROW(),AQ9)/2000000</f>
        <v>40000003.013701878</v>
      </c>
      <c r="AQ9" s="126">
        <f>VLOOKUP(AE9,db_fifarank,2,FALSE)</f>
        <v>1429.73</v>
      </c>
      <c r="AR9" s="125">
        <f>AP9/AP12</f>
        <v>0.44444442386141864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4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3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30000003.013781343</v>
      </c>
      <c r="AQ10" s="126">
        <f>VLOOKUP(AE10,db_fifarank,2,FALSE)</f>
        <v>1588.66</v>
      </c>
      <c r="AR10" s="125">
        <f>AP10/AP12</f>
        <v>0.33333332626834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>
        <v>1</v>
      </c>
      <c r="BO10" s="25">
        <v>3</v>
      </c>
      <c r="BP10" s="112">
        <f>IF(OR(BM10="",BM11="",AND(BN10="",BN11&lt;&gt;""),AND(BN11="",BN10&lt;&gt;""),AND(BO10="",BO11&lt;&gt;""),AND(BO11="",BO10&lt;&gt;"")),"",BM10*1000+BN10*10+BO10)</f>
        <v>1013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6</v>
      </c>
      <c r="AL11" s="123">
        <f>AI11-AJ11</f>
        <v>-4</v>
      </c>
      <c r="AM11" s="123">
        <f>AL11-AL12</f>
        <v>0</v>
      </c>
      <c r="AN11" s="123">
        <f>AF11*3+AG11</f>
        <v>1</v>
      </c>
      <c r="AO11" s="123">
        <f>AN11/AN12*10+BA11</f>
        <v>1</v>
      </c>
      <c r="AP11" s="123">
        <f>AO11*10000000+BI11*100+AM11/AM12*10+AI11/AI12*1++IF(AQ11=0,ROW(),AQ11)/2000000</f>
        <v>10000000.286464976</v>
      </c>
      <c r="AQ11" s="126">
        <f>VLOOKUP(AE11,db_fifarank,2,FALSE)</f>
        <v>1501.38</v>
      </c>
      <c r="AR11" s="125">
        <f>AP11/AP12</f>
        <v>0.11111110077690536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1</v>
      </c>
      <c r="BN11" s="64">
        <v>1</v>
      </c>
      <c r="BO11" s="27">
        <v>4</v>
      </c>
      <c r="BP11" s="113">
        <f>IF(BP10="","",BM11*1000+BN11*10+BO11)</f>
        <v>1014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2</v>
      </c>
      <c r="G12" s="20">
        <v>0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2 - 6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90000010.948892459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Paraguay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8</v>
      </c>
      <c r="AJ14" s="123">
        <f>SUMIF($E$7:$E$78,$AE14,$G$7:$G$78) + SUMIF($H$7:$H$78,$AE14,$F$7:$F$78)</f>
        <v>3</v>
      </c>
      <c r="AL14" s="123">
        <f>AI14-AJ14</f>
        <v>5</v>
      </c>
      <c r="AM14" s="123">
        <f>AL14-AL18</f>
        <v>13</v>
      </c>
      <c r="AN14" s="123">
        <f>AF14*3+AG14</f>
        <v>4</v>
      </c>
      <c r="AO14" s="123">
        <f>AN14/AN18*10+BA14</f>
        <v>5.9805825242718447</v>
      </c>
      <c r="AP14" s="123">
        <f>AO14*10000000+BI14*100+AM14/AM18*10+AI14/AI18*1++IF(AQ14=0,ROW(),AQ14)/2000000</f>
        <v>59805933.476352282</v>
      </c>
      <c r="AQ14" s="126">
        <f>VLOOKUP(AE14,db_fifarank,2,FALSE)</f>
        <v>1556.48</v>
      </c>
      <c r="AR14" s="125">
        <f>AP14/AP18</f>
        <v>0.68349630173879239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6</v>
      </c>
      <c r="AL15" s="123">
        <f>AI15-AJ15</f>
        <v>-1</v>
      </c>
      <c r="AM15" s="123">
        <f>AL15-AL18</f>
        <v>7</v>
      </c>
      <c r="AN15" s="123">
        <f>AF15*3+AG15</f>
        <v>4</v>
      </c>
      <c r="AO15" s="123">
        <f>AN15/AN18*10+BA15</f>
        <v>5.9805825242718447</v>
      </c>
      <c r="AP15" s="123">
        <f>AO15*10000000+BI15*100+AM15/AM18*10+AI15/AI18*1++IF(AQ15=0,ROW(),AQ15)/2000000</f>
        <v>59805928.857219338</v>
      </c>
      <c r="AQ15" s="126">
        <f>VLOOKUP(AE15,db_fifarank,2,FALSE)</f>
        <v>1385.84</v>
      </c>
      <c r="AR15" s="125">
        <f>AP15/AP18</f>
        <v>0.68349624894870786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7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8 - 3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10</v>
      </c>
      <c r="AL16" s="123">
        <f>AI16-AJ16</f>
        <v>-8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12500000.222949702</v>
      </c>
      <c r="AQ16" s="126">
        <f>VLOOKUP(AE16,db_fifarank,2,FALSE)</f>
        <v>1454.96</v>
      </c>
      <c r="AR16" s="125">
        <f>AP16/AP18</f>
        <v>0.14285712850713128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5 - 6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3</v>
      </c>
      <c r="AL17" s="123">
        <f>AI17-AJ17</f>
        <v>4</v>
      </c>
      <c r="AM17" s="123">
        <f>AL17-AL18</f>
        <v>12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87500009.350031048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5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2 - 10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9</v>
      </c>
      <c r="AL18" s="123">
        <f>MIN(AL14:AL17)</f>
        <v>-8</v>
      </c>
      <c r="AM18" s="123">
        <f>MAX(AM14:AM17)+1</f>
        <v>14</v>
      </c>
      <c r="AN18" s="123">
        <f>MAX(AN14:AN17)+1</f>
        <v>8</v>
      </c>
      <c r="AO18" s="123">
        <f>MAX(AO14:AO17)+1</f>
        <v>9.75</v>
      </c>
      <c r="AP18" s="123">
        <f>MAX(AP14:AP17)+1</f>
        <v>87500010.350031048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South Africa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4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0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Spain_draw</v>
      </c>
      <c r="T20" s="127" t="str">
        <f t="shared" si="2"/>
        <v>Cape Verde_draw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0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12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97305933.407620698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9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97305930.974925742</v>
      </c>
      <c r="AQ21" s="126">
        <f>VLOOKUP(AE21,db_fifarank,2,FALSE)</f>
        <v>1755.87</v>
      </c>
      <c r="AR21" s="125">
        <f>AP21/AP24</f>
        <v>0.99999996472265562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6 - 3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8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0.25064585499999997</v>
      </c>
      <c r="AQ22" s="126">
        <f>VLOOKUP(AE22,db_fifarank,2,FALSE)</f>
        <v>1291.71</v>
      </c>
      <c r="AR22" s="125">
        <f>AP22/AP24</f>
        <v>2.5758537393005105E-9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1</v>
      </c>
      <c r="BO22" s="25">
        <v>2</v>
      </c>
      <c r="BP22" s="116">
        <f>IF(OR(BM22="",BM23="",AND(BN22="",BN23&lt;&gt;""),AND(BN23="",BN22&lt;&gt;""),AND(BO22="",BO23&lt;&gt;""),AND(BO23="",BO22&lt;&gt;"")),"",BM22*1000+BN22*10+BO22)</f>
        <v>1012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4</v>
      </c>
      <c r="AL23" s="123">
        <f>AI23-AJ23</f>
        <v>-3</v>
      </c>
      <c r="AM23" s="123">
        <f>AL23-AL24</f>
        <v>3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37500002.433441482</v>
      </c>
      <c r="AQ23" s="126">
        <f>VLOOKUP(AE23,db_fifarank,2,FALSE)</f>
        <v>1498.35</v>
      </c>
      <c r="AR23" s="125">
        <f>AP23/AP24</f>
        <v>0.38538248115835982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>
        <v>1</v>
      </c>
      <c r="BO23" s="27">
        <v>3</v>
      </c>
      <c r="BP23" s="112">
        <f>IF(BP22="","",BM23*1000+BN23*10+BO23)</f>
        <v>1013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13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97305934.407620698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8</v>
      </c>
      <c r="AJ26" s="123">
        <f>SUMIF($E$7:$E$78,$AE26,$G$7:$G$78) + SUMIF($H$7:$H$78,$AE26,$F$7:$F$78)</f>
        <v>4</v>
      </c>
      <c r="AL26" s="123">
        <f>AI26-AJ26</f>
        <v>4</v>
      </c>
      <c r="AM26" s="123">
        <f>AL26-AL30</f>
        <v>6</v>
      </c>
      <c r="AN26" s="123">
        <f>AF26*3+AG26</f>
        <v>6</v>
      </c>
      <c r="AO26" s="123">
        <f>AN26/AN30*10+BA26</f>
        <v>8.5714285714285712</v>
      </c>
      <c r="AP26" s="123">
        <f>AO26*10000000+BI26*100+AM26/AM30*10+AI26/AI30*1++IF(AQ26=0,ROW(),AQ26)/2000000</f>
        <v>85714295.175439745</v>
      </c>
      <c r="AQ26" s="126">
        <f>VLOOKUP(AE26,db_fifarank,2,FALSE)</f>
        <v>1673.13</v>
      </c>
      <c r="AR26" s="125">
        <f>AP26/AP30</f>
        <v>0.99999998833333481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Portugal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8 - 4</v>
      </c>
      <c r="P27" s="32">
        <f>L27*3+M27</f>
        <v>6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0</v>
      </c>
      <c r="AN27" s="123">
        <f>AF27*3+AG27</f>
        <v>4</v>
      </c>
      <c r="AO27" s="123">
        <f>AN27/AN30*10+BA27</f>
        <v>6.6946778711484587</v>
      </c>
      <c r="AP27" s="123">
        <f>AO27*10000000+BI27*100+AM27/AM30*10+AI27/AI30*1++IF(AQ27=0,ROW(),AQ27)/2000000</f>
        <v>66946876.973674245</v>
      </c>
      <c r="AQ27" s="126">
        <f>VLOOKUP(AE27,db_fifarank,2,FALSE)</f>
        <v>1503.5</v>
      </c>
      <c r="AR27" s="125">
        <f>AP27/AP30</f>
        <v>0.78104680270193894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</v>
      </c>
      <c r="BA27" s="126">
        <f>AZ27/AZ30</f>
        <v>0.98039215686274506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</v>
      </c>
      <c r="BI27" s="126">
        <f>BH27/BH30</f>
        <v>0.98039215686274506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4</v>
      </c>
      <c r="G28" s="20">
        <v>2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2 - 2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2</v>
      </c>
      <c r="AL28" s="123">
        <f>AI28-AJ28</f>
        <v>0</v>
      </c>
      <c r="AM28" s="123">
        <f>AL28-AL30</f>
        <v>2</v>
      </c>
      <c r="AN28" s="123">
        <f>AF28*3+AG28</f>
        <v>4</v>
      </c>
      <c r="AO28" s="123">
        <f>AN28/AN30*10+BA28</f>
        <v>6.6946778711484587</v>
      </c>
      <c r="AP28" s="123">
        <f>AO28*10000000+BI28*100+AM28/AM30*10+AI28/AI30*1++IF(AQ28=0,ROW(),AQ28)/2000000</f>
        <v>66946879.83085569</v>
      </c>
      <c r="AQ28" s="126">
        <f>VLOOKUP(AE28,db_fifarank,2,FALSE)</f>
        <v>1580.67</v>
      </c>
      <c r="AR28" s="125">
        <f>AP28/AP30</f>
        <v>0.78104683603571834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</v>
      </c>
      <c r="BA28" s="126">
        <f>AZ28/AZ30</f>
        <v>0.98039215686274506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Portugal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1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2 - 4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Portugal_draw</v>
      </c>
      <c r="T29" s="127" t="str">
        <f t="shared" si="2"/>
        <v>DR Congo_draw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0</v>
      </c>
      <c r="AD29" s="123">
        <f>COUNTIF(AR26:AR29,CONCATENATE("&gt;=",AR29))</f>
        <v>4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0</v>
      </c>
      <c r="AH29" s="123">
        <f>COUNTIF($S$7:$T$78,"=" &amp; AE29 &amp; "_lose")</f>
        <v>2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5</v>
      </c>
      <c r="AL29" s="123">
        <f>AI29-AJ29</f>
        <v>-2</v>
      </c>
      <c r="AM29" s="123">
        <f>AL29-AL30</f>
        <v>0</v>
      </c>
      <c r="AN29" s="123">
        <f>AF29*3+AG29</f>
        <v>3</v>
      </c>
      <c r="AO29" s="123">
        <f>AN29/AN30*10+BA29</f>
        <v>4.2857142857142856</v>
      </c>
      <c r="AP29" s="123">
        <f>AO29*10000000+BI29*100+AM29/AM30*10+AI29/AI30*1++IF(AQ29=0,ROW(),AQ29)/2000000</f>
        <v>42857143.191275716</v>
      </c>
      <c r="AQ29" s="126">
        <f>VLOOKUP(AE29,db_fifarank,2,FALSE)</f>
        <v>1599.04</v>
      </c>
      <c r="AR29" s="125">
        <f>AP29/AP30</f>
        <v>0.49999994287482513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Turkey</v>
      </c>
      <c r="K30" s="36">
        <f>L30+M30+N30</f>
        <v>3</v>
      </c>
      <c r="L30" s="36">
        <f>VLOOKUP(4,AD26:AN29,3,FALSE)</f>
        <v>1</v>
      </c>
      <c r="M30" s="36">
        <f>VLOOKUP(4,AD26:AN29,4,FALSE)</f>
        <v>0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3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2</v>
      </c>
      <c r="AI30" s="123">
        <f>MAX(AI26:AI29)+1</f>
        <v>9</v>
      </c>
      <c r="AL30" s="123">
        <f>MIN(AL26:AL29)</f>
        <v>-2</v>
      </c>
      <c r="AM30" s="123">
        <f>MAX(AM26:AM29)+1</f>
        <v>7</v>
      </c>
      <c r="AN30" s="123">
        <f>MAX(AN26:AN29)+1</f>
        <v>7</v>
      </c>
      <c r="AO30" s="123">
        <f>MAX(AO26:AO29)+1</f>
        <v>9.5714285714285712</v>
      </c>
      <c r="AP30" s="123">
        <f>MAX(AP26:AP29)+1</f>
        <v>85714296.175439745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4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4</v>
      </c>
      <c r="AL32" s="123">
        <f>AI32-AJ32</f>
        <v>6</v>
      </c>
      <c r="AM32" s="123">
        <f>AL32-AL36</f>
        <v>14</v>
      </c>
      <c r="AN32" s="123">
        <f>AF32*3+AG32</f>
        <v>6</v>
      </c>
      <c r="AO32" s="123">
        <f>AN32/AN36*10+BA32</f>
        <v>9.5694613583138164</v>
      </c>
      <c r="AP32" s="123">
        <f>AO32*10000000+BI32*100+AM32/AM36*10+AI32/AI36*1++IF(AQ32=0,ROW(),AQ32)/2000000</f>
        <v>95694623.826427594</v>
      </c>
      <c r="AQ32" s="126">
        <f>VLOOKUP(AE32,db_fifarank,2,FALSE)</f>
        <v>1730.37</v>
      </c>
      <c r="AR32" s="125">
        <f>AP32/AP36</f>
        <v>0.99999998955009228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1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1</v>
      </c>
      <c r="AY32" s="126">
        <f>AX32-MIN(AX32:AX35)</f>
        <v>2</v>
      </c>
      <c r="AZ32" s="126">
        <f>AT32/AT36*1000+AU32/AU36*100+AY32/AY36*10+AV32/AV36</f>
        <v>507.33333333333337</v>
      </c>
      <c r="BA32" s="126">
        <f>AZ32/AZ36</f>
        <v>0.99803278688524588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6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10 - 4</v>
      </c>
      <c r="P33" s="32">
        <f>L33*3+M33</f>
        <v>6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1</v>
      </c>
      <c r="AO33" s="123">
        <f>AN33/AN36*10+BA33</f>
        <v>1.4351288056206086</v>
      </c>
      <c r="AP33" s="123">
        <f>AO33*10000000+BI33*100+AM33/AM36*10+AI33/AI36*1++IF(AQ33=0,ROW(),AQ33)/2000000</f>
        <v>14351288.147762503</v>
      </c>
      <c r="AQ33" s="126">
        <f>VLOOKUP(AE33,db_fifarank,2,FALSE)</f>
        <v>1294.6500000000001</v>
      </c>
      <c r="AR33" s="125">
        <f>AP33/AP36</f>
        <v>0.14996963699678112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1</v>
      </c>
      <c r="AZ33" s="126">
        <f>AT33/AT36*1000+AU33/AU36*100+AY33/AY36*10+AV33/AV36</f>
        <v>3.333333333333333</v>
      </c>
      <c r="BA33" s="126">
        <f>AZ33/AZ36</f>
        <v>6.557377049180327E-3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2</v>
      </c>
      <c r="AL34" s="123">
        <f>AI34-AJ34</f>
        <v>2</v>
      </c>
      <c r="AM34" s="123">
        <f>AL34-AL36</f>
        <v>10</v>
      </c>
      <c r="AN34" s="123">
        <f>AF34*3+AG34</f>
        <v>6</v>
      </c>
      <c r="AO34" s="123">
        <f>AN34/AN36*10+BA34</f>
        <v>8.5720843091334888</v>
      </c>
      <c r="AP34" s="123">
        <f>AO34*10000000+BI34*100+AM34/AM36*10+AI34/AI36*1++IF(AQ34=0,ROW(),AQ34)/2000000</f>
        <v>85720850.122404411</v>
      </c>
      <c r="AQ34" s="126">
        <f>VLOOKUP(AE34,db_fifarank,2,FALSE)</f>
        <v>1532.98</v>
      </c>
      <c r="AR34" s="125">
        <f>AP34/AP36</f>
        <v>0.89577497459116673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-1</v>
      </c>
      <c r="AY34" s="126">
        <f>AX34-MIN(AX32:AX35)</f>
        <v>0</v>
      </c>
      <c r="AZ34" s="126">
        <f>AT34/AT36*1000+AU34/AU36*100+AY34/AY36*10+AV34/AV36</f>
        <v>0.33333333333333331</v>
      </c>
      <c r="BA34" s="126">
        <f>AZ34/AZ36</f>
        <v>6.5573770491803268E-4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2 - 2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2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5.7208430913348938</v>
      </c>
      <c r="AP35" s="123">
        <f>AO35*10000000+BI35*100+AM35/AM36*10+AI35/AI36*1++IF(AQ35=0,ROW(),AQ35)/2000000</f>
        <v>57208436.429297842</v>
      </c>
      <c r="AQ35" s="126">
        <f>VLOOKUP(AE35,db_fifarank,2,FALSE)</f>
        <v>1594.78</v>
      </c>
      <c r="AR35" s="125">
        <f>AP35/AP36</f>
        <v>0.59782288224718372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1</v>
      </c>
      <c r="AZ35" s="126">
        <f>AT35/AT36*1000+AU35/AU36*100+AY35/AY36*10+AV35/AV36</f>
        <v>3.333333333333333</v>
      </c>
      <c r="BA35" s="126">
        <f>AZ35/AZ36</f>
        <v>6.557377049180327E-3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1 - 9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2</v>
      </c>
      <c r="AI36" s="123">
        <f>MAX(AI32:AI35)+1</f>
        <v>11</v>
      </c>
      <c r="AL36" s="123">
        <f>MIN(AL32:AL35)</f>
        <v>-8</v>
      </c>
      <c r="AM36" s="123">
        <f>MAX(AM32:AM35)+1</f>
        <v>15</v>
      </c>
      <c r="AN36" s="123">
        <f>MAX(AN32:AN35)+1</f>
        <v>7</v>
      </c>
      <c r="AO36" s="123">
        <f>MAX(AO32:AO35)+1</f>
        <v>10.569461358313816</v>
      </c>
      <c r="AP36" s="123">
        <f>MAX(AP32:AP35)+1</f>
        <v>95694624.826427594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3</v>
      </c>
      <c r="AZ36" s="126">
        <f>MAX(AZ32:AZ35)+1</f>
        <v>508.33333333333337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4</v>
      </c>
      <c r="BU37" s="64"/>
      <c r="BV37" s="27"/>
      <c r="BW37" s="112">
        <f>IF(BW36="","",BT37*1000+BU37*10+BV37)</f>
        <v>4000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/>
      <c r="CP37" s="63"/>
      <c r="CQ37" s="25"/>
      <c r="CR37" s="111" t="str">
        <f>IF(OR(CO37="",CO38="",AND(CP37="",CP38&lt;&gt;""),AND(CP38="",CP37&lt;&gt;""),AND(CQ37="",CQ38&lt;&gt;""),AND(CQ38="",CQ37&lt;&gt;"")),"",CO37*1000+CP37*10+CQ37)</f>
        <v/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0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10</v>
      </c>
      <c r="AJ38" s="123">
        <f>SUMIF($E$7:$E$78,$AE38,$G$7:$G$78) + SUMIF($H$7:$H$78,$AE38,$F$7:$F$78)</f>
        <v>4</v>
      </c>
      <c r="AL38" s="123">
        <f>AI38-AJ38</f>
        <v>6</v>
      </c>
      <c r="AM38" s="123">
        <f>AL38-AL42</f>
        <v>16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87500010.321734548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>
        <v>3</v>
      </c>
      <c r="BO38" s="25"/>
      <c r="BP38" s="116">
        <f>IF(OR(BM38="",BM39="",AND(BN38="",BN39&lt;&gt;""),AND(BN39="",BN38&lt;&gt;""),AND(BO38="",BO39&lt;&gt;""),AND(BO39="",BO38&lt;&gt;"")),"",BM38*1000+BN38*10+BO38)</f>
        <v>2030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/>
      <c r="CP38" s="64"/>
      <c r="CQ38" s="27"/>
      <c r="CR38" s="111" t="str">
        <f>IF(CR37="","",CO38*1000+CP38*10+CQ38)</f>
        <v/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10 - 4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1</v>
      </c>
      <c r="V39" s="123">
        <f t="shared" si="3"/>
        <v>2</v>
      </c>
      <c r="W39" s="123">
        <f t="shared" si="4"/>
        <v>1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7</v>
      </c>
      <c r="AJ39" s="123">
        <f>SUMIF($E$7:$E$78,$AE39,$G$7:$G$78) + SUMIF($H$7:$H$78,$AE39,$F$7:$F$78)</f>
        <v>3</v>
      </c>
      <c r="AL39" s="123">
        <f>AI39-AJ39</f>
        <v>4</v>
      </c>
      <c r="AM39" s="123">
        <f>AL39-AL42</f>
        <v>14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62500008.87248797</v>
      </c>
      <c r="AQ39" s="126">
        <f>VLOOKUP(AE39,db_fifarank,2,FALSE)</f>
        <v>1660.43</v>
      </c>
      <c r="AR39" s="125">
        <f>AP39/AP42</f>
        <v>0.71428572326325279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Senegal</v>
      </c>
      <c r="BM39" s="62">
        <v>2</v>
      </c>
      <c r="BN39" s="64">
        <v>2</v>
      </c>
      <c r="BO39" s="27"/>
      <c r="BP39" s="112">
        <f>IF(BP38="","",BM39*1000+BN39*10+BO39)</f>
        <v>2020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0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7 - 3</v>
      </c>
      <c r="P40" s="34">
        <f>L40*3+M40</f>
        <v>5</v>
      </c>
      <c r="R40" s="123">
        <f>DATE(2026,6,20)+TIME(13,0,0)+gmt_delta</f>
        <v>46194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7</v>
      </c>
      <c r="AJ40" s="123">
        <f>SUMIF($E$7:$E$78,$AE40,$G$7:$G$78) + SUMIF($H$7:$H$78,$AE40,$F$7:$F$78)</f>
        <v>7</v>
      </c>
      <c r="AL40" s="123">
        <f>AI40-AJ40</f>
        <v>0</v>
      </c>
      <c r="AM40" s="123">
        <f>AL40-AL42</f>
        <v>10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50000006.519473955</v>
      </c>
      <c r="AQ40" s="126">
        <f>VLOOKUP(AE40,db_fifarank,2,FALSE)</f>
        <v>1514.77</v>
      </c>
      <c r="AR40" s="125">
        <f>AP40/AP42</f>
        <v>0.57142857199898689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5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7 - 7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12</v>
      </c>
      <c r="AL41" s="123">
        <f>AI41-AJ41</f>
        <v>-10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0.18255970681818182</v>
      </c>
      <c r="AQ41" s="126">
        <f>VLOOKUP(AE41,db_fifarank,2,FALSE)</f>
        <v>1483.05</v>
      </c>
      <c r="AR41" s="125">
        <f>AP41/AP42</f>
        <v>2.0863963793892096E-9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4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2 - 12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11</v>
      </c>
      <c r="AL42" s="123">
        <f>MIN(AL38:AL41)</f>
        <v>-10</v>
      </c>
      <c r="AM42" s="123">
        <f>MAX(AM38:AM41)+1</f>
        <v>17</v>
      </c>
      <c r="AN42" s="123">
        <f>MAX(AN38:AN41)+1</f>
        <v>8</v>
      </c>
      <c r="AO42" s="123">
        <f>MAX(AO38:AO41)+1</f>
        <v>9.75</v>
      </c>
      <c r="AP42" s="123">
        <f>MAX(AP38:AP41)+1</f>
        <v>87500011.321734548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2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Uruguay_draw</v>
      </c>
      <c r="T43" s="127" t="str">
        <f t="shared" si="2"/>
        <v>Cape Verde_draw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0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10</v>
      </c>
      <c r="AN44" s="123">
        <f>AF44*3+AG44</f>
        <v>5</v>
      </c>
      <c r="AO44" s="123">
        <f>AN44/AN48*10+BA44</f>
        <v>9.3139158576051777</v>
      </c>
      <c r="AP44" s="123">
        <f>AO44*10000000+BI44*100+AM44/AM48*10+AI44/AI48*1++IF(AQ44=0,ROW(),AQ44)/2000000</f>
        <v>93139266.583223492</v>
      </c>
      <c r="AQ44" s="126">
        <f>VLOOKUP(AE44,db_fifarank,2,FALSE)</f>
        <v>1734.71</v>
      </c>
      <c r="AR44" s="125">
        <f>AP44/AP48</f>
        <v>0.99999998926338995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50.5</v>
      </c>
      <c r="BA44" s="126">
        <f>AZ44/AZ48</f>
        <v>0.98058252427184467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50.5</v>
      </c>
      <c r="BI44" s="126">
        <f>BH44/BH48</f>
        <v>0.98058252427184467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1</v>
      </c>
      <c r="M45" s="31">
        <f>VLOOKUP(1,AD44:AN47,4,FALSE)</f>
        <v>2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5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8</v>
      </c>
      <c r="AN45" s="123">
        <f>AF45*3+AG45</f>
        <v>5</v>
      </c>
      <c r="AO45" s="123">
        <f>AN45/AN48*10+BA45</f>
        <v>9.3139158576051777</v>
      </c>
      <c r="AP45" s="123">
        <f>AO45*10000000+BI45*100+AM45/AM48*10+AI45/AI48*1++IF(AQ45=0,ROW(),AQ45)/2000000</f>
        <v>93139264.622098804</v>
      </c>
      <c r="AQ45" s="126">
        <f>VLOOKUP(AE45,db_fifarank,2,FALSE)</f>
        <v>1563.24</v>
      </c>
      <c r="AR45" s="125">
        <f>AP45/AP48</f>
        <v>0.99999996820755876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5 - 3</v>
      </c>
      <c r="P46" s="34">
        <f>L46*3+M46</f>
        <v>5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3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6</v>
      </c>
      <c r="AN46" s="123">
        <f>AF46*3+AG46</f>
        <v>3</v>
      </c>
      <c r="AO46" s="123">
        <f>AN46/AN48*10+BA46</f>
        <v>5</v>
      </c>
      <c r="AP46" s="123">
        <f>AO46*10000000+BI46*100+AM46/AM48*10+AI46/AI48*1++IF(AQ46=0,ROW(),AQ46)/2000000</f>
        <v>50000005.883924529</v>
      </c>
      <c r="AQ46" s="126">
        <f>VLOOKUP(AE46,db_fifarank,2,FALSE)</f>
        <v>1615.3</v>
      </c>
      <c r="AR46" s="125">
        <f>AP46/AP48</f>
        <v>0.53683056761475623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3 - 3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4</v>
      </c>
      <c r="AJ47" s="123">
        <f>SUMIF($E$7:$E$78,$AE47,$G$7:$G$78) + SUMIF($H$7:$H$78,$AE47,$F$7:$F$78)</f>
        <v>10</v>
      </c>
      <c r="AL47" s="123">
        <f>AI47-AJ47</f>
        <v>-6</v>
      </c>
      <c r="AM47" s="123">
        <f>AL47-AL48</f>
        <v>0</v>
      </c>
      <c r="AN47" s="123">
        <f>AF47*3+AG47</f>
        <v>1</v>
      </c>
      <c r="AO47" s="123">
        <f>AN47/AN48*10+BA47</f>
        <v>1.6666666666666665</v>
      </c>
      <c r="AP47" s="123">
        <f>AO47*10000000+BI47*100+AM47/AM48*10+AI47/AI48*1++IF(AQ47=0,ROW(),AQ47)/2000000</f>
        <v>16666667.238736022</v>
      </c>
      <c r="AQ47" s="126">
        <f>VLOOKUP(AE47,db_fifarank,2,FALSE)</f>
        <v>1281.57</v>
      </c>
      <c r="AR47" s="125">
        <f>AP47/AP48</f>
        <v>0.17894350762253652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4 - 10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2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-6</v>
      </c>
      <c r="AM48" s="123">
        <f>MAX(AM44:AM47)+1</f>
        <v>11</v>
      </c>
      <c r="AN48" s="123">
        <f>MAX(AN44:AN47)+1</f>
        <v>6</v>
      </c>
      <c r="AO48" s="123">
        <f>MAX(AO44:AO47)+1</f>
        <v>10.313915857605178</v>
      </c>
      <c r="AP48" s="123">
        <f>MAX(AP44:AP47)+1</f>
        <v>93139267.583223492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1</v>
      </c>
      <c r="CB48" s="63">
        <v>1</v>
      </c>
      <c r="CC48" s="25"/>
      <c r="CD48" s="112">
        <f>IF(OR(CA48="",CA49="",AND(CB48="",CB49&lt;&gt;""),AND(CB49="",CB48&lt;&gt;""),AND(CC48="",CC49&lt;&gt;""),AND(CC49="",CC48&lt;&gt;"")),"",CA48*1000+CB48*10+CC48)</f>
        <v>1010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4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4000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2</v>
      </c>
      <c r="CC49" s="27"/>
      <c r="CD49" s="113">
        <f>IF(CD48="","",CA49*1000+CB49*10+CC49)</f>
        <v>1020</v>
      </c>
      <c r="CK49" s="114"/>
      <c r="CL49" s="115"/>
      <c r="CM49" s="142"/>
      <c r="CN49" s="26" t="str">
        <f>IF(CK55&gt;CK56,CG56,IF(CK55&lt;CK56,CG55,""))</f>
        <v>England</v>
      </c>
      <c r="CO49" s="62">
        <v>6</v>
      </c>
      <c r="CP49" s="64"/>
      <c r="CQ49" s="27"/>
      <c r="CR49" s="111">
        <f>IF(CR48="","",CO49*1000+CP49*10+CQ49)</f>
        <v>6000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0</v>
      </c>
      <c r="AL50" s="123">
        <f>AI50-AJ50</f>
        <v>5</v>
      </c>
      <c r="AM50" s="123">
        <f>AL50-AL54</f>
        <v>9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87500009.834271535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0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5 - 0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2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3</v>
      </c>
      <c r="AH51" s="123">
        <f>COUNTIF($S$7:$T$78,"=" &amp; AE51 &amp; "_lose")</f>
        <v>0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2</v>
      </c>
      <c r="AL51" s="123">
        <f>AI51-AJ51</f>
        <v>0</v>
      </c>
      <c r="AM51" s="123">
        <f>AL51-AL54</f>
        <v>4</v>
      </c>
      <c r="AN51" s="123">
        <f>AF51*3+AG51</f>
        <v>3</v>
      </c>
      <c r="AO51" s="123">
        <f>AN51/AN54*10+BA51</f>
        <v>3.75</v>
      </c>
      <c r="AP51" s="123">
        <f>AO51*10000000+BI51*100+AM51/AM54*10+AI51/AI54*1++IF(AQ51=0,ROW(),AQ51)/2000000</f>
        <v>37500004.334016398</v>
      </c>
      <c r="AQ51" s="126">
        <f>VLOOKUP(AE51,db_fifarank,2,FALSE)</f>
        <v>1366.13</v>
      </c>
      <c r="AR51" s="125">
        <f>AP51/AP54</f>
        <v>0.42857142503722523</v>
      </c>
      <c r="AS51" s="125" t="str">
        <f>IF(SUM(AF50:AH53)=12,J52,"2H")</f>
        <v>Cape Verde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Cape Verde</v>
      </c>
      <c r="K52" s="23">
        <f>L52+M52+N52</f>
        <v>3</v>
      </c>
      <c r="L52" s="23">
        <f>VLOOKUP(2,AD50:AN53,3,FALSE)</f>
        <v>0</v>
      </c>
      <c r="M52" s="23">
        <f>VLOOKUP(2,AD50:AN53,4,FALSE)</f>
        <v>3</v>
      </c>
      <c r="N52" s="23">
        <f>VLOOKUP(2,AD50:AN53,5,FALSE)</f>
        <v>0</v>
      </c>
      <c r="O52" s="23" t="str">
        <f>VLOOKUP(2,AD50:AN53,6,FALSE) &amp; " - " &amp; VLOOKUP(2,AD50:AN53,7,FALSE)</f>
        <v>2 - 2</v>
      </c>
      <c r="P52" s="34">
        <f>L52*3+M52</f>
        <v>3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0</v>
      </c>
      <c r="AN52" s="123">
        <f>AF52*3+AG52</f>
        <v>2</v>
      </c>
      <c r="AO52" s="123">
        <f>AN52/AN54*10+BA52</f>
        <v>3.4805825242718447</v>
      </c>
      <c r="AP52" s="123">
        <f>AO52*10000000+BI52*100+AM52/AM54*10+AI52/AI54*1++IF(AQ52=0,ROW(),AQ52)/2000000</f>
        <v>34805923.46834825</v>
      </c>
      <c r="AQ52" s="126">
        <f>VLOOKUP(AE52,db_fifarank,2,FALSE)</f>
        <v>1421.43</v>
      </c>
      <c r="AR52" s="125">
        <f>AP52/AP54</f>
        <v>0.39778193324195171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5</v>
      </c>
      <c r="G53" s="20">
        <v>0</v>
      </c>
      <c r="H53" s="80" t="str">
        <f>AE70</f>
        <v>Uzbekistan</v>
      </c>
      <c r="J53" s="33" t="str">
        <f>VLOOKUP(3,AD50:AN53,2,FALSE)</f>
        <v>Uruguay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3 - 4</v>
      </c>
      <c r="P53" s="34">
        <f>L53*3+M53</f>
        <v>2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3</v>
      </c>
      <c r="AE53" s="124" t="str">
        <f>VLOOKUP("Uruguay",T,lang,FALSE)</f>
        <v>Uruguay</v>
      </c>
      <c r="AF53" s="123">
        <f>COUNTIF($S$7:$T$78,"=" &amp; AE53 &amp; "_win")</f>
        <v>0</v>
      </c>
      <c r="AG53" s="123">
        <f>COUNTIF($S$7:$T$78,"=" &amp; AE53 &amp; "_draw")</f>
        <v>2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4</v>
      </c>
      <c r="AL53" s="123">
        <f>AI53-AJ53</f>
        <v>-1</v>
      </c>
      <c r="AM53" s="123">
        <f>AL53-AL54</f>
        <v>3</v>
      </c>
      <c r="AN53" s="123">
        <f>AF53*3+AG53</f>
        <v>2</v>
      </c>
      <c r="AO53" s="123">
        <f>AN53/AN54*10+BA53</f>
        <v>3.4805825242718447</v>
      </c>
      <c r="AP53" s="123">
        <f>AO53*10000000+BI53*100+AM53/AM54*10+AI53/AI54*1++IF(AQ53=0,ROW(),AQ53)/2000000</f>
        <v>34805926.801807404</v>
      </c>
      <c r="AQ53" s="126">
        <f>VLOOKUP(AE53,db_fifarank,2,FALSE)</f>
        <v>1673.07</v>
      </c>
      <c r="AR53" s="125">
        <f>AP53/AP54</f>
        <v>0.39778197133862303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2</v>
      </c>
      <c r="N54" s="36">
        <f>VLOOKUP(4,AD50:AN53,5,FALSE)</f>
        <v>1</v>
      </c>
      <c r="O54" s="36" t="str">
        <f>VLOOKUP(4,AD50:AN53,6,FALSE) &amp; " - " &amp; VLOOKUP(4,AD50:AN53,7,FALSE)</f>
        <v>1 - 5</v>
      </c>
      <c r="P54" s="37">
        <f>L54*3+M54</f>
        <v>2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3</v>
      </c>
      <c r="AH54" s="123">
        <f t="shared" si="25"/>
        <v>2</v>
      </c>
      <c r="AI54" s="123">
        <f>MAX(AI50:AI53)+1</f>
        <v>6</v>
      </c>
      <c r="AL54" s="123">
        <f>MIN(AL50:AL53)</f>
        <v>-4</v>
      </c>
      <c r="AM54" s="123">
        <f>MAX(AM50:AM53)+1</f>
        <v>10</v>
      </c>
      <c r="AN54" s="123">
        <f>MAX(AN50:AN53)+1</f>
        <v>8</v>
      </c>
      <c r="AO54" s="123">
        <f>MAX(AO50:AO53)+1</f>
        <v>9.75</v>
      </c>
      <c r="AP54" s="123">
        <f>MAX(AP50:AP53)+1</f>
        <v>87500010.834271535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4</v>
      </c>
      <c r="G56" s="20">
        <v>2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2</v>
      </c>
      <c r="AL56" s="123">
        <f>AI56-AJ56</f>
        <v>8</v>
      </c>
      <c r="AM56" s="123">
        <f>AL56-AL60</f>
        <v>19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90000010.41002956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8</v>
      </c>
      <c r="AJ57" s="123">
        <f>SUMIF($E$7:$E$78,$AE57,$G$7:$G$78) + SUMIF($H$7:$H$78,$AE57,$F$7:$F$78)</f>
        <v>6</v>
      </c>
      <c r="AL57" s="123">
        <f>AI57-AJ57</f>
        <v>2</v>
      </c>
      <c r="AM57" s="123">
        <f>AL57-AL60</f>
        <v>13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30000007.22811722</v>
      </c>
      <c r="AQ57" s="126">
        <f>VLOOKUP(AE57,db_fifarank,2,FALSE)</f>
        <v>1688.99</v>
      </c>
      <c r="AR57" s="125">
        <f>AP57/AP60</f>
        <v>0.33333337138637331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3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8 - 7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12</v>
      </c>
      <c r="AL58" s="123">
        <f>AI58-AJ58</f>
        <v>-11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9.1632660909090918E-2</v>
      </c>
      <c r="AQ58" s="126">
        <f>VLOOKUP(AE58,db_fifarank,2,FALSE)</f>
        <v>1447.14</v>
      </c>
      <c r="AR58" s="125">
        <f>AP58/AP60</f>
        <v>1.0181405476897463E-9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>
        <v>3</v>
      </c>
      <c r="BO58" s="25"/>
      <c r="BP58" s="112">
        <f>IF(OR(BM58="",BM59="",AND(BN58="",BN59&lt;&gt;""),AND(BN59="",BN58&lt;&gt;""),AND(BO58="",BO59&lt;&gt;""),AND(BO59="",BO58&lt;&gt;"")),"",BM58*1000+BN58*10+BO58)</f>
        <v>2030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8 - 6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8</v>
      </c>
      <c r="AJ59" s="123">
        <f>SUMIF($E$7:$E$78,$AE59,$G$7:$G$78) + SUMIF($H$7:$H$78,$AE59,$F$7:$F$78)</f>
        <v>7</v>
      </c>
      <c r="AL59" s="123">
        <f>AI59-AJ59</f>
        <v>1</v>
      </c>
      <c r="AM59" s="123">
        <f>AL59-AL60</f>
        <v>12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60000006.728048198</v>
      </c>
      <c r="AQ59" s="126">
        <f>VLOOKUP(AE59,db_fifarank,2,FALSE)</f>
        <v>1550.94</v>
      </c>
      <c r="AR59" s="125">
        <f>AP59/AP60</f>
        <v>0.66666665690402149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Cape Verde</v>
      </c>
      <c r="BM59" s="62">
        <v>2</v>
      </c>
      <c r="BN59" s="64">
        <v>2</v>
      </c>
      <c r="BO59" s="27"/>
      <c r="BP59" s="113">
        <f>IF(BP58="","",BM59*1000+BN59*10+BO59)</f>
        <v>2020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1 - 12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11</v>
      </c>
      <c r="AL60" s="123">
        <f>MIN(AL56:AL59)</f>
        <v>-11</v>
      </c>
      <c r="AM60" s="123">
        <f>MAX(AM56:AM59)+1</f>
        <v>20</v>
      </c>
      <c r="AN60" s="123">
        <f>MAX(AN56:AN59)+1</f>
        <v>10</v>
      </c>
      <c r="AO60" s="123">
        <f>MAX(AO56:AO59)+1</f>
        <v>10</v>
      </c>
      <c r="AP60" s="123">
        <f>MAX(AP56:AP59)+1</f>
        <v>90000011.41002956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Egypt</v>
      </c>
      <c r="BT61" s="62">
        <v>2</v>
      </c>
      <c r="BU61" s="64"/>
      <c r="BV61" s="27"/>
      <c r="BW61" s="113">
        <f>IF(BW60="","",BT61*1000+BU61*10+BV61)</f>
        <v>2000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2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Australia</v>
      </c>
      <c r="BM62" s="61">
        <v>1</v>
      </c>
      <c r="BN62" s="63">
        <v>1</v>
      </c>
      <c r="BO62" s="25">
        <v>2</v>
      </c>
      <c r="BP62" s="116">
        <f>IF(OR(BM62="",BM63="",AND(BN62="",BN63&lt;&gt;""),AND(BN63="",BN62&lt;&gt;""),AND(BO62="",BO63&lt;&gt;""),AND(BO63="",BO62&lt;&gt;"")),"",BM62*1000+BN62*10+BO62)</f>
        <v>1012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7</v>
      </c>
      <c r="AL63" s="123">
        <f>AI63-AJ63</f>
        <v>-2</v>
      </c>
      <c r="AM63" s="123">
        <f>AL63-AL66</f>
        <v>3</v>
      </c>
      <c r="AN63" s="123">
        <f>AF63*3+AG63</f>
        <v>4</v>
      </c>
      <c r="AO63" s="123">
        <f>AN63/AN66*10+BA63</f>
        <v>4.9806763285024154</v>
      </c>
      <c r="AP63" s="123">
        <f>AO63*10000000+BI63*100+AM63/AM66*10+AI63/AI66*1++IF(AQ63=0,ROW(),AQ63)/2000000</f>
        <v>49806864.216686986</v>
      </c>
      <c r="AQ63" s="126">
        <f>VLOOKUP(AE63,db_fifarank,2,FALSE)</f>
        <v>1564.26</v>
      </c>
      <c r="AR63" s="125">
        <f>AP63/AP66</f>
        <v>0.55340953402714876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3</v>
      </c>
      <c r="AW63" s="126" cm="1">
        <f t="array" ref="AW63">SUMPRODUCT(($E$7:$E$78=AE63)*($U$7:$U$78)*($G$7:$G$78))+SUMPRODUCT(($H$7:$H$78=AE63)*($U$7:$U$78)*($F$7:$F$78))</f>
        <v>3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50.75</v>
      </c>
      <c r="BA63" s="126">
        <f>AZ63/AZ66</f>
        <v>0.98067632850241548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3</v>
      </c>
      <c r="BE63" s="126" cm="1">
        <f t="array" ref="BE63">SUMPRODUCT(($E$7:$E$78=AE63)*($X$7:$X$78)*($G$7:$G$78))+SUMPRODUCT(($H$7:$H$78=AE63)*($X$7:$X$78)*($F$7:$F$78))</f>
        <v>3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50.75</v>
      </c>
      <c r="BI63" s="126">
        <f>BH63/BH66</f>
        <v>0.98067632850241548</v>
      </c>
      <c r="BK63" s="142"/>
      <c r="BL63" s="26" t="str">
        <f>AS45</f>
        <v>Egypt</v>
      </c>
      <c r="BM63" s="62">
        <v>1</v>
      </c>
      <c r="BN63" s="64">
        <v>1</v>
      </c>
      <c r="BO63" s="27">
        <v>4</v>
      </c>
      <c r="BP63" s="112">
        <f>IF(BP62="","",BM63*1000+BN63*10+BO63)</f>
        <v>1014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6 - 6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6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4.9806763285024154</v>
      </c>
      <c r="AP64" s="123">
        <f>AO64*10000000+BI64*100+AM64/AM66*10+AI64/AI66*1++IF(AQ64=0,ROW(),AQ64)/2000000</f>
        <v>49806865.866274238</v>
      </c>
      <c r="AQ64" s="126">
        <f>VLOOKUP(AE64,db_fifarank,2,FALSE)</f>
        <v>1593.45</v>
      </c>
      <c r="AR64" s="125">
        <f>AP64/AP66</f>
        <v>0.55340955235589373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3</v>
      </c>
      <c r="AW64" s="126" cm="1">
        <f t="array" ref="AW64">SUMPRODUCT(($E$7:$E$78=AE64)*($U$7:$U$78)*($G$7:$G$78))+SUMPRODUCT(($H$7:$H$78=AE64)*($U$7:$U$78)*($F$7:$F$78))</f>
        <v>3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50.75</v>
      </c>
      <c r="BA64" s="126">
        <f>AZ64/AZ66</f>
        <v>0.98067632850241548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3</v>
      </c>
      <c r="BE64" s="126" cm="1">
        <f t="array" ref="BE64">SUMPRODUCT(($E$7:$E$78=AE64)*($X$7:$X$78)*($G$7:$G$78))+SUMPRODUCT(($H$7:$H$78=AE64)*($X$7:$X$78)*($F$7:$F$78))</f>
        <v>3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50.75</v>
      </c>
      <c r="BI64" s="126">
        <f>BH64/BH66</f>
        <v>0.98067632850241548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>
        <v>3</v>
      </c>
      <c r="CC64" s="25"/>
      <c r="CD64" s="116">
        <f>IF(OR(CA64="",CA65="",AND(CB64="",CB65&lt;&gt;""),AND(CB65="",CB64&lt;&gt;""),AND(CC64="",CC65&lt;&gt;""),AND(CC65="",CC64&lt;&gt;"")),"",CA64*1000+CB64*10+CC64)</f>
        <v>1030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5 - 7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8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0.3340290583333333</v>
      </c>
      <c r="AQ65" s="126">
        <f>VLOOKUP(AE65,db_fifarank,2,FALSE)</f>
        <v>1391.45</v>
      </c>
      <c r="AR65" s="125">
        <f>AP65/AP66</f>
        <v>3.7114335228886911E-9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Switzerland</v>
      </c>
      <c r="CA65" s="62">
        <v>1</v>
      </c>
      <c r="CB65" s="64">
        <v>1</v>
      </c>
      <c r="CC65" s="27"/>
      <c r="CD65" s="112">
        <f>IF(CD64="","",CA65*1000+CB65*10+CC65)</f>
        <v>1010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3 - 8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0</v>
      </c>
      <c r="W66" s="123">
        <f t="shared" si="22"/>
        <v>0</v>
      </c>
      <c r="X66" s="123">
        <f t="shared" si="9"/>
        <v>1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4</v>
      </c>
      <c r="AW66" s="126">
        <f>MAX(AW62:AW65)-MIN(AW62:AW65)+1</f>
        <v>4</v>
      </c>
      <c r="AY66" s="126">
        <f>MAX(AY62:AY65)-MIN(AY62:AY65)+1</f>
        <v>1</v>
      </c>
      <c r="AZ66" s="126">
        <f>MAX(AZ62:AZ65)+1</f>
        <v>51.75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4</v>
      </c>
      <c r="BE66" s="126">
        <f>MAX(BE62:BE65)-MIN(BE62:BE65)+1</f>
        <v>4</v>
      </c>
      <c r="BG66" s="126">
        <f>MAX(BG62:BG65)-MIN(BG62:BG65)+1</f>
        <v>1</v>
      </c>
      <c r="BH66" s="126">
        <f>MAX(BH62:BH65)+1</f>
        <v>51.75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5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1</v>
      </c>
      <c r="AG68" s="123">
        <f>COUNTIF($S$7:$T$78,"=" &amp; AE68 &amp; "_draw")</f>
        <v>2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14</v>
      </c>
      <c r="AN68" s="123">
        <f>AF68*3+AG68</f>
        <v>5</v>
      </c>
      <c r="AO68" s="123">
        <f>AN68/AN72*10+BA68</f>
        <v>6.25</v>
      </c>
      <c r="AP68" s="123">
        <f>AO68*10000000+BI68*100+AM68/AM72*10+AI68/AI72*1++IF(AQ68=0,ROW(),AQ68)/2000000</f>
        <v>62500010.191358112</v>
      </c>
      <c r="AQ68" s="126">
        <f>VLOOKUP(AE68,db_fifarank,2,FALSE)</f>
        <v>1763.83</v>
      </c>
      <c r="AR68" s="125">
        <f>AP68/AP72</f>
        <v>0.71428575261735283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>
        <v>0</v>
      </c>
      <c r="BV68" s="25">
        <v>4</v>
      </c>
      <c r="BW68" s="116">
        <f>IF(OR(BT68="",BT69="",AND(BU68="",BU69&lt;&gt;""),AND(BU69="",BU68&lt;&gt;""),AND(BV68="",BV69&lt;&gt;""),AND(BV69="",BV68&lt;&gt;"")),"",BT68*1000+BU68*10+BV68)</f>
        <v>4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/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4 - 1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3</v>
      </c>
      <c r="AL69" s="123">
        <f>AI69-AJ69</f>
        <v>1</v>
      </c>
      <c r="AM69" s="123">
        <f>AL69-AL72</f>
        <v>10</v>
      </c>
      <c r="AN69" s="123">
        <f>AF69*3+AG69</f>
        <v>4</v>
      </c>
      <c r="AO69" s="123">
        <f>AN69/AN72*10+BA69</f>
        <v>5</v>
      </c>
      <c r="AP69" s="123">
        <f>AO69*10000000+BI69*100+AM69/AM72*10+AI69/AI72*1++IF(AQ69=0,ROW(),AQ69)/2000000</f>
        <v>50000007.238834411</v>
      </c>
      <c r="AQ69" s="126">
        <f>VLOOKUP(AE69,db_fifarank,2,FALSE)</f>
        <v>1478.35</v>
      </c>
      <c r="AR69" s="125">
        <f>AP69/AP72</f>
        <v>0.57142859164528825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Colombia</v>
      </c>
      <c r="BT69" s="62">
        <v>0</v>
      </c>
      <c r="BU69" s="64">
        <v>0</v>
      </c>
      <c r="BV69" s="27">
        <v>3</v>
      </c>
      <c r="BW69" s="112">
        <f>IF(BW68="","",BT69*1000+BU69*10+BV69)</f>
        <v>3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5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1</v>
      </c>
      <c r="M70" s="23">
        <f>VLOOKUP(2,AD68:AN71,4,FALSE)</f>
        <v>2</v>
      </c>
      <c r="N70" s="23">
        <f>VLOOKUP(2,AD68:AN71,5,FALSE)</f>
        <v>0</v>
      </c>
      <c r="O70" s="23" t="str">
        <f>VLOOKUP(2,AD68:AN71,6,FALSE) &amp; " - " &amp; VLOOKUP(2,AD68:AN71,7,FALSE)</f>
        <v>6 - 1</v>
      </c>
      <c r="P70" s="34">
        <f>L70*3+M70</f>
        <v>5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11</v>
      </c>
      <c r="AL70" s="123">
        <f>AI70-AJ70</f>
        <v>-9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0.28644695571428569</v>
      </c>
      <c r="AQ70" s="126">
        <f>VLOOKUP(AE70,db_fifarank,2,FALSE)</f>
        <v>1465.34</v>
      </c>
      <c r="AR70" s="125">
        <f>AP70/AP72</f>
        <v>3.2736791357454669E-9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Colombia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4 - 3</v>
      </c>
      <c r="P71" s="34">
        <f>L71*3+M71</f>
        <v>4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12</v>
      </c>
      <c r="AN71" s="123">
        <f>AF71*3+AG71</f>
        <v>7</v>
      </c>
      <c r="AO71" s="123">
        <f>AN71/AN72*10+BA71</f>
        <v>8.75</v>
      </c>
      <c r="AP71" s="123">
        <f>AO71*10000000+BI71*100+AM71/AM72*10+AI71/AI72*1++IF(AQ71=0,ROW(),AQ71)/2000000</f>
        <v>87500008.572275117</v>
      </c>
      <c r="AQ71" s="126">
        <f>VLOOKUP(AE71,db_fifarank,2,FALSE)</f>
        <v>1693.09</v>
      </c>
      <c r="AR71" s="125">
        <f>AP71/AP72</f>
        <v>0.9999999885714298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2 - 11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3</v>
      </c>
      <c r="AH72" s="123">
        <f t="shared" si="35"/>
        <v>4</v>
      </c>
      <c r="AI72" s="123">
        <f>MAX(AI68:AI71)+1</f>
        <v>7</v>
      </c>
      <c r="AL72" s="123">
        <f>MIN(AL68:AL71)</f>
        <v>-9</v>
      </c>
      <c r="AM72" s="123">
        <f>MAX(AM68:AM71)+1</f>
        <v>15</v>
      </c>
      <c r="AN72" s="123">
        <f>MAX(AN68:AN71)+1</f>
        <v>8</v>
      </c>
      <c r="AO72" s="123">
        <f>MAX(AO68:AO71)+1</f>
        <v>9.75</v>
      </c>
      <c r="AP72" s="123">
        <f>MAX(AP68:AP71)+1</f>
        <v>87500009.572275117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87500009.746944726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3</v>
      </c>
      <c r="G75" s="20">
        <v>3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3</v>
      </c>
      <c r="W75" s="123">
        <f t="shared" si="22"/>
        <v>3</v>
      </c>
      <c r="X75" s="123">
        <f t="shared" si="32"/>
        <v>1</v>
      </c>
      <c r="Y75" s="123">
        <f t="shared" si="33"/>
        <v>3</v>
      </c>
      <c r="Z75" s="123">
        <f t="shared" si="34"/>
        <v>3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5</v>
      </c>
      <c r="AL75" s="123">
        <f>AI75-AJ75</f>
        <v>0</v>
      </c>
      <c r="AM75" s="123">
        <f>AL75-AL78</f>
        <v>4</v>
      </c>
      <c r="AN75" s="123">
        <f>AF75*3+AG75</f>
        <v>6</v>
      </c>
      <c r="AO75" s="123">
        <f>AN75/AN78*10+BA75</f>
        <v>7.5</v>
      </c>
      <c r="AP75" s="123">
        <f>AO75*10000000+BI75*100+AM75/AM78*10+AI75/AI78*1++IF(AQ75=0,ROW(),AQ75)/2000000</f>
        <v>75000005.159588695</v>
      </c>
      <c r="AQ75" s="126">
        <f>VLOOKUP(AE75,db_fifarank,2,FALSE)</f>
        <v>1717.07</v>
      </c>
      <c r="AR75" s="125">
        <f>AP75/AP78</f>
        <v>0.85714281083339749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5 - 5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2</v>
      </c>
      <c r="AL76" s="123">
        <f>AI76-AJ76</f>
        <v>0</v>
      </c>
      <c r="AM76" s="123">
        <f>AL76-AL78</f>
        <v>4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50000004.730831884</v>
      </c>
      <c r="AQ76" s="126">
        <f>VLOOKUP(AE76,db_fifarank,2,FALSE)</f>
        <v>1346.31</v>
      </c>
      <c r="AR76" s="125">
        <f>AP76/AP78</f>
        <v>0.57142855531109471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0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2 - 2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4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8.8036560615725139E-12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3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0 - 4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87500010.746944726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6355.5563498855554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Ⓚ DR Congo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6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8388.8895818088895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7 - 7</v>
      </c>
      <c r="P82" s="101">
        <f t="shared" ref="P82:P92" si="48">L82*3+M82</f>
        <v>4</v>
      </c>
      <c r="AD82" s="123">
        <f t="shared" si="38"/>
        <v>11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4</v>
      </c>
      <c r="AK82" s="123" t="s">
        <v>3182</v>
      </c>
      <c r="AL82" s="123">
        <f t="shared" si="43"/>
        <v>-3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6011.1118602861116</v>
      </c>
      <c r="AQ82" s="126">
        <f t="shared" si="37"/>
        <v>1498.35</v>
      </c>
      <c r="AR82" s="125" t="str">
        <f t="shared" ref="AR82:AR91" si="50">AR81&amp;IF(AD82&lt;=8,RIGHT(AK82,1),"")</f>
        <v>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7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1</v>
      </c>
      <c r="AN83" s="123">
        <f t="shared" si="45"/>
        <v>4</v>
      </c>
      <c r="AP83" s="123">
        <f>AN83/AN92*10000+AM83/AM92*1000+AI83/AI92*100+IF(AQ83=0,ROW(),AQ83)/2000000</f>
        <v>8188.8896406388894</v>
      </c>
      <c r="AQ83" s="126">
        <f t="shared" si="37"/>
        <v>1503.5</v>
      </c>
      <c r="AR83" s="125" t="str">
        <f t="shared" si="50"/>
        <v>BD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Paraguay</v>
      </c>
      <c r="T84" s="127" t="str" cm="1">
        <f t="array" ref="T84">IF(OR(S84="",S84="draw"),INDEX(T,86,lang),S84)</f>
        <v>Paraguay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2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8522.2230196122218</v>
      </c>
      <c r="AQ84" s="126">
        <f t="shared" si="37"/>
        <v>1594.78</v>
      </c>
      <c r="AR84" s="125" t="str">
        <f t="shared" si="50"/>
        <v>BDE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Ⓑ Bosnia and Herzegovina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5 - 6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7</v>
      </c>
      <c r="AJ85" s="123">
        <f t="shared" si="42"/>
        <v>7</v>
      </c>
      <c r="AK85" s="123" t="s">
        <v>3186</v>
      </c>
      <c r="AL85" s="123">
        <f t="shared" si="43"/>
        <v>0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8577.7785351627772</v>
      </c>
      <c r="AQ85" s="126">
        <f t="shared" si="37"/>
        <v>1514.77</v>
      </c>
      <c r="AR85" s="125" t="str">
        <f t="shared" si="50"/>
        <v>BDEF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5 - 7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6533.3341409833329</v>
      </c>
      <c r="AQ86" s="126">
        <f t="shared" si="37"/>
        <v>1615.3</v>
      </c>
      <c r="AR86" s="125" t="str">
        <f t="shared" si="50"/>
        <v>BDEF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2 - 4</v>
      </c>
      <c r="P87" s="101">
        <f t="shared" si="48"/>
        <v>4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Uruguay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3</v>
      </c>
      <c r="AJ87" s="123">
        <f t="shared" si="42"/>
        <v>4</v>
      </c>
      <c r="AK87" s="123" t="s">
        <v>3188</v>
      </c>
      <c r="AL87" s="123">
        <f t="shared" si="43"/>
        <v>-1</v>
      </c>
      <c r="AM87" s="123">
        <f t="shared" si="44"/>
        <v>2</v>
      </c>
      <c r="AN87" s="123">
        <f t="shared" si="45"/>
        <v>2</v>
      </c>
      <c r="AP87" s="123">
        <f>AN87/AN92*10000+AM87/AM92*1000+AI87/AI92*100+IF(AQ87=0,ROW(),AQ87)/2000000</f>
        <v>4366.6675032016665</v>
      </c>
      <c r="AQ87" s="126">
        <f t="shared" si="37"/>
        <v>1673.07</v>
      </c>
      <c r="AR87" s="125" t="str">
        <f t="shared" si="50"/>
        <v>BDEF</v>
      </c>
      <c r="AS87" s="129" t="str">
        <f t="shared" si="46"/>
        <v/>
      </c>
      <c r="AT87" s="130" t="str">
        <f>"Ⓗ "&amp;AE87</f>
        <v>Ⓗ Uruguay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Ⓘ Senegal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8 - 6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8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8</v>
      </c>
      <c r="AJ88" s="123">
        <f t="shared" si="42"/>
        <v>6</v>
      </c>
      <c r="AK88" s="123" t="s">
        <v>3189</v>
      </c>
      <c r="AL88" s="123">
        <f t="shared" si="43"/>
        <v>2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6922.2230667172216</v>
      </c>
      <c r="AQ88" s="126">
        <f t="shared" si="37"/>
        <v>1688.99</v>
      </c>
      <c r="AR88" s="125" t="str">
        <f t="shared" si="50"/>
        <v>BDEFI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3</v>
      </c>
      <c r="N89" s="103">
        <f>VLOOKUP(9,$AD$80:$AN$91,5,FALSE)</f>
        <v>0</v>
      </c>
      <c r="O89" s="103" t="str">
        <f>VLOOKUP(9,$AD$80:$AN$91,6,FALSE) &amp; " - " &amp; VLOOKUP(9,$AD$80:$AN$91,7,FALSE)</f>
        <v>3 - 3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5</v>
      </c>
      <c r="AJ89" s="123">
        <f t="shared" si="42"/>
        <v>7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4</v>
      </c>
      <c r="AP89" s="123">
        <f>AN89/AN92*10000+AM89/AM92*1000+AI89/AI92*100+IF(AQ89=0,ROW(),AQ89)/2000000</f>
        <v>8222.2230043522231</v>
      </c>
      <c r="AQ89" s="126">
        <f t="shared" si="37"/>
        <v>1564.26</v>
      </c>
      <c r="AR89" s="125" t="str">
        <f t="shared" si="50"/>
        <v>BDEFIJ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Korea Republic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2 - 3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4</v>
      </c>
      <c r="AJ90" s="123">
        <f t="shared" si="42"/>
        <v>3</v>
      </c>
      <c r="AK90" s="123" t="s">
        <v>3191</v>
      </c>
      <c r="AL90" s="123">
        <f t="shared" si="43"/>
        <v>1</v>
      </c>
      <c r="AM90" s="123">
        <f t="shared" si="44"/>
        <v>4</v>
      </c>
      <c r="AN90" s="123">
        <f t="shared" si="45"/>
        <v>4</v>
      </c>
      <c r="AP90" s="123">
        <f>AN90/AN92*10000+AM90/AM92*1000+AI90/AI92*100+IF(AQ90=0,ROW(),AQ90)/2000000</f>
        <v>8711.1118502861118</v>
      </c>
      <c r="AQ90" s="126">
        <f t="shared" si="37"/>
        <v>1478.35</v>
      </c>
      <c r="AR90" s="125" t="str">
        <f t="shared" si="50"/>
        <v>BDEFIJK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Scotland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2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8522.2228953772228</v>
      </c>
      <c r="AQ91" s="126">
        <f t="shared" si="37"/>
        <v>1346.31</v>
      </c>
      <c r="AR91" s="125" t="str">
        <f t="shared" si="50"/>
        <v>BDEFIJKL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Uruguay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3 - 4</v>
      </c>
      <c r="P92" s="107">
        <f t="shared" si="48"/>
        <v>2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9</v>
      </c>
      <c r="AJ92" s="123">
        <f>MAX(AJ80:AJ91)+1</f>
        <v>8</v>
      </c>
      <c r="AL92" s="123">
        <f>MIN(AL80:AL91)</f>
        <v>-3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4257812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67</v>
      </c>
      <c r="C3" s="121" t="str">
        <f>'2026 World Cup'!AR91</f>
        <v>BDEFIJKL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Håvard Strand</cp:lastModifiedBy>
  <cp:revision/>
  <dcterms:created xsi:type="dcterms:W3CDTF">2017-12-27T19:32:51Z</dcterms:created>
  <dcterms:modified xsi:type="dcterms:W3CDTF">2026-07-19T00:04:17Z</dcterms:modified>
  <cp:category>Sports</cp:category>
  <cp:contentStatus/>
</cp:coreProperties>
</file>
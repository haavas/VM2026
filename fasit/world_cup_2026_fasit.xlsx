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s\git\VM2026\fasit\"/>
    </mc:Choice>
  </mc:AlternateContent>
  <xr:revisionPtr revIDLastSave="0" documentId="13_ncr:1_{8FEA4123-479A-4C80-9697-22A455966478}" xr6:coauthVersionLast="47" xr6:coauthVersionMax="47" xr10:uidLastSave="{00000000-0000-0000-0000-000000000000}"/>
  <bookViews>
    <workbookView xWindow="-38520" yWindow="0" windowWidth="38640" windowHeight="21120" firstSheet="1" activeTab="2" xr2:uid="{00000000-000D-0000-FFFF-FFFF00000000}"/>
  </bookViews>
  <sheets>
    <sheet name="T" sheetId="1" state="hidden" r:id="rId1"/>
    <sheet name="Settings" sheetId="2" r:id="rId2"/>
    <sheet name="2026 World Cup" sheetId="3" r:id="rId3"/>
    <sheet name="3rd places" sheetId="4" r:id="rId4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0" i="3" l="1"/>
  <c r="CE68" i="3"/>
  <c r="AA25" i="3"/>
  <c r="AA50" i="3"/>
  <c r="AA75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BP11" i="3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S86" i="3"/>
  <c r="S87" i="3"/>
  <c r="S88" i="3"/>
  <c r="S89" i="3"/>
  <c r="S90" i="3"/>
  <c r="S91" i="3"/>
  <c r="S96" i="3"/>
  <c r="S97" i="3"/>
  <c r="S98" i="3"/>
  <c r="S102" i="3"/>
  <c r="U102" i="3"/>
  <c r="S103" i="3"/>
  <c r="U103" i="3"/>
  <c r="T107" i="3"/>
  <c r="S111" i="3"/>
  <c r="T111" i="3" s="1"/>
  <c r="J80" i="3"/>
  <c r="CR38" i="3" l="1"/>
  <c r="CK68" i="3"/>
  <c r="AA17" i="3"/>
  <c r="AA18" i="3"/>
  <c r="AA19" i="3"/>
  <c r="AA20" i="3"/>
  <c r="AA21" i="3"/>
  <c r="AA22" i="3"/>
  <c r="AA23" i="3"/>
  <c r="AA24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6" i="3"/>
  <c r="AA77" i="3"/>
  <c r="AA78" i="3"/>
  <c r="AA8" i="3"/>
  <c r="AA9" i="3"/>
  <c r="AA10" i="3"/>
  <c r="AA11" i="3"/>
  <c r="AA12" i="3"/>
  <c r="AA13" i="3"/>
  <c r="AA14" i="3"/>
  <c r="AA15" i="3"/>
  <c r="AA16" i="3"/>
  <c r="AA7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T86" i="3" a="1"/>
  <c r="T86" i="3" s="1"/>
  <c r="T87" i="3" a="1"/>
  <c r="T87" i="3" s="1"/>
  <c r="T88" i="3" a="1"/>
  <c r="T88" i="3" s="1"/>
  <c r="T89" i="3" a="1"/>
  <c r="T89" i="3" s="1"/>
  <c r="T90" i="3" a="1"/>
  <c r="T90" i="3" s="1"/>
  <c r="T91" i="3" a="1"/>
  <c r="T91" i="3" s="1"/>
  <c r="T96" i="3" a="1"/>
  <c r="T96" i="3" s="1"/>
  <c r="T97" i="3" a="1"/>
  <c r="T97" i="3" s="1"/>
  <c r="T98" i="3" a="1"/>
  <c r="T98" i="3" s="1"/>
  <c r="T102" i="3" a="1"/>
  <c r="T102" i="3" s="1"/>
  <c r="AC102" i="3" a="1"/>
  <c r="AC102" i="3" s="1"/>
  <c r="T103" i="3" a="1"/>
  <c r="T103" i="3" s="1"/>
  <c r="AC103" i="3" a="1"/>
  <c r="AC103" i="3" s="1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K41" i="3" a="1"/>
  <c r="BK41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E29" i="3"/>
  <c r="H59" i="3"/>
  <c r="E34" i="3"/>
  <c r="E7" i="3"/>
  <c r="E60" i="3"/>
  <c r="H31" i="3"/>
  <c r="H7" i="3"/>
  <c r="H57" i="3"/>
  <c r="E33" i="3"/>
  <c r="E9" i="3"/>
  <c r="H60" i="3"/>
  <c r="H34" i="3"/>
  <c r="E8" i="3"/>
  <c r="H58" i="3"/>
  <c r="H33" i="3"/>
  <c r="E14" i="3"/>
  <c r="E57" i="3"/>
  <c r="E32" i="3"/>
  <c r="H14" i="3"/>
  <c r="H55" i="3"/>
  <c r="E13" i="3"/>
  <c r="E56" i="3"/>
  <c r="H13" i="3"/>
  <c r="H56" i="3"/>
  <c r="E11" i="3"/>
  <c r="E55" i="3"/>
  <c r="H11" i="3"/>
  <c r="H65" i="3"/>
  <c r="E37" i="3"/>
  <c r="E10" i="3"/>
  <c r="E66" i="3"/>
  <c r="H38" i="3"/>
  <c r="H10" i="3"/>
  <c r="H66" i="3"/>
  <c r="H37" i="3"/>
  <c r="E65" i="3"/>
  <c r="E38" i="3"/>
  <c r="H62" i="3"/>
  <c r="E39" i="3"/>
  <c r="E16" i="3"/>
  <c r="E61" i="3"/>
  <c r="H40" i="3"/>
  <c r="H16" i="3"/>
  <c r="H61" i="3"/>
  <c r="H39" i="3"/>
  <c r="E15" i="3"/>
  <c r="E62" i="3"/>
  <c r="E40" i="3"/>
  <c r="H15" i="3"/>
  <c r="H64" i="3"/>
  <c r="E41" i="3"/>
  <c r="E17" i="3"/>
  <c r="E63" i="3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E70" i="3"/>
  <c r="E46" i="3"/>
  <c r="H21" i="3"/>
  <c r="H72" i="3"/>
  <c r="E44" i="3"/>
  <c r="E20" i="3"/>
  <c r="H71" i="3"/>
  <c r="H44" i="3"/>
  <c r="E19" i="3"/>
  <c r="E72" i="3"/>
  <c r="E43" i="3"/>
  <c r="H19" i="3"/>
  <c r="H67" i="3"/>
  <c r="E48" i="3"/>
  <c r="E23" i="3"/>
  <c r="E68" i="3"/>
  <c r="H47" i="3"/>
  <c r="H23" i="3"/>
  <c r="E67" i="3"/>
  <c r="E47" i="3"/>
  <c r="H24" i="3"/>
  <c r="H76" i="3"/>
  <c r="E49" i="3"/>
  <c r="E25" i="3"/>
  <c r="E75" i="3"/>
  <c r="H50" i="3"/>
  <c r="H25" i="3"/>
  <c r="H75" i="3"/>
  <c r="H49" i="3"/>
  <c r="E26" i="3"/>
  <c r="E76" i="3"/>
  <c r="E50" i="3"/>
  <c r="H26" i="3"/>
  <c r="E78" i="3"/>
  <c r="H54" i="3"/>
  <c r="H29" i="3"/>
  <c r="H78" i="3"/>
  <c r="H53" i="3"/>
  <c r="E30" i="3"/>
  <c r="E77" i="3"/>
  <c r="E54" i="3"/>
  <c r="H30" i="3"/>
  <c r="H73" i="3"/>
  <c r="E51" i="3"/>
  <c r="E28" i="3"/>
  <c r="E74" i="3"/>
  <c r="H52" i="3"/>
  <c r="H28" i="3"/>
  <c r="H74" i="3"/>
  <c r="H51" i="3"/>
  <c r="E27" i="3"/>
  <c r="E73" i="3"/>
  <c r="E52" i="3"/>
  <c r="H27" i="3"/>
  <c r="E71" i="3"/>
  <c r="H43" i="3"/>
  <c r="H20" i="3"/>
  <c r="E59" i="3"/>
  <c r="E31" i="3"/>
  <c r="E58" i="3"/>
  <c r="H32" i="3"/>
  <c r="E69" i="3"/>
  <c r="H46" i="3"/>
  <c r="H68" i="3"/>
  <c r="H48" i="3"/>
  <c r="E24" i="3"/>
  <c r="E12" i="3"/>
  <c r="H8" i="3"/>
  <c r="H22" i="3"/>
  <c r="H12" i="3"/>
  <c r="E22" i="3"/>
  <c r="H9" i="3"/>
  <c r="D7" i="3"/>
  <c r="S12" i="3" l="1"/>
  <c r="S27" i="3"/>
  <c r="S74" i="3"/>
  <c r="S28" i="3"/>
  <c r="T28" i="3" s="1"/>
  <c r="S51" i="3"/>
  <c r="S30" i="3"/>
  <c r="T30" i="3" s="1"/>
  <c r="S78" i="3"/>
  <c r="S26" i="3"/>
  <c r="T26" i="3" s="1"/>
  <c r="S75" i="3"/>
  <c r="S25" i="3"/>
  <c r="T25" i="3" s="1"/>
  <c r="S49" i="3"/>
  <c r="T49" i="3" s="1"/>
  <c r="S68" i="3"/>
  <c r="S23" i="3"/>
  <c r="S48" i="3"/>
  <c r="S43" i="3"/>
  <c r="S19" i="3"/>
  <c r="S20" i="3"/>
  <c r="S44" i="3"/>
  <c r="T44" i="3" s="1"/>
  <c r="S46" i="3"/>
  <c r="T46" i="3" s="1"/>
  <c r="S21" i="3"/>
  <c r="S45" i="3"/>
  <c r="T45" i="3" s="1"/>
  <c r="S18" i="3"/>
  <c r="T18" i="3" s="1"/>
  <c r="S63" i="3"/>
  <c r="S17" i="3"/>
  <c r="T17" i="3" s="1"/>
  <c r="S41" i="3"/>
  <c r="T41" i="3" s="1"/>
  <c r="S15" i="3"/>
  <c r="S61" i="3"/>
  <c r="S16" i="3"/>
  <c r="S39" i="3"/>
  <c r="T39" i="3" s="1"/>
  <c r="S66" i="3"/>
  <c r="S10" i="3"/>
  <c r="T10" i="3" s="1"/>
  <c r="S37" i="3"/>
  <c r="S11" i="3"/>
  <c r="T11" i="3" s="1"/>
  <c r="S56" i="3"/>
  <c r="S13" i="3"/>
  <c r="T13" i="3" s="1"/>
  <c r="S32" i="3"/>
  <c r="S14" i="3"/>
  <c r="S8" i="3"/>
  <c r="T8" i="3" s="1"/>
  <c r="S9" i="3"/>
  <c r="T9" i="3" s="1"/>
  <c r="S33" i="3"/>
  <c r="T33" i="3" s="1"/>
  <c r="S60" i="3"/>
  <c r="S34" i="3"/>
  <c r="T34" i="3" s="1"/>
  <c r="S29" i="3"/>
  <c r="T29" i="3" s="1"/>
  <c r="S53" i="3"/>
  <c r="S35" i="3"/>
  <c r="T35" i="3" s="1"/>
  <c r="S7" i="3"/>
  <c r="T7" i="3" s="1"/>
  <c r="S22" i="3"/>
  <c r="T12" i="3"/>
  <c r="S24" i="3"/>
  <c r="S69" i="3"/>
  <c r="S58" i="3"/>
  <c r="S31" i="3"/>
  <c r="S59" i="3"/>
  <c r="S71" i="3"/>
  <c r="S52" i="3"/>
  <c r="S73" i="3"/>
  <c r="T27" i="3"/>
  <c r="T74" i="3"/>
  <c r="T51" i="3"/>
  <c r="S54" i="3"/>
  <c r="S77" i="3"/>
  <c r="T78" i="3"/>
  <c r="S50" i="3"/>
  <c r="S76" i="3"/>
  <c r="T75" i="3"/>
  <c r="S47" i="3"/>
  <c r="S67" i="3"/>
  <c r="T68" i="3"/>
  <c r="T48" i="3"/>
  <c r="T43" i="3"/>
  <c r="S72" i="3"/>
  <c r="T20" i="3"/>
  <c r="S70" i="3"/>
  <c r="S42" i="3"/>
  <c r="S64" i="3"/>
  <c r="T63" i="3"/>
  <c r="S40" i="3"/>
  <c r="S62" i="3"/>
  <c r="T15" i="3"/>
  <c r="T61" i="3"/>
  <c r="T16" i="3"/>
  <c r="S38" i="3"/>
  <c r="S65" i="3"/>
  <c r="T66" i="3"/>
  <c r="T37" i="3"/>
  <c r="S55" i="3"/>
  <c r="T56" i="3"/>
  <c r="T32" i="3"/>
  <c r="S57" i="3"/>
  <c r="T14" i="3"/>
  <c r="T60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BS29" i="3"/>
  <c r="BS20" i="3"/>
  <c r="T53" i="3" l="1"/>
  <c r="T23" i="3"/>
  <c r="T21" i="3"/>
  <c r="T19" i="3"/>
  <c r="T36" i="3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BS21" i="3"/>
  <c r="BZ17" i="3" s="1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BS28" i="3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BZ32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BZ65" i="3"/>
  <c r="CG56" i="3" s="1"/>
  <c r="CN38" i="3"/>
  <c r="CN49" i="3"/>
  <c r="BS37" i="3"/>
  <c r="BS36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BZ3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CG24" i="3"/>
  <c r="CG23" i="3"/>
  <c r="CN37" i="3" s="1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CN48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D58" i="3" s="1"/>
  <c r="AR59" i="3"/>
  <c r="AR56" i="3"/>
  <c r="AP42" i="3"/>
  <c r="AR38" i="3" s="1"/>
  <c r="AP66" i="3"/>
  <c r="AR62" i="3" s="1"/>
  <c r="AP48" i="3"/>
  <c r="AR44" i="3" s="1"/>
  <c r="AP18" i="3"/>
  <c r="AR14" i="3" s="1"/>
  <c r="AP54" i="3"/>
  <c r="AR50" i="3" s="1"/>
  <c r="AD57" i="3" l="1"/>
  <c r="AR69" i="3"/>
  <c r="AR71" i="3"/>
  <c r="AR70" i="3"/>
  <c r="AR27" i="3"/>
  <c r="AR28" i="3"/>
  <c r="AR29" i="3"/>
  <c r="AR21" i="3"/>
  <c r="AR9" i="3"/>
  <c r="AR10" i="3"/>
  <c r="AR11" i="3"/>
  <c r="AR22" i="3"/>
  <c r="AR76" i="3"/>
  <c r="AR77" i="3"/>
  <c r="AR75" i="3"/>
  <c r="AR34" i="3"/>
  <c r="AR35" i="3"/>
  <c r="AR40" i="3"/>
  <c r="AR33" i="3"/>
  <c r="AR65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N58" i="3" l="1"/>
  <c r="AD9" i="3"/>
  <c r="AD68" i="3"/>
  <c r="AD70" i="3"/>
  <c r="AD71" i="3"/>
  <c r="AD69" i="3"/>
  <c r="AD75" i="3"/>
  <c r="AD28" i="3"/>
  <c r="AD8" i="3"/>
  <c r="AD29" i="3"/>
  <c r="AD26" i="3"/>
  <c r="J27" i="3" s="1"/>
  <c r="AS26" i="3" s="1"/>
  <c r="BL34" i="3" s="1"/>
  <c r="AD27" i="3"/>
  <c r="AD10" i="3"/>
  <c r="AD11" i="3"/>
  <c r="AD34" i="3"/>
  <c r="AD22" i="3"/>
  <c r="AD15" i="3"/>
  <c r="AD62" i="3"/>
  <c r="N63" i="3" s="1"/>
  <c r="AD33" i="3"/>
  <c r="AD77" i="3"/>
  <c r="AD76" i="3"/>
  <c r="AD41" i="3"/>
  <c r="AD63" i="3"/>
  <c r="AD74" i="3"/>
  <c r="AD32" i="3"/>
  <c r="L33" i="3" s="1"/>
  <c r="L59" i="3"/>
  <c r="AD47" i="3"/>
  <c r="AD20" i="3"/>
  <c r="AD53" i="3"/>
  <c r="M59" i="3"/>
  <c r="AD21" i="3"/>
  <c r="L58" i="3"/>
  <c r="M58" i="3"/>
  <c r="O60" i="3"/>
  <c r="AD35" i="3"/>
  <c r="AD14" i="3"/>
  <c r="AD39" i="3"/>
  <c r="AD44" i="3"/>
  <c r="L57" i="3"/>
  <c r="AD64" i="3"/>
  <c r="AD16" i="3"/>
  <c r="L60" i="3"/>
  <c r="J57" i="3"/>
  <c r="AS56" i="3" s="1"/>
  <c r="BL14" i="3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BS45" i="3" s="1"/>
  <c r="BZ48" i="3" s="1"/>
  <c r="O59" i="3"/>
  <c r="AD45" i="3"/>
  <c r="AD40" i="3"/>
  <c r="AD52" i="3"/>
  <c r="AD38" i="3"/>
  <c r="AD50" i="3"/>
  <c r="N59" i="3"/>
  <c r="AD17" i="3"/>
  <c r="N71" i="3" l="1"/>
  <c r="N12" i="3"/>
  <c r="N45" i="3"/>
  <c r="J69" i="3"/>
  <c r="AS68" i="3" s="1"/>
  <c r="BL70" i="3" s="1"/>
  <c r="M76" i="3"/>
  <c r="M51" i="3"/>
  <c r="L71" i="3"/>
  <c r="M71" i="3"/>
  <c r="O70" i="3"/>
  <c r="L70" i="3"/>
  <c r="M69" i="3"/>
  <c r="N69" i="3"/>
  <c r="O69" i="3"/>
  <c r="M70" i="3"/>
  <c r="L69" i="3"/>
  <c r="N70" i="3"/>
  <c r="J70" i="3"/>
  <c r="AS69" i="3" s="1"/>
  <c r="BL26" i="3" s="1"/>
  <c r="O72" i="3"/>
  <c r="J71" i="3"/>
  <c r="AE90" i="3" s="1"/>
  <c r="AQ90" i="3" s="1"/>
  <c r="N72" i="3"/>
  <c r="M72" i="3"/>
  <c r="J72" i="3"/>
  <c r="L72" i="3"/>
  <c r="O71" i="3"/>
  <c r="L9" i="3"/>
  <c r="N21" i="3"/>
  <c r="M27" i="3"/>
  <c r="N10" i="3"/>
  <c r="J9" i="3"/>
  <c r="AS8" i="3" s="1"/>
  <c r="BL50" i="3" s="1"/>
  <c r="M12" i="3"/>
  <c r="M9" i="3"/>
  <c r="J12" i="3"/>
  <c r="L29" i="3"/>
  <c r="L11" i="3"/>
  <c r="O28" i="3"/>
  <c r="O12" i="3"/>
  <c r="M10" i="3"/>
  <c r="M30" i="3"/>
  <c r="M28" i="3"/>
  <c r="N30" i="3"/>
  <c r="O27" i="3"/>
  <c r="O10" i="3"/>
  <c r="L12" i="3"/>
  <c r="J29" i="3"/>
  <c r="AE83" i="3" s="1"/>
  <c r="AQ83" i="3" s="1"/>
  <c r="N9" i="3"/>
  <c r="O9" i="3"/>
  <c r="J11" i="3"/>
  <c r="AE80" i="3" s="1"/>
  <c r="AQ80" i="3" s="1"/>
  <c r="L27" i="3"/>
  <c r="O11" i="3"/>
  <c r="N29" i="3"/>
  <c r="J30" i="3"/>
  <c r="M29" i="3"/>
  <c r="L30" i="3"/>
  <c r="N27" i="3"/>
  <c r="N28" i="3"/>
  <c r="J28" i="3"/>
  <c r="AS27" i="3" s="1"/>
  <c r="BL62" i="3" s="1"/>
  <c r="BS61" i="3" s="1"/>
  <c r="O35" i="3"/>
  <c r="O30" i="3"/>
  <c r="L10" i="3"/>
  <c r="O29" i="3"/>
  <c r="M11" i="3"/>
  <c r="L28" i="3"/>
  <c r="J10" i="3"/>
  <c r="AS9" i="3" s="1"/>
  <c r="BL18" i="3" s="1"/>
  <c r="N11" i="3"/>
  <c r="L35" i="3"/>
  <c r="J18" i="3"/>
  <c r="M63" i="3"/>
  <c r="L63" i="3"/>
  <c r="L65" i="3"/>
  <c r="J63" i="3"/>
  <c r="AS62" i="3" s="1"/>
  <c r="BL58" i="3" s="1"/>
  <c r="BS60" i="3" s="1"/>
  <c r="BZ64" i="3" s="1"/>
  <c r="O63" i="3"/>
  <c r="J65" i="3"/>
  <c r="AE89" i="3" s="1"/>
  <c r="AQ89" i="3" s="1"/>
  <c r="O65" i="3"/>
  <c r="N77" i="3"/>
  <c r="N65" i="3"/>
  <c r="M65" i="3"/>
  <c r="P59" i="3"/>
  <c r="N35" i="3"/>
  <c r="M36" i="3"/>
  <c r="L78" i="3"/>
  <c r="O36" i="3"/>
  <c r="M78" i="3"/>
  <c r="J78" i="3"/>
  <c r="M75" i="3"/>
  <c r="J36" i="3"/>
  <c r="K58" i="3"/>
  <c r="N36" i="3"/>
  <c r="M66" i="3"/>
  <c r="J23" i="3"/>
  <c r="AE82" i="3" s="1"/>
  <c r="AQ82" i="3" s="1"/>
  <c r="N76" i="3"/>
  <c r="M34" i="3"/>
  <c r="N75" i="3"/>
  <c r="J75" i="3"/>
  <c r="AS74" i="3" s="1"/>
  <c r="BL54" i="3" s="1"/>
  <c r="J77" i="3"/>
  <c r="AE91" i="3" s="1"/>
  <c r="AQ91" i="3" s="1"/>
  <c r="O75" i="3"/>
  <c r="L75" i="3"/>
  <c r="L36" i="3"/>
  <c r="L21" i="3"/>
  <c r="K59" i="3"/>
  <c r="J76" i="3"/>
  <c r="AS75" i="3" s="1"/>
  <c r="BL27" i="3" s="1"/>
  <c r="O76" i="3"/>
  <c r="J33" i="3"/>
  <c r="AS32" i="3" s="1"/>
  <c r="BL10" i="3" s="1"/>
  <c r="J21" i="3"/>
  <c r="AS20" i="3" s="1"/>
  <c r="BL42" i="3" s="1"/>
  <c r="BS44" i="3" s="1"/>
  <c r="M77" i="3"/>
  <c r="O77" i="3"/>
  <c r="L77" i="3"/>
  <c r="O78" i="3"/>
  <c r="J35" i="3"/>
  <c r="AE84" i="3" s="1"/>
  <c r="AQ84" i="3" s="1"/>
  <c r="J22" i="3"/>
  <c r="AS21" i="3" s="1"/>
  <c r="BL23" i="3" s="1"/>
  <c r="N24" i="3"/>
  <c r="N78" i="3"/>
  <c r="L76" i="3"/>
  <c r="O33" i="3"/>
  <c r="M35" i="3"/>
  <c r="M33" i="3"/>
  <c r="P33" i="3" s="1"/>
  <c r="N33" i="3"/>
  <c r="O21" i="3"/>
  <c r="L24" i="3"/>
  <c r="N40" i="3"/>
  <c r="M54" i="3"/>
  <c r="L45" i="3"/>
  <c r="O45" i="3"/>
  <c r="M45" i="3"/>
  <c r="J45" i="3"/>
  <c r="AS44" i="3" s="1"/>
  <c r="BL38" i="3" s="1"/>
  <c r="AI88" i="3"/>
  <c r="J48" i="3"/>
  <c r="L66" i="3"/>
  <c r="N54" i="3"/>
  <c r="M21" i="3"/>
  <c r="O22" i="3"/>
  <c r="J54" i="3"/>
  <c r="N22" i="3"/>
  <c r="J51" i="3"/>
  <c r="AS50" i="3" s="1"/>
  <c r="BL30" i="3" s="1"/>
  <c r="N51" i="3"/>
  <c r="L51" i="3"/>
  <c r="M23" i="3"/>
  <c r="O51" i="3"/>
  <c r="O23" i="3"/>
  <c r="N23" i="3"/>
  <c r="J34" i="3"/>
  <c r="AS33" i="3" s="1"/>
  <c r="BL46" i="3" s="1"/>
  <c r="P58" i="3"/>
  <c r="N16" i="3"/>
  <c r="O16" i="3"/>
  <c r="M18" i="3"/>
  <c r="AN88" i="3"/>
  <c r="M24" i="3"/>
  <c r="M22" i="3"/>
  <c r="M39" i="3"/>
  <c r="O39" i="3"/>
  <c r="L40" i="3"/>
  <c r="L42" i="3"/>
  <c r="M40" i="3"/>
  <c r="J16" i="3"/>
  <c r="AS15" i="3" s="1"/>
  <c r="BL19" i="3" s="1"/>
  <c r="L39" i="3"/>
  <c r="L34" i="3"/>
  <c r="M16" i="3"/>
  <c r="O40" i="3"/>
  <c r="O48" i="3"/>
  <c r="J39" i="3"/>
  <c r="AS38" i="3" s="1"/>
  <c r="BL22" i="3" s="1"/>
  <c r="J24" i="3"/>
  <c r="AH88" i="3"/>
  <c r="N39" i="3"/>
  <c r="J40" i="3"/>
  <c r="AS39" i="3" s="1"/>
  <c r="BL43" i="3" s="1"/>
  <c r="O24" i="3"/>
  <c r="L18" i="3"/>
  <c r="AF88" i="3"/>
  <c r="L15" i="3"/>
  <c r="N34" i="3"/>
  <c r="L22" i="3"/>
  <c r="N18" i="3"/>
  <c r="N52" i="3"/>
  <c r="O34" i="3"/>
  <c r="M42" i="3"/>
  <c r="L16" i="3"/>
  <c r="L23" i="3"/>
  <c r="O64" i="3"/>
  <c r="L53" i="3"/>
  <c r="N17" i="3"/>
  <c r="N15" i="3"/>
  <c r="J64" i="3"/>
  <c r="AS63" i="3" s="1"/>
  <c r="BL31" i="3" s="1"/>
  <c r="N64" i="3"/>
  <c r="J53" i="3"/>
  <c r="AE87" i="3" s="1"/>
  <c r="AQ87" i="3" s="1"/>
  <c r="L17" i="3"/>
  <c r="M64" i="3"/>
  <c r="J52" i="3"/>
  <c r="AS51" i="3" s="1"/>
  <c r="BL59" i="3" s="1"/>
  <c r="O17" i="3"/>
  <c r="J66" i="3"/>
  <c r="L64" i="3"/>
  <c r="O53" i="3"/>
  <c r="J17" i="3"/>
  <c r="AE81" i="3" s="1"/>
  <c r="AQ81" i="3" s="1"/>
  <c r="O66" i="3"/>
  <c r="O52" i="3"/>
  <c r="N66" i="3"/>
  <c r="AL88" i="3"/>
  <c r="M52" i="3"/>
  <c r="AJ88" i="3"/>
  <c r="L54" i="3"/>
  <c r="O54" i="3"/>
  <c r="AG88" i="3"/>
  <c r="K57" i="3"/>
  <c r="L41" i="3"/>
  <c r="M48" i="3"/>
  <c r="J42" i="3"/>
  <c r="O46" i="3"/>
  <c r="L48" i="3"/>
  <c r="N41" i="3"/>
  <c r="L52" i="3"/>
  <c r="O18" i="3"/>
  <c r="L47" i="3"/>
  <c r="O41" i="3"/>
  <c r="M17" i="3"/>
  <c r="N46" i="3"/>
  <c r="J41" i="3"/>
  <c r="AE85" i="3" s="1"/>
  <c r="AQ85" i="3" s="1"/>
  <c r="M47" i="3"/>
  <c r="M53" i="3"/>
  <c r="N53" i="3"/>
  <c r="O47" i="3"/>
  <c r="J47" i="3"/>
  <c r="AE86" i="3" s="1"/>
  <c r="AQ86" i="3" s="1"/>
  <c r="M41" i="3"/>
  <c r="P57" i="3"/>
  <c r="L46" i="3"/>
  <c r="O42" i="3"/>
  <c r="N47" i="3"/>
  <c r="N48" i="3"/>
  <c r="J46" i="3"/>
  <c r="AS45" i="3" s="1"/>
  <c r="BL63" i="3" s="1"/>
  <c r="M46" i="3"/>
  <c r="AT88" i="3"/>
  <c r="N42" i="3"/>
  <c r="P60" i="3"/>
  <c r="K60" i="3"/>
  <c r="M15" i="3"/>
  <c r="O15" i="3"/>
  <c r="J15" i="3"/>
  <c r="AS14" i="3" s="1"/>
  <c r="BL66" i="3" s="1"/>
  <c r="P76" i="3" l="1"/>
  <c r="P71" i="3"/>
  <c r="K71" i="3"/>
  <c r="P69" i="3"/>
  <c r="AG90" i="3"/>
  <c r="AT90" i="3"/>
  <c r="K70" i="3"/>
  <c r="AH90" i="3"/>
  <c r="AL90" i="3"/>
  <c r="K69" i="3"/>
  <c r="AF90" i="3"/>
  <c r="AJ90" i="3"/>
  <c r="AN90" i="3"/>
  <c r="P72" i="3"/>
  <c r="P70" i="3"/>
  <c r="AI90" i="3"/>
  <c r="K72" i="3"/>
  <c r="P12" i="3"/>
  <c r="K9" i="3"/>
  <c r="P9" i="3"/>
  <c r="P11" i="3"/>
  <c r="AG80" i="3"/>
  <c r="K12" i="3"/>
  <c r="AF80" i="3"/>
  <c r="AT80" i="3"/>
  <c r="P27" i="3"/>
  <c r="P10" i="3"/>
  <c r="K27" i="3"/>
  <c r="K30" i="3"/>
  <c r="K11" i="3"/>
  <c r="P28" i="3"/>
  <c r="AT83" i="3"/>
  <c r="AN83" i="3"/>
  <c r="K29" i="3"/>
  <c r="K28" i="3"/>
  <c r="AL83" i="3"/>
  <c r="AJ83" i="3"/>
  <c r="AI83" i="3"/>
  <c r="AH83" i="3"/>
  <c r="AG83" i="3"/>
  <c r="AF83" i="3"/>
  <c r="P30" i="3"/>
  <c r="AI89" i="3"/>
  <c r="AJ80" i="3"/>
  <c r="P75" i="3"/>
  <c r="AL80" i="3"/>
  <c r="AJ89" i="3"/>
  <c r="AN80" i="3"/>
  <c r="AI80" i="3"/>
  <c r="P29" i="3"/>
  <c r="AH80" i="3"/>
  <c r="K10" i="3"/>
  <c r="K51" i="3"/>
  <c r="P35" i="3"/>
  <c r="AJ84" i="3"/>
  <c r="AI84" i="3"/>
  <c r="AH84" i="3"/>
  <c r="AL89" i="3"/>
  <c r="AH89" i="3"/>
  <c r="K63" i="3"/>
  <c r="P63" i="3"/>
  <c r="P65" i="3"/>
  <c r="AT89" i="3"/>
  <c r="AN89" i="3"/>
  <c r="AG89" i="3"/>
  <c r="AF84" i="3"/>
  <c r="AF89" i="3"/>
  <c r="AG84" i="3"/>
  <c r="P66" i="3"/>
  <c r="P36" i="3"/>
  <c r="K65" i="3"/>
  <c r="K35" i="3"/>
  <c r="P78" i="3"/>
  <c r="K33" i="3"/>
  <c r="K36" i="3"/>
  <c r="AF82" i="3"/>
  <c r="K78" i="3"/>
  <c r="AT82" i="3"/>
  <c r="AL82" i="3"/>
  <c r="AI82" i="3"/>
  <c r="AN91" i="3"/>
  <c r="P77" i="3"/>
  <c r="AH82" i="3"/>
  <c r="AL91" i="3"/>
  <c r="AN82" i="3"/>
  <c r="AJ82" i="3"/>
  <c r="AT91" i="3"/>
  <c r="AG82" i="3"/>
  <c r="AI91" i="3"/>
  <c r="K77" i="3"/>
  <c r="K24" i="3"/>
  <c r="K48" i="3"/>
  <c r="P51" i="3"/>
  <c r="AL87" i="3"/>
  <c r="K45" i="3"/>
  <c r="AJ91" i="3"/>
  <c r="P21" i="3"/>
  <c r="P18" i="3"/>
  <c r="AT84" i="3"/>
  <c r="K76" i="3"/>
  <c r="AG91" i="3"/>
  <c r="P64" i="3"/>
  <c r="K75" i="3"/>
  <c r="AH91" i="3"/>
  <c r="AN84" i="3"/>
  <c r="AF91" i="3"/>
  <c r="AL84" i="3"/>
  <c r="AH85" i="3"/>
  <c r="P54" i="3"/>
  <c r="K21" i="3"/>
  <c r="K54" i="3"/>
  <c r="P45" i="3"/>
  <c r="AI81" i="3"/>
  <c r="AG85" i="3"/>
  <c r="K53" i="3"/>
  <c r="AF85" i="3"/>
  <c r="AF81" i="3"/>
  <c r="AG81" i="3"/>
  <c r="P41" i="3"/>
  <c r="K18" i="3"/>
  <c r="K66" i="3"/>
  <c r="K22" i="3"/>
  <c r="AL85" i="3"/>
  <c r="AJ85" i="3"/>
  <c r="AI85" i="3"/>
  <c r="P52" i="3"/>
  <c r="P24" i="3"/>
  <c r="K15" i="3"/>
  <c r="P22" i="3"/>
  <c r="AT81" i="3"/>
  <c r="K23" i="3"/>
  <c r="K42" i="3"/>
  <c r="AL81" i="3"/>
  <c r="P16" i="3"/>
  <c r="K40" i="3"/>
  <c r="P47" i="3"/>
  <c r="AJ81" i="3"/>
  <c r="AT85" i="3"/>
  <c r="P46" i="3"/>
  <c r="P42" i="3"/>
  <c r="P23" i="3"/>
  <c r="P40" i="3"/>
  <c r="K64" i="3"/>
  <c r="P15" i="3"/>
  <c r="K34" i="3"/>
  <c r="P39" i="3"/>
  <c r="K16" i="3"/>
  <c r="P53" i="3"/>
  <c r="AH87" i="3"/>
  <c r="AH81" i="3"/>
  <c r="AG86" i="3"/>
  <c r="AG87" i="3"/>
  <c r="AJ87" i="3"/>
  <c r="P34" i="3"/>
  <c r="K39" i="3"/>
  <c r="K52" i="3"/>
  <c r="AN86" i="3"/>
  <c r="AL86" i="3"/>
  <c r="AF86" i="3"/>
  <c r="P17" i="3"/>
  <c r="AT87" i="3"/>
  <c r="AN81" i="3"/>
  <c r="AN85" i="3"/>
  <c r="AN87" i="3"/>
  <c r="AJ86" i="3"/>
  <c r="K47" i="3"/>
  <c r="AI86" i="3"/>
  <c r="AH86" i="3"/>
  <c r="AI87" i="3"/>
  <c r="K41" i="3"/>
  <c r="AF87" i="3"/>
  <c r="AT86" i="3"/>
  <c r="K46" i="3"/>
  <c r="K17" i="3"/>
  <c r="P48" i="3"/>
  <c r="AG92" i="3" l="1"/>
  <c r="AL92" i="3"/>
  <c r="AM88" i="3" s="1"/>
  <c r="AJ92" i="3"/>
  <c r="AN92" i="3"/>
  <c r="AH92" i="3"/>
  <c r="AF92" i="3"/>
  <c r="AI92" i="3"/>
  <c r="AS92" i="3"/>
  <c r="AM80" i="3" l="1"/>
  <c r="AM89" i="3"/>
  <c r="AM90" i="3"/>
  <c r="AM82" i="3"/>
  <c r="AM91" i="3"/>
  <c r="AM83" i="3"/>
  <c r="AM84" i="3"/>
  <c r="AM85" i="3"/>
  <c r="AM86" i="3"/>
  <c r="AM87" i="3"/>
  <c r="AM81" i="3"/>
  <c r="S85" i="3"/>
  <c r="T85" i="3" s="1" a="1"/>
  <c r="T85" i="3" s="1"/>
  <c r="BS13" i="3"/>
  <c r="S84" i="3"/>
  <c r="T84" i="3" s="1" a="1"/>
  <c r="T84" i="3" s="1"/>
  <c r="BS12" i="3"/>
  <c r="AM92" i="3" l="1"/>
  <c r="AP87" i="3" s="1"/>
  <c r="BZ16" i="3"/>
  <c r="S95" i="3"/>
  <c r="T95" i="3" s="1" a="1"/>
  <c r="T95" i="3" s="1"/>
  <c r="AP91" i="3" l="1"/>
  <c r="AP85" i="3"/>
  <c r="AP83" i="3"/>
  <c r="AP82" i="3"/>
  <c r="AP88" i="3"/>
  <c r="AP90" i="3"/>
  <c r="AP86" i="3"/>
  <c r="AP81" i="3"/>
  <c r="AP89" i="3"/>
  <c r="AP84" i="3"/>
  <c r="AP80" i="3"/>
  <c r="AD82" i="3" l="1"/>
  <c r="AS82" i="3" s="1"/>
  <c r="AD89" i="3"/>
  <c r="AS89" i="3" s="1"/>
  <c r="AD86" i="3"/>
  <c r="AS86" i="3" s="1"/>
  <c r="AD84" i="3"/>
  <c r="AS84" i="3" s="1"/>
  <c r="AD85" i="3"/>
  <c r="AS85" i="3" s="1"/>
  <c r="AD81" i="3"/>
  <c r="AS81" i="3" s="1"/>
  <c r="AD83" i="3"/>
  <c r="AS83" i="3" s="1"/>
  <c r="AD91" i="3"/>
  <c r="AS91" i="3" s="1"/>
  <c r="AD87" i="3"/>
  <c r="AS87" i="3" s="1"/>
  <c r="AD80" i="3"/>
  <c r="AD88" i="3"/>
  <c r="AS88" i="3" s="1"/>
  <c r="AD90" i="3"/>
  <c r="AS90" i="3" s="1"/>
  <c r="N84" i="3" l="1"/>
  <c r="O87" i="3"/>
  <c r="N87" i="3"/>
  <c r="L92" i="3"/>
  <c r="N91" i="3"/>
  <c r="AS80" i="3"/>
  <c r="J92" i="3"/>
  <c r="O84" i="3"/>
  <c r="M81" i="3"/>
  <c r="J91" i="3"/>
  <c r="M92" i="3"/>
  <c r="M82" i="3"/>
  <c r="O81" i="3"/>
  <c r="O83" i="3"/>
  <c r="M86" i="3"/>
  <c r="M83" i="3"/>
  <c r="L83" i="3"/>
  <c r="M88" i="3"/>
  <c r="N88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L90" i="3"/>
  <c r="J90" i="3"/>
  <c r="O88" i="3"/>
  <c r="O91" i="3"/>
  <c r="J82" i="3"/>
  <c r="O82" i="3"/>
  <c r="L81" i="3"/>
  <c r="N83" i="3"/>
  <c r="J88" i="3"/>
  <c r="J84" i="3"/>
  <c r="M90" i="3"/>
  <c r="N81" i="3"/>
  <c r="N82" i="3"/>
  <c r="O89" i="3"/>
  <c r="L91" i="3"/>
  <c r="L85" i="3"/>
  <c r="J83" i="3"/>
  <c r="L84" i="3"/>
  <c r="J85" i="3"/>
  <c r="M89" i="3"/>
  <c r="N92" i="3"/>
  <c r="O92" i="3"/>
  <c r="J87" i="3"/>
  <c r="L89" i="3"/>
  <c r="M84" i="3"/>
  <c r="L82" i="3"/>
  <c r="M87" i="3"/>
  <c r="L86" i="3"/>
  <c r="M91" i="3"/>
  <c r="L88" i="3"/>
  <c r="L87" i="3"/>
  <c r="J81" i="3"/>
  <c r="O90" i="3"/>
  <c r="J86" i="3"/>
  <c r="O86" i="3"/>
  <c r="N86" i="3"/>
  <c r="J89" i="3"/>
  <c r="N85" i="3"/>
  <c r="O85" i="3"/>
  <c r="M85" i="3"/>
  <c r="N89" i="3"/>
  <c r="N90" i="3"/>
  <c r="P85" i="3" l="1"/>
  <c r="P81" i="3"/>
  <c r="P83" i="3"/>
  <c r="K83" i="3"/>
  <c r="P91" i="3"/>
  <c r="P92" i="3"/>
  <c r="K82" i="3"/>
  <c r="K81" i="3"/>
  <c r="K92" i="3"/>
  <c r="K87" i="3"/>
  <c r="K91" i="3"/>
  <c r="G3" i="4"/>
  <c r="BL11" i="3" s="1"/>
  <c r="H3" i="4"/>
  <c r="BL39" i="3" s="1"/>
  <c r="E3" i="4"/>
  <c r="I3" i="4"/>
  <c r="BL15" i="3" s="1"/>
  <c r="K3" i="4"/>
  <c r="J3" i="4"/>
  <c r="D3" i="4"/>
  <c r="P90" i="3"/>
  <c r="B3" i="4"/>
  <c r="P88" i="3"/>
  <c r="P84" i="3"/>
  <c r="K90" i="3"/>
  <c r="K86" i="3"/>
  <c r="P82" i="3"/>
  <c r="P87" i="3"/>
  <c r="P89" i="3"/>
  <c r="P86" i="3"/>
  <c r="K84" i="3"/>
  <c r="K89" i="3"/>
  <c r="K85" i="3"/>
  <c r="K88" i="3"/>
  <c r="BS53" i="3"/>
  <c r="BL55" i="3"/>
  <c r="BS52" i="3"/>
  <c r="BZ49" i="3" s="1"/>
  <c r="CG55" i="3" s="1"/>
  <c r="BL51" i="3"/>
  <c r="BS69" i="3"/>
  <c r="BL71" i="3"/>
  <c r="BS68" i="3"/>
  <c r="BL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<sst xmlns="http://schemas.openxmlformats.org/spreadsheetml/2006/main" count="9786" uniqueCount="3698">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</sst>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4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64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29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0000FF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ColWidth="14" defaultRowHeight="15" x14ac:dyDescent="0.25"/>
  <cols>
    <col min="1" max="1" width="24.140625" bestFit="1" customWidth="1"/>
    <col min="2" max="42" width="14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5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5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5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5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5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5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5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5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5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5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5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5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5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5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5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5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5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5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5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5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5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5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5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5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5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5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5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5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5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5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5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5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5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5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5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5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5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5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5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5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5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5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5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5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5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5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5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5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5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5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5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5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5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5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5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5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5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5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5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5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5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5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5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5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5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5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5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5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5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5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5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5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5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5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5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5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5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5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5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5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5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5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5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5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5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5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5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5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5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5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5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5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5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5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5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5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5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5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5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5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5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5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5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5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5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5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5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5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5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5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5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5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5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5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5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5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5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5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5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5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5">
      <c r="A145" s="1"/>
    </row>
    <row r="146" spans="1:42" x14ac:dyDescent="0.25">
      <c r="A146" s="1"/>
    </row>
    <row r="147" spans="1:42" x14ac:dyDescent="0.25">
      <c r="A147" s="1"/>
    </row>
    <row r="148" spans="1:42" x14ac:dyDescent="0.25">
      <c r="A148" s="1"/>
    </row>
    <row r="149" spans="1:42" x14ac:dyDescent="0.25">
      <c r="A149" s="1"/>
    </row>
    <row r="150" spans="1:42" x14ac:dyDescent="0.25">
      <c r="A150" s="1"/>
    </row>
    <row r="151" spans="1:42" x14ac:dyDescent="0.25">
      <c r="A151" s="1"/>
    </row>
    <row r="152" spans="1:42" x14ac:dyDescent="0.25">
      <c r="A152" s="1"/>
    </row>
    <row r="153" spans="1:42" x14ac:dyDescent="0.25">
      <c r="A153" s="1"/>
    </row>
    <row r="154" spans="1:42" x14ac:dyDescent="0.25">
      <c r="A154" s="1"/>
    </row>
    <row r="155" spans="1:42" x14ac:dyDescent="0.25">
      <c r="A155" s="1"/>
    </row>
    <row r="156" spans="1:42" x14ac:dyDescent="0.25">
      <c r="A156" s="1"/>
    </row>
    <row r="157" spans="1:42" x14ac:dyDescent="0.25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defaultColWidth="9.140625" defaultRowHeight="15" x14ac:dyDescent="0.25"/>
  <cols>
    <col min="1" max="1" width="1.140625" style="10" customWidth="1"/>
    <col min="2" max="2" width="18.85546875" style="10" bestFit="1" customWidth="1"/>
    <col min="3" max="3" width="20.28515625" style="10" customWidth="1"/>
    <col min="4" max="4" width="9.140625" style="10"/>
    <col min="5" max="5" width="1.140625" style="10" customWidth="1"/>
    <col min="6" max="6" width="9.140625" style="10"/>
    <col min="7" max="7" width="27.42578125" style="10" bestFit="1" customWidth="1"/>
    <col min="8" max="8" width="2.7109375" style="10" customWidth="1"/>
    <col min="9" max="9" width="1.140625" style="10" customWidth="1"/>
    <col min="10" max="16384" width="9.140625" style="10"/>
  </cols>
  <sheetData>
    <row r="1" spans="2:27" ht="7.5" customHeight="1" x14ac:dyDescent="0.25"/>
    <row r="2" spans="2:27" ht="16.5" thickBot="1" x14ac:dyDescent="0.3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5">
      <c r="B3" s="42"/>
      <c r="C3" s="43"/>
      <c r="D3" s="44"/>
      <c r="F3" s="42"/>
      <c r="G3" s="43"/>
      <c r="H3" s="44"/>
    </row>
    <row r="4" spans="2:27" x14ac:dyDescent="0.25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5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5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5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5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5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5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5">
      <c r="B11" s="54"/>
      <c r="C11" s="43"/>
      <c r="D11" s="44"/>
      <c r="F11" s="51"/>
      <c r="G11" s="52"/>
      <c r="H11" s="53"/>
    </row>
    <row r="12" spans="2:27" ht="15" customHeight="1" x14ac:dyDescent="0.25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5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5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5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5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5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5.75" x14ac:dyDescent="0.25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5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5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5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5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5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5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5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5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5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5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5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5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5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5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5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5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5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5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5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5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5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5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5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5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5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5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5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5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5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5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5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5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5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5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5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5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5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5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5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5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5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5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5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5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5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5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5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5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5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5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5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5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5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5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zoomScaleNormal="100" workbookViewId="0">
      <selection activeCell="G59" sqref="G59"/>
    </sheetView>
  </sheetViews>
  <sheetFormatPr defaultColWidth="9.140625" defaultRowHeight="15" x14ac:dyDescent="0.25"/>
  <cols>
    <col min="1" max="1" width="4.85546875" style="3" customWidth="1"/>
    <col min="2" max="2" width="6.140625" style="3" customWidth="1"/>
    <col min="3" max="3" width="11.7109375" style="3" bestFit="1" customWidth="1"/>
    <col min="4" max="4" width="9" style="4" customWidth="1"/>
    <col min="5" max="5" width="22.42578125" style="5" customWidth="1"/>
    <col min="6" max="7" width="4.28515625" style="6" customWidth="1"/>
    <col min="8" max="8" width="22.42578125" style="7" customWidth="1"/>
    <col min="9" max="9" width="3.42578125" style="2" customWidth="1"/>
    <col min="10" max="10" width="19.42578125" style="8" customWidth="1"/>
    <col min="11" max="14" width="5.42578125" style="9" customWidth="1"/>
    <col min="15" max="15" width="7.7109375" style="9" customWidth="1"/>
    <col min="16" max="16" width="6.7109375" style="9" customWidth="1"/>
    <col min="17" max="17" width="3.42578125" style="68" customWidth="1"/>
    <col min="18" max="18" width="15.42578125" style="123" hidden="1" customWidth="1"/>
    <col min="19" max="20" width="16" style="127" hidden="1" customWidth="1"/>
    <col min="21" max="28" width="4" style="123" hidden="1" customWidth="1"/>
    <col min="29" max="29" width="4.28515625" style="124" hidden="1" customWidth="1"/>
    <col min="30" max="30" width="5.42578125" style="123" hidden="1" customWidth="1"/>
    <col min="31" max="31" width="13.42578125" style="124" hidden="1" customWidth="1"/>
    <col min="32" max="36" width="5.42578125" style="123" hidden="1" customWidth="1"/>
    <col min="37" max="39" width="6" style="123" hidden="1" customWidth="1"/>
    <col min="40" max="40" width="5.42578125" style="123" hidden="1" customWidth="1"/>
    <col min="41" max="42" width="6" style="123" hidden="1" customWidth="1"/>
    <col min="43" max="43" width="7.140625" style="125" hidden="1" customWidth="1"/>
    <col min="44" max="44" width="10" style="125" hidden="1" customWidth="1"/>
    <col min="45" max="45" width="15.28515625" style="125" hidden="1" customWidth="1"/>
    <col min="46" max="50" width="4.7109375" style="126" hidden="1" customWidth="1"/>
    <col min="51" max="51" width="9.140625" style="125" hidden="1" customWidth="1"/>
    <col min="52" max="61" width="9.140625" style="126" hidden="1" customWidth="1"/>
    <col min="62" max="62" width="9.140625" style="112" hidden="1" customWidth="1"/>
    <col min="63" max="63" width="3.28515625" style="2" customWidth="1"/>
    <col min="64" max="64" width="19.7109375" style="2" customWidth="1"/>
    <col min="65" max="67" width="3" style="2" customWidth="1"/>
    <col min="68" max="69" width="2" style="111" customWidth="1"/>
    <col min="70" max="70" width="3.28515625" style="2" customWidth="1"/>
    <col min="71" max="71" width="19.7109375" style="2" customWidth="1"/>
    <col min="72" max="74" width="3" style="2" customWidth="1"/>
    <col min="75" max="76" width="2" style="111" customWidth="1"/>
    <col min="77" max="77" width="4" style="2" customWidth="1"/>
    <col min="78" max="78" width="19.7109375" style="2" customWidth="1"/>
    <col min="79" max="81" width="3" style="2" customWidth="1"/>
    <col min="82" max="83" width="2" style="111" customWidth="1"/>
    <col min="84" max="84" width="3.85546875" style="2" customWidth="1"/>
    <col min="85" max="85" width="19.7109375" style="2" customWidth="1"/>
    <col min="86" max="88" width="3" style="2" customWidth="1"/>
    <col min="89" max="90" width="2" style="111" customWidth="1"/>
    <col min="91" max="91" width="3.7109375" style="2" customWidth="1"/>
    <col min="92" max="92" width="19.7109375" style="2" customWidth="1"/>
    <col min="93" max="95" width="3" style="2" customWidth="1"/>
    <col min="96" max="96" width="2" style="111" customWidth="1"/>
    <col min="97" max="16384" width="9.140625" style="2"/>
  </cols>
  <sheetData>
    <row r="1" spans="1:95" ht="46.5" x14ac:dyDescent="0.25">
      <c r="A1" s="150" t="str" cm="1">
        <f t="array" ref="A1">INDEX(T,2,lang)</f>
        <v>2026 World Cup Final Tournament Schedule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  <c r="O1" s="150"/>
      <c r="P1" s="150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5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5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51" t="str">
        <f>"Language: " &amp; Settings!C4</f>
        <v>Language: English</v>
      </c>
      <c r="P3" s="151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5"/>
    <row r="5" spans="1:95" x14ac:dyDescent="0.25">
      <c r="A5" s="152" t="str" cm="1">
        <f t="array" ref="A5">INDEX(T,3,lang)</f>
        <v>Group Stage</v>
      </c>
      <c r="B5" s="153"/>
      <c r="C5" s="153"/>
      <c r="D5" s="153"/>
      <c r="E5" s="153"/>
      <c r="F5" s="153"/>
      <c r="G5" s="153"/>
      <c r="H5" s="154"/>
      <c r="J5" s="158" t="s">
        <v>3166</v>
      </c>
      <c r="K5" s="159"/>
      <c r="L5" s="159"/>
      <c r="M5" s="159"/>
      <c r="N5" s="159"/>
      <c r="O5" s="159"/>
      <c r="P5" s="160"/>
    </row>
    <row r="6" spans="1:95" ht="15" customHeight="1" x14ac:dyDescent="0.25">
      <c r="A6" s="155"/>
      <c r="B6" s="156"/>
      <c r="C6" s="156"/>
      <c r="D6" s="156"/>
      <c r="E6" s="156"/>
      <c r="F6" s="156"/>
      <c r="G6" s="156"/>
      <c r="H6" s="157"/>
      <c r="J6" s="161"/>
      <c r="K6" s="162"/>
      <c r="L6" s="162"/>
      <c r="M6" s="162"/>
      <c r="N6" s="162"/>
      <c r="O6" s="162"/>
      <c r="P6" s="163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44" t="s">
        <v>3179</v>
      </c>
      <c r="BL6" s="145"/>
      <c r="BM6" s="145"/>
      <c r="BN6" s="145"/>
      <c r="BO6" s="146"/>
      <c r="BR6" s="144" t="str" cm="1">
        <f t="array" ref="BR6">INDEX(T,4,lang)</f>
        <v>Round of 16</v>
      </c>
      <c r="BS6" s="145"/>
      <c r="BT6" s="145"/>
      <c r="BU6" s="145"/>
      <c r="BV6" s="146"/>
      <c r="BY6" s="144" t="str" cm="1">
        <f t="array" ref="BY6">INDEX(T,5,lang)</f>
        <v>Quarterfinals</v>
      </c>
      <c r="BZ6" s="145"/>
      <c r="CA6" s="145"/>
      <c r="CB6" s="145"/>
      <c r="CC6" s="146"/>
      <c r="CF6" s="144" t="str" cm="1">
        <f t="array" ref="CF6">INDEX(T,6,lang)</f>
        <v>Semi-Finals</v>
      </c>
      <c r="CG6" s="145"/>
      <c r="CH6" s="145"/>
      <c r="CI6" s="145"/>
      <c r="CJ6" s="146"/>
    </row>
    <row r="7" spans="1:95" ht="15" customHeight="1" x14ac:dyDescent="0.25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47"/>
      <c r="BL7" s="148"/>
      <c r="BM7" s="148"/>
      <c r="BN7" s="148"/>
      <c r="BO7" s="149"/>
      <c r="BR7" s="147"/>
      <c r="BS7" s="148"/>
      <c r="BT7" s="148"/>
      <c r="BU7" s="148"/>
      <c r="BV7" s="149"/>
      <c r="BY7" s="147"/>
      <c r="BZ7" s="148"/>
      <c r="CA7" s="148"/>
      <c r="CB7" s="148"/>
      <c r="CC7" s="149"/>
      <c r="CF7" s="147"/>
      <c r="CG7" s="148"/>
      <c r="CH7" s="148"/>
      <c r="CI7" s="148"/>
      <c r="CJ7" s="149"/>
    </row>
    <row r="8" spans="1:95" x14ac:dyDescent="0.25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5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5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41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5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42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5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41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5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42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5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41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5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42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5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41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5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42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5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41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5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42"/>
      <c r="BL19" s="26" t="str">
        <f>AS15</f>
        <v>Canada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5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41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5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42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5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41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5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42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41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5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42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5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5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41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5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42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5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41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5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42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5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41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5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 t="shared" si="1"/>
        <v>Czech Republic_draw</v>
      </c>
      <c r="T31" s="127" t="str">
        <f t="shared" si="2"/>
        <v>South Africa_draw</v>
      </c>
      <c r="U31" s="123">
        <f t="shared" si="8"/>
        <v>1</v>
      </c>
      <c r="V31" s="123">
        <f t="shared" si="3"/>
        <v>1</v>
      </c>
      <c r="W31" s="123">
        <f t="shared" si="4"/>
        <v>1</v>
      </c>
      <c r="X31" s="123">
        <f t="shared" si="9"/>
        <v>1</v>
      </c>
      <c r="Y31" s="123">
        <f t="shared" si="10"/>
        <v>1</v>
      </c>
      <c r="Z31" s="123">
        <f t="shared" si="11"/>
        <v>1</v>
      </c>
      <c r="AA31" s="123">
        <f t="shared" si="5"/>
        <v>0</v>
      </c>
      <c r="AB31" s="123">
        <f t="shared" si="6"/>
        <v>0</v>
      </c>
      <c r="BK31" s="142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5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 t="shared" si="1"/>
        <v>Switzerland_win</v>
      </c>
      <c r="T32" s="127" t="str">
        <f t="shared" si="2"/>
        <v>Bosnia and Herzegovina_lose</v>
      </c>
      <c r="U32" s="123">
        <f t="shared" si="8"/>
        <v>0</v>
      </c>
      <c r="V32" s="123">
        <f t="shared" si="3"/>
        <v>0</v>
      </c>
      <c r="W32" s="123">
        <f t="shared" si="4"/>
        <v>0</v>
      </c>
      <c r="X32" s="123">
        <f t="shared" si="9"/>
        <v>0</v>
      </c>
      <c r="Y32" s="123">
        <f t="shared" si="10"/>
        <v>0</v>
      </c>
      <c r="Z32" s="123">
        <f t="shared" si="11"/>
        <v>0</v>
      </c>
      <c r="AA32" s="123">
        <f t="shared" si="5"/>
        <v>0</v>
      </c>
      <c r="AB32" s="123">
        <f t="shared" si="6"/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41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5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42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44" t="str" cm="1">
        <f t="array" ref="CM33">INDEX(T,8,lang)</f>
        <v>Final</v>
      </c>
      <c r="CN33" s="145"/>
      <c r="CO33" s="145"/>
      <c r="CP33" s="145"/>
      <c r="CQ33" s="146"/>
    </row>
    <row r="34" spans="1:96" x14ac:dyDescent="0.25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41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47"/>
      <c r="CN34" s="148"/>
      <c r="CO34" s="148"/>
      <c r="CP34" s="148"/>
      <c r="CQ34" s="149"/>
    </row>
    <row r="35" spans="1:96" x14ac:dyDescent="0.25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42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5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41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5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42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41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5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41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42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5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42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5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5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5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41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5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42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5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41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44" t="str" cm="1">
        <f t="array" ref="CM44">INDEX(T,7,lang)</f>
        <v>Third-Place Play-Off</v>
      </c>
      <c r="CN44" s="145"/>
      <c r="CO44" s="145"/>
      <c r="CP44" s="145"/>
      <c r="CQ44" s="146"/>
    </row>
    <row r="45" spans="1:96" ht="15" customHeight="1" x14ac:dyDescent="0.25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42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47"/>
      <c r="CN45" s="148"/>
      <c r="CO45" s="148"/>
      <c r="CP45" s="148"/>
      <c r="CQ45" s="149"/>
    </row>
    <row r="46" spans="1:96" x14ac:dyDescent="0.25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41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5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42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5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41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41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5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42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42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5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41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5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1</v>
      </c>
      <c r="V51" s="123">
        <f t="shared" si="21"/>
        <v>0</v>
      </c>
      <c r="W51" s="123">
        <f t="shared" si="22"/>
        <v>0</v>
      </c>
      <c r="X51" s="123">
        <f t="shared" si="9"/>
        <v>1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42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5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41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5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42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5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41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5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42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41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5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42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5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5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41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5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42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5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41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5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42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5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41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5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42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5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41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5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42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5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41">
        <v>85</v>
      </c>
      <c r="BL66" s="24" t="str">
        <f>AS14</f>
        <v>Switzerland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5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42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5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12</v>
      </c>
      <c r="AN68" s="123">
        <f>AF68*3+AG68</f>
        <v>4</v>
      </c>
      <c r="AO68" s="123">
        <f>AN68/AN72*10+BA68</f>
        <v>5.7142857142857135</v>
      </c>
      <c r="AP68" s="123">
        <f>AO68*10000000+BI68*100+AM68/AM72*10+AI68/AI72*1++IF(AQ68=0,ROW(),AQ68)/2000000</f>
        <v>57142867.231651142</v>
      </c>
      <c r="AQ68" s="126">
        <f>VLOOKUP(AE68,db_fifarank,2,FALSE)</f>
        <v>1763.83</v>
      </c>
      <c r="AR68" s="125">
        <f>AP68/AP72</f>
        <v>0.66666671231139207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41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43" t="str">
        <f>INDEX(T,144,lang)</f>
        <v>World Champion 2026</v>
      </c>
      <c r="CF68" s="143"/>
      <c r="CG68" s="143"/>
      <c r="CH68" s="143"/>
      <c r="CI68" s="143"/>
      <c r="CJ68" s="143"/>
      <c r="CK68" s="131" t="str">
        <f>IF(CR37&gt;CR38,CN37,IF(CR37&lt;CR38,CN38,""))</f>
        <v/>
      </c>
      <c r="CL68" s="131"/>
      <c r="CM68" s="131"/>
      <c r="CN68" s="131"/>
      <c r="CO68" s="131"/>
      <c r="CP68" s="131"/>
      <c r="CQ68" s="131"/>
    </row>
    <row r="69" spans="1:95" x14ac:dyDescent="0.25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2</v>
      </c>
      <c r="L69" s="31">
        <f>VLOOKUP(1,AD68:AN71,3,FALSE)</f>
        <v>2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6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2</v>
      </c>
      <c r="AL69" s="123">
        <f>AI69-AJ69</f>
        <v>-1</v>
      </c>
      <c r="AM69" s="123">
        <f>AL69-AL72</f>
        <v>6</v>
      </c>
      <c r="AN69" s="123">
        <f>AF69*3+AG69</f>
        <v>1</v>
      </c>
      <c r="AO69" s="123">
        <f>AN69/AN72*10+BA69</f>
        <v>1.4285714285714284</v>
      </c>
      <c r="AP69" s="123">
        <f>AO69*10000000+BI69*100+AM69/AM72*10+AI69/AI72*1++IF(AQ69=0,ROW(),AQ69)/2000000</f>
        <v>14285719.044695219</v>
      </c>
      <c r="AQ69" s="126">
        <f>VLOOKUP(AE69,db_fifarank,2,FALSE)</f>
        <v>1478.35</v>
      </c>
      <c r="AR69" s="125">
        <f>AP69/AP72</f>
        <v>0.16666670417364024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42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43"/>
      <c r="CF69" s="143"/>
      <c r="CG69" s="143"/>
      <c r="CH69" s="143"/>
      <c r="CI69" s="143"/>
      <c r="CJ69" s="143"/>
      <c r="CK69" s="131"/>
      <c r="CL69" s="131"/>
      <c r="CM69" s="131"/>
      <c r="CN69" s="131"/>
      <c r="CO69" s="131"/>
      <c r="CP69" s="131"/>
      <c r="CQ69" s="131"/>
    </row>
    <row r="70" spans="1:95" x14ac:dyDescent="0.25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2</v>
      </c>
      <c r="L70" s="23">
        <f>VLOOKUP(2,AD68:AN71,3,FALSE)</f>
        <v>1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4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2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8</v>
      </c>
      <c r="AL70" s="123">
        <f>AI70-AJ70</f>
        <v>-7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0.14358981285714284</v>
      </c>
      <c r="AQ70" s="126">
        <f>VLOOKUP(AE70,db_fifarank,2,FALSE)</f>
        <v>1465.34</v>
      </c>
      <c r="AR70" s="125">
        <f>AP70/AP72</f>
        <v>1.6752143022647808E-9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41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5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2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1 - 2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10</v>
      </c>
      <c r="AN71" s="123">
        <f>AF71*3+AG71</f>
        <v>6</v>
      </c>
      <c r="AO71" s="123">
        <f>AN71/AN72*10+BA71</f>
        <v>8.5714285714285712</v>
      </c>
      <c r="AP71" s="123">
        <f>AO71*10000000+BI71*100+AM71/AM72*10+AI71/AI72*1++IF(AQ71=0,ROW(),AQ71)/2000000</f>
        <v>85714293.978868529</v>
      </c>
      <c r="AQ71" s="126">
        <f>VLOOKUP(AE71,db_fifarank,2,FALSE)</f>
        <v>1693.09</v>
      </c>
      <c r="AR71" s="125">
        <f>AP71/AP72</f>
        <v>0.99999998833333459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42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5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2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2</v>
      </c>
      <c r="O72" s="36" t="str">
        <f>VLOOKUP(4,AD68:AN71,6,FALSE) &amp; " - " &amp; VLOOKUP(4,AD68:AN71,7,FALSE)</f>
        <v>1 - 8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3</v>
      </c>
      <c r="AG72" s="123">
        <f t="shared" si="35"/>
        <v>2</v>
      </c>
      <c r="AH72" s="123">
        <f t="shared" si="35"/>
        <v>3</v>
      </c>
      <c r="AI72" s="123">
        <f>MAX(AI68:AI71)+1</f>
        <v>7</v>
      </c>
      <c r="AL72" s="123">
        <f>MIN(AL68:AL71)</f>
        <v>-7</v>
      </c>
      <c r="AM72" s="123">
        <f>MAX(AM68:AM71)+1</f>
        <v>13</v>
      </c>
      <c r="AN72" s="123">
        <f>MAX(AN68:AN71)+1</f>
        <v>7</v>
      </c>
      <c r="AO72" s="123">
        <f>MAX(AO68:AO71)+1</f>
        <v>9.5714285714285712</v>
      </c>
      <c r="AP72" s="123">
        <f>MAX(AP68:AP71)+1</f>
        <v>85714294.978868529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5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5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4</v>
      </c>
      <c r="AO74" s="123">
        <f>AN74/AN78*10+BA74</f>
        <v>8.9803921568627452</v>
      </c>
      <c r="AP74" s="123">
        <f>AO74*10000000+BI74*100+AM74/AM78*10+AI74/AI78*1++IF(AQ74=0,ROW(),AQ74)/2000000</f>
        <v>89804028.408756107</v>
      </c>
      <c r="AQ74" s="126">
        <f>VLOOKUP(AE74,db_fifarank,2,FALSE)</f>
        <v>1825.97</v>
      </c>
      <c r="AR74" s="125">
        <f>AP74/AP78</f>
        <v>0.99999998886464214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1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50</v>
      </c>
      <c r="BA74" s="126">
        <f>AZ74/AZ78</f>
        <v>0.98039215686274506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1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50</v>
      </c>
      <c r="BI74" s="126">
        <f>BH74/BH78</f>
        <v>0.98039215686274506</v>
      </c>
    </row>
    <row r="75" spans="1:95" x14ac:dyDescent="0.25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2</v>
      </c>
      <c r="L75" s="31">
        <f>VLOOKUP(1,AD74:AN77,3,FALSE)</f>
        <v>1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4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3</v>
      </c>
      <c r="AE75" s="124" t="str">
        <f>VLOOKUP("Croatia",T,lang,FALSE)</f>
        <v>Croatia</v>
      </c>
      <c r="AF75" s="123">
        <f>COUNTIF($S$7:$T$78,"=" &amp; AE75 &amp; "_win")</f>
        <v>1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3</v>
      </c>
      <c r="AJ75" s="123">
        <f>SUMIF($E$7:$E$78,$AE75,$G$7:$G$78) + SUMIF($H$7:$H$78,$AE75,$F$7:$F$78)</f>
        <v>4</v>
      </c>
      <c r="AL75" s="123">
        <f>AI75-AJ75</f>
        <v>-1</v>
      </c>
      <c r="AM75" s="123">
        <f>AL75-AL78</f>
        <v>1</v>
      </c>
      <c r="AN75" s="123">
        <f>AF75*3+AG75</f>
        <v>3</v>
      </c>
      <c r="AO75" s="123">
        <f>AN75/AN78*10+BA75</f>
        <v>6</v>
      </c>
      <c r="AP75" s="123">
        <f>AO75*10000000+BI75*100+AM75/AM78*10+AI75/AI78*1++IF(AQ75=0,ROW(),AQ75)/2000000</f>
        <v>60000002.600858539</v>
      </c>
      <c r="AQ75" s="126">
        <f>VLOOKUP(AE75,db_fifarank,2,FALSE)</f>
        <v>1717.07</v>
      </c>
      <c r="AR75" s="125">
        <f>AP75/AP78</f>
        <v>0.66812149739695748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5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2</v>
      </c>
      <c r="L76" s="23">
        <f>VLOOKUP(2,AD74:AN77,3,FALSE)</f>
        <v>1</v>
      </c>
      <c r="M76" s="23">
        <f>VLOOKUP(2,AD74:AN77,4,FALSE)</f>
        <v>1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4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4</v>
      </c>
      <c r="AO76" s="123">
        <f>AN76/AN78*10+BA76</f>
        <v>8.9803921568627452</v>
      </c>
      <c r="AP76" s="123">
        <f>AO76*10000000+BI76*100+AM76/AM78*10+AI76/AI78*1++IF(AQ76=0,ROW(),AQ76)/2000000</f>
        <v>89804025.808516294</v>
      </c>
      <c r="AQ76" s="126">
        <f>VLOOKUP(AE76,db_fifarank,2,FALSE)</f>
        <v>1346.31</v>
      </c>
      <c r="AR76" s="125">
        <f>AP76/AP78</f>
        <v>0.99999995991004154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1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50</v>
      </c>
      <c r="BA76" s="126">
        <f>AZ76/AZ78</f>
        <v>0.98039215686274506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1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50</v>
      </c>
      <c r="BI76" s="126">
        <f>BH76/BH78</f>
        <v>0.98039215686274506</v>
      </c>
    </row>
    <row r="77" spans="1:95" x14ac:dyDescent="0.25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Croatia</v>
      </c>
      <c r="K77" s="23">
        <f>L77+M77+N77</f>
        <v>2</v>
      </c>
      <c r="L77" s="23">
        <f>VLOOKUP(3,AD74:AN77,3,FALSE)</f>
        <v>1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3 - 4</v>
      </c>
      <c r="P77" s="34">
        <f>L77*3+M77</f>
        <v>3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2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2</v>
      </c>
      <c r="AL77" s="123">
        <f>AI77-AJ77</f>
        <v>-2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8.5777888260868168E-12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5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2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2</v>
      </c>
      <c r="O78" s="36" t="str">
        <f>VLOOKUP(4,AD74:AN77,6,FALSE) &amp; " - " &amp; VLOOKUP(4,AD74:AN77,7,FALSE)</f>
        <v>0 - 2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2</v>
      </c>
      <c r="AH78" s="123">
        <f t="shared" si="36"/>
        <v>3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5</v>
      </c>
      <c r="AO78" s="123">
        <f>MAX(AO74:AO77)+1</f>
        <v>9.9803921568627452</v>
      </c>
      <c r="AP78" s="123">
        <f>MAX(AP74:AP77)+1</f>
        <v>89804029.408756107</v>
      </c>
      <c r="AT78" s="126">
        <f>MAX(AT74:AT77)-MIN(AT74:AT77)+1</f>
        <v>1</v>
      </c>
      <c r="AU78" s="126">
        <f>MAX(AU74:AU77)-MIN(AU74:AU77)+1</f>
        <v>2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51</v>
      </c>
      <c r="BB78" s="126">
        <f>MAX(BB74:BB77)-MIN(BB74:BB77)+1</f>
        <v>1</v>
      </c>
      <c r="BC78" s="126">
        <f>MAX(BC74:BC77)-MIN(BC74:BC77)+1</f>
        <v>2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51</v>
      </c>
    </row>
    <row r="79" spans="1:95" x14ac:dyDescent="0.25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5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9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2528.5721792614286</v>
      </c>
      <c r="AQ80" s="126">
        <f t="shared" ref="AQ80:AQ91" si="37">VLOOKUP($AE80,$AE$8:$AQ$78,13,FALSE)</f>
        <v>1501.38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Czech Republic</v>
      </c>
    </row>
    <row r="81" spans="1:46" ht="15" customHeight="1" x14ac:dyDescent="0.25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Ⓑ Bosnia and Herzegovina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5 - 6</v>
      </c>
      <c r="P81" s="98">
        <f>L81*3+M81</f>
        <v>4</v>
      </c>
      <c r="AD81" s="123">
        <f t="shared" ref="AD81:AD91" si="38">COUNTIF($AP$80:$AP$91,CONCATENATE("&gt;=",AP81))</f>
        <v>1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8571.4292643485715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5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6 - 6</v>
      </c>
      <c r="P82" s="101">
        <f t="shared" ref="P82:P92" si="48">L82*3+M82</f>
        <v>3</v>
      </c>
      <c r="AD82" s="123">
        <f t="shared" si="38"/>
        <v>3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6764.2864634607149</v>
      </c>
      <c r="AQ82" s="126">
        <f t="shared" si="37"/>
        <v>1498.35</v>
      </c>
      <c r="AR82" s="125" t="str">
        <f t="shared" ref="AR82:AR91" si="50">AR81&amp;IF(AD82&lt;=8,RIGHT(AK82,1),"")</f>
        <v>BC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5">
      <c r="A83" s="73"/>
      <c r="B83" s="73"/>
      <c r="C83" s="132" t="s">
        <v>3183</v>
      </c>
      <c r="D83" s="133"/>
      <c r="E83" s="133"/>
      <c r="F83" s="133"/>
      <c r="G83" s="134"/>
      <c r="H83" s="75"/>
      <c r="I83" s="69"/>
      <c r="J83" s="99" t="str">
        <f>VLOOKUP(3,$AD$80:$AT$91,17,FALSE)</f>
        <v>Ⓒ Scotland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1 - 1</v>
      </c>
      <c r="P83" s="101">
        <f t="shared" si="48"/>
        <v>3</v>
      </c>
      <c r="AD83" s="123">
        <f t="shared" si="38"/>
        <v>6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6278.5721803214283</v>
      </c>
      <c r="AQ83" s="126">
        <f t="shared" si="37"/>
        <v>1503.5</v>
      </c>
      <c r="AR83" s="125" t="str">
        <f t="shared" si="50"/>
        <v>BCD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5">
      <c r="A84" s="73"/>
      <c r="B84" s="73"/>
      <c r="C84" s="135"/>
      <c r="D84" s="136"/>
      <c r="E84" s="136"/>
      <c r="F84" s="136"/>
      <c r="G84" s="137"/>
      <c r="H84" s="75"/>
      <c r="I84" s="69"/>
      <c r="J84" s="99" t="str">
        <f>VLOOKUP(4,$AD$80:$AT$91,17,FALSE)</f>
        <v>Ⓛ Croatia</v>
      </c>
      <c r="K84" s="100">
        <f t="shared" si="47"/>
        <v>2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1</v>
      </c>
      <c r="O84" s="100" t="str">
        <f>VLOOKUP(4,$AD$80:$AN$91,6,FALSE) &amp; " - " &amp; VLOOKUP(4,$AD$80:$AN$91,7,FALSE)</f>
        <v>3 - 4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11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2500.0007973900001</v>
      </c>
      <c r="AQ84" s="126">
        <f t="shared" si="37"/>
        <v>1594.78</v>
      </c>
      <c r="AR84" s="125" t="str">
        <f t="shared" si="50"/>
        <v>BCD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5">
      <c r="A85" s="73"/>
      <c r="B85" s="73"/>
      <c r="C85" s="135"/>
      <c r="D85" s="136"/>
      <c r="E85" s="136"/>
      <c r="F85" s="136"/>
      <c r="G85" s="137"/>
      <c r="H85" s="75"/>
      <c r="I85" s="69"/>
      <c r="J85" s="99" t="str">
        <f>VLOOKUP(5,$AD$80:$AT$91,17,FALSE)</f>
        <v>Ⓙ Algeria</v>
      </c>
      <c r="K85" s="100">
        <f t="shared" si="47"/>
        <v>2</v>
      </c>
      <c r="L85" s="100">
        <f>VLOOKUP(5,$AD$80:$AN$91,3,FALSE)</f>
        <v>1</v>
      </c>
      <c r="M85" s="100">
        <f>VLOOKUP(5,$AD$80:$AN$91,4,FALSE)</f>
        <v>0</v>
      </c>
      <c r="N85" s="100">
        <f>VLOOKUP(5,$AD$80:$AN$91,5,FALSE)</f>
        <v>1</v>
      </c>
      <c r="O85" s="100" t="str">
        <f>VLOOKUP(5,$AD$80:$AN$91,6,FALSE) &amp; " - " &amp; VLOOKUP(5,$AD$80:$AN$91,7,FALSE)</f>
        <v>2 - 4</v>
      </c>
      <c r="P85" s="101">
        <f t="shared" si="48"/>
        <v>3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6835.7150430992851</v>
      </c>
      <c r="AQ85" s="126">
        <f t="shared" si="37"/>
        <v>1514.77</v>
      </c>
      <c r="AR85" s="125" t="str">
        <f t="shared" si="50"/>
        <v>BCDF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5">
      <c r="A86" s="73"/>
      <c r="B86" s="73"/>
      <c r="C86" s="135"/>
      <c r="D86" s="136"/>
      <c r="E86" s="136"/>
      <c r="F86" s="136"/>
      <c r="G86" s="137"/>
      <c r="H86" s="75"/>
      <c r="I86" s="69"/>
      <c r="J86" s="99" t="str">
        <f>VLOOKUP(6,$AD$80:$AT$91,17,FALSE)</f>
        <v>Ⓓ Paraguay</v>
      </c>
      <c r="K86" s="100">
        <f t="shared" si="47"/>
        <v>2</v>
      </c>
      <c r="L86" s="100">
        <f>VLOOKUP(6,$AD$80:$AN$91,3,FALSE)</f>
        <v>1</v>
      </c>
      <c r="M86" s="100">
        <f>VLOOKUP(6,$AD$80:$AN$91,4,FALSE)</f>
        <v>0</v>
      </c>
      <c r="N86" s="100">
        <f>VLOOKUP(6,$AD$80:$AN$91,5,FALSE)</f>
        <v>1</v>
      </c>
      <c r="O86" s="100" t="str">
        <f>VLOOKUP(6,$AD$80:$AN$91,6,FALSE) &amp; " - " &amp; VLOOKUP(6,$AD$80:$AN$91,7,FALSE)</f>
        <v>2 - 4</v>
      </c>
      <c r="P86" s="101">
        <f t="shared" si="48"/>
        <v>3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8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4764.2865816407148</v>
      </c>
      <c r="AQ86" s="126">
        <f t="shared" si="37"/>
        <v>1734.71</v>
      </c>
      <c r="AR86" s="125" t="str">
        <f t="shared" si="50"/>
        <v>BCDFG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5">
      <c r="A87" s="73"/>
      <c r="B87" s="73"/>
      <c r="C87" s="135"/>
      <c r="D87" s="136"/>
      <c r="E87" s="136"/>
      <c r="F87" s="136"/>
      <c r="G87" s="137"/>
      <c r="H87" s="75"/>
      <c r="I87" s="69"/>
      <c r="J87" s="99" t="str">
        <f>VLOOKUP(7,$AD$80:$AT$91,17,FALSE)</f>
        <v>Ⓗ Cape Verde</v>
      </c>
      <c r="K87" s="100">
        <f t="shared" si="47"/>
        <v>2</v>
      </c>
      <c r="L87" s="100">
        <f>VLOOKUP(7,$AD$80:$AN$91,3,FALSE)</f>
        <v>0</v>
      </c>
      <c r="M87" s="100">
        <f>VLOOKUP(7,$AD$80:$AN$91,4,FALSE)</f>
        <v>2</v>
      </c>
      <c r="N87" s="100">
        <f>VLOOKUP(7,$AD$80:$AN$91,5,FALSE)</f>
        <v>0</v>
      </c>
      <c r="O87" s="100" t="str">
        <f>VLOOKUP(7,$AD$80:$AN$91,6,FALSE) &amp; " - " &amp; VLOOKUP(7,$AD$80:$AN$91,7,FALSE)</f>
        <v>2 - 2</v>
      </c>
      <c r="P87" s="101">
        <f t="shared" si="48"/>
        <v>2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7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4778.5721116364284</v>
      </c>
      <c r="AQ87" s="126">
        <f t="shared" si="37"/>
        <v>1366.13</v>
      </c>
      <c r="AR87" s="125" t="str">
        <f t="shared" si="50"/>
        <v>BCDFGH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5">
      <c r="A88" s="73"/>
      <c r="B88" s="73"/>
      <c r="C88" s="138"/>
      <c r="D88" s="139"/>
      <c r="E88" s="139"/>
      <c r="F88" s="139"/>
      <c r="G88" s="140"/>
      <c r="H88" s="75"/>
      <c r="I88" s="69"/>
      <c r="J88" s="99" t="str">
        <f>VLOOKUP(8,$AD$80:$AT$91,17,FALSE)</f>
        <v>Ⓖ Belgium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2</v>
      </c>
      <c r="N88" s="100">
        <f>VLOOKUP(8,$AD$80:$AN$91,5,FALSE)</f>
        <v>0</v>
      </c>
      <c r="O88" s="100" t="str">
        <f>VLOOKUP(8,$AD$80:$AN$91,6,FALSE) &amp; " - " &amp; VLOOKUP(8,$AD$80:$AN$91,7,FALSE)</f>
        <v>1 - 1</v>
      </c>
      <c r="P88" s="101">
        <f t="shared" si="48"/>
        <v>2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BCDFGH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5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Ⓐ Czech Republic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2 - 3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5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6278.572210701428</v>
      </c>
      <c r="AQ89" s="126">
        <f t="shared" si="37"/>
        <v>1564.26</v>
      </c>
      <c r="AR89" s="125" t="str">
        <f t="shared" si="50"/>
        <v>BCDFGHJ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5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Ⓚ DR Congo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1 - 2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10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1</v>
      </c>
      <c r="AI90" s="123">
        <f t="shared" si="41"/>
        <v>1</v>
      </c>
      <c r="AJ90" s="123">
        <f t="shared" si="42"/>
        <v>2</v>
      </c>
      <c r="AK90" s="123" t="s">
        <v>3191</v>
      </c>
      <c r="AL90" s="123">
        <f t="shared" si="43"/>
        <v>-1</v>
      </c>
      <c r="AM90" s="123">
        <f t="shared" si="44"/>
        <v>2</v>
      </c>
      <c r="AN90" s="123">
        <f t="shared" si="45"/>
        <v>1</v>
      </c>
      <c r="AP90" s="123">
        <f>AN90/AN92*10000+AM90/AM92*1000+AI90/AI92*100+IF(AQ90=0,ROW(),AQ90)/2000000</f>
        <v>2514.2864534607143</v>
      </c>
      <c r="AQ90" s="126">
        <f t="shared" si="37"/>
        <v>1478.35</v>
      </c>
      <c r="AR90" s="125" t="str">
        <f t="shared" si="50"/>
        <v>BCDFGHJ</v>
      </c>
      <c r="AS90" s="129" t="str">
        <f t="shared" si="46"/>
        <v/>
      </c>
      <c r="AT90" s="130" t="str">
        <f>"Ⓚ "&amp;AE90</f>
        <v>Ⓚ DR Congo</v>
      </c>
    </row>
    <row r="91" spans="1:46" ht="15" customHeight="1" x14ac:dyDescent="0.25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Ⓔ Ecuador</v>
      </c>
      <c r="K91" s="103">
        <f t="shared" si="47"/>
        <v>2</v>
      </c>
      <c r="L91" s="103">
        <f>VLOOKUP(11,$AD$80:$AN$91,3,FALSE)</f>
        <v>0</v>
      </c>
      <c r="M91" s="103">
        <f>VLOOKUP(11,$AD$80:$AN$91,4,FALSE)</f>
        <v>1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1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4</v>
      </c>
      <c r="AE91" s="124" t="str">
        <f>J77</f>
        <v>Croatia</v>
      </c>
      <c r="AF91" s="123">
        <f t="shared" si="39"/>
        <v>1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3</v>
      </c>
      <c r="AJ91" s="123">
        <f>VLOOKUP($AE91,$AE$8:$AQ$78,6,FALSE)</f>
        <v>4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3</v>
      </c>
      <c r="AP91" s="123">
        <f>AN91/AN92*10000+AM91/AM92*1000+AI91/AI92*100+IF(AQ91=0,ROW(),AQ91)/2000000</f>
        <v>6542.8580013921428</v>
      </c>
      <c r="AQ91" s="126">
        <f t="shared" si="37"/>
        <v>1717.07</v>
      </c>
      <c r="AR91" s="125" t="str">
        <f t="shared" si="50"/>
        <v>BCDFGHJL</v>
      </c>
      <c r="AS91" s="129" t="str">
        <f t="shared" si="46"/>
        <v>Croatia</v>
      </c>
      <c r="AT91" s="130" t="str">
        <f>"Ⓛ "&amp;AE91</f>
        <v>Ⓛ Croatia</v>
      </c>
    </row>
    <row r="92" spans="1:46" ht="15" customHeight="1" x14ac:dyDescent="0.25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5</v>
      </c>
      <c r="AS92" s="126" t="b">
        <f>SUM(K9:K78)=144</f>
        <v>0</v>
      </c>
    </row>
    <row r="93" spans="1:46" x14ac:dyDescent="0.25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5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5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5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5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5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5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5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5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48">
      <formula>IF(AND(AA7=0,AB7=1),1,0)</formula>
    </cfRule>
    <cfRule type="expression" dxfId="226" priority="347">
      <formula>IF(AND(AA7=1,AB7=-1),1,0)</formula>
    </cfRule>
    <cfRule type="expression" dxfId="225" priority="346">
      <formula>IF(AND(AA7=0,AB7=-1),1,0)</formula>
    </cfRule>
    <cfRule type="expression" dxfId="224" priority="351">
      <formula>IF(AND(AA7=1,AB7=0),1,0)</formula>
    </cfRule>
    <cfRule type="expression" dxfId="223" priority="350">
      <formula>IF(AND(AA7=0,AB7=0),1,0)</formula>
    </cfRule>
    <cfRule type="expression" dxfId="222" priority="349">
      <formula>IF(AND(AA7=1,AB7=1),1,0)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1">
      <formula>IF(AND(AA7=1,AB7=-1),1,0)</formula>
    </cfRule>
    <cfRule type="expression" dxfId="217" priority="345">
      <formula>IF(AND(AA7=1,AB7=0),1,0)</formula>
    </cfRule>
    <cfRule type="expression" dxfId="216" priority="344">
      <formula>IF(AND(AA7=0,AB7=0),1,0)</formula>
    </cfRule>
    <cfRule type="expression" dxfId="215" priority="343">
      <formula>IF(AND(AA7=1,AB7=1),1,0)</formula>
    </cfRule>
    <cfRule type="expression" dxfId="214" priority="342">
      <formula>IF(AND(AA7=0,AB7=1),1,0)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3">
      <formula>IF(BP14&gt;BP15,1,0)</formula>
    </cfRule>
    <cfRule type="expression" dxfId="185" priority="181">
      <formula>IF(BP14&lt;BP15,1,0)</formula>
    </cfRule>
  </conditionalFormatting>
  <conditionalFormatting sqref="BL18">
    <cfRule type="expression" dxfId="184" priority="176">
      <formula>IF(BP18&lt;BP19,1,0)</formula>
    </cfRule>
    <cfRule type="expression" dxfId="183" priority="178">
      <formula>IF(BP18&gt;BP19,1,0)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0">
      <formula>IF(BP22&lt;BP23,1,0)</formula>
    </cfRule>
    <cfRule type="expression" dxfId="179" priority="172">
      <formula>IF(BP22&gt;BP23,1,0)</formula>
    </cfRule>
  </conditionalFormatting>
  <conditionalFormatting sqref="BL23">
    <cfRule type="expression" dxfId="178" priority="169">
      <formula>IF(BP22&lt;BP23,1,0)</formula>
    </cfRule>
    <cfRule type="expression" dxfId="177" priority="171">
      <formula>IF(BP22&gt;BP23,1,0)</formula>
    </cfRule>
  </conditionalFormatting>
  <conditionalFormatting sqref="BL26">
    <cfRule type="expression" dxfId="176" priority="164">
      <formula>IF(BP26&lt;BP27,1,0)</formula>
    </cfRule>
    <cfRule type="expression" dxfId="175" priority="166">
      <formula>IF(BP26&gt;BP27,1,0)</formula>
    </cfRule>
  </conditionalFormatting>
  <conditionalFormatting sqref="BL27">
    <cfRule type="expression" dxfId="174" priority="163">
      <formula>IF(BP26&lt;BP27,1,0)</formula>
    </cfRule>
    <cfRule type="expression" dxfId="173" priority="165">
      <formula>IF(BP26&gt;BP27,1,0)</formula>
    </cfRule>
  </conditionalFormatting>
  <conditionalFormatting sqref="BL30">
    <cfRule type="expression" dxfId="172" priority="158">
      <formula>IF(BP30&lt;BP31,1,0)</formula>
    </cfRule>
    <cfRule type="expression" dxfId="171" priority="160">
      <formula>IF(BP30&gt;BP31,1,0)</formula>
    </cfRule>
  </conditionalFormatting>
  <conditionalFormatting sqref="BL31">
    <cfRule type="expression" dxfId="170" priority="157">
      <formula>IF(BP30&lt;BP31,1,0)</formula>
    </cfRule>
    <cfRule type="expression" dxfId="169" priority="159">
      <formula>IF(BP30&gt;BP31,1,0)</formula>
    </cfRule>
  </conditionalFormatting>
  <conditionalFormatting sqref="BL34">
    <cfRule type="expression" dxfId="168" priority="152">
      <formula>IF(BP34&lt;BP35,1,0)</formula>
    </cfRule>
    <cfRule type="expression" dxfId="167" priority="154">
      <formula>IF(BP34&gt;BP35,1,0)</formula>
    </cfRule>
  </conditionalFormatting>
  <conditionalFormatting sqref="BL35">
    <cfRule type="expression" dxfId="166" priority="151">
      <formula>IF(BP34&lt;BP35,1,0)</formula>
    </cfRule>
    <cfRule type="expression" dxfId="165" priority="153">
      <formula>IF(BP34&gt;BP35,1,0)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3">
      <formula>IF(BP46&lt;BP47,1,0)</formula>
    </cfRule>
    <cfRule type="expression" dxfId="153" priority="135">
      <formula>IF(BP46&gt;BP47,1,0)</formula>
    </cfRule>
  </conditionalFormatting>
  <conditionalFormatting sqref="BL50">
    <cfRule type="expression" dxfId="152" priority="128">
      <formula>IF(BP50&lt;BP51,1,0)</formula>
    </cfRule>
    <cfRule type="expression" dxfId="151" priority="130">
      <formula>IF(BP50&gt;BP51,1,0)</formula>
    </cfRule>
  </conditionalFormatting>
  <conditionalFormatting sqref="BL51">
    <cfRule type="expression" dxfId="150" priority="127">
      <formula>IF(BP50&lt;BP51,1,0)</formula>
    </cfRule>
    <cfRule type="expression" dxfId="149" priority="129">
      <formula>IF(BP50&gt;BP51,1,0)</formula>
    </cfRule>
  </conditionalFormatting>
  <conditionalFormatting sqref="BL54">
    <cfRule type="expression" dxfId="148" priority="122">
      <formula>IF(BP54&lt;BP55,1,0)</formula>
    </cfRule>
    <cfRule type="expression" dxfId="147" priority="124">
      <formula>IF(BP54&gt;BP55,1,0)</formula>
    </cfRule>
  </conditionalFormatting>
  <conditionalFormatting sqref="BL55">
    <cfRule type="expression" dxfId="146" priority="121">
      <formula>IF(BP54&lt;BP55,1,0)</formula>
    </cfRule>
    <cfRule type="expression" dxfId="145" priority="123">
      <formula>IF(BP54&gt;BP55,1,0)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0">
      <formula>IF(BP62&lt;BP63,1,0)</formula>
    </cfRule>
    <cfRule type="expression" dxfId="139" priority="112">
      <formula>IF(BP62&gt;BP63,1,0)</formula>
    </cfRule>
  </conditionalFormatting>
  <conditionalFormatting sqref="BL63">
    <cfRule type="expression" dxfId="138" priority="109">
      <formula>IF(BP62&lt;BP63,1,0)</formula>
    </cfRule>
    <cfRule type="expression" dxfId="137" priority="111">
      <formula>IF(BP62&gt;BP63,1,0)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5">
      <formula>IF(BP66&gt;BP67,1,0)</formula>
    </cfRule>
    <cfRule type="expression" dxfId="133" priority="103">
      <formula>IF(BP66&lt;BP67,1,0)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2">
      <formula>IF(BW12&gt;BW13,1,0)</formula>
    </cfRule>
    <cfRule type="expression" dxfId="95" priority="50">
      <formula>IF(BW12&lt;BW13,1,0)</formula>
    </cfRule>
  </conditionalFormatting>
  <conditionalFormatting sqref="BS13">
    <cfRule type="expression" dxfId="94" priority="51">
      <formula>IF(BW12&gt;BW13,1,0)</formula>
    </cfRule>
    <cfRule type="expression" dxfId="93" priority="49">
      <formula>IF(BW12&lt;BW13,1,0)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2">
      <formula>IF(BW28&lt;BW29,1,0)</formula>
    </cfRule>
    <cfRule type="expression" dxfId="87" priority="64">
      <formula>IF(BW28&gt;BW29,1,0)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7">
      <formula>IF(BW36&lt;BW37,1,0)</formula>
    </cfRule>
    <cfRule type="expression" dxfId="81" priority="69">
      <formula>IF(BW36&gt;BW37,1,0)</formula>
    </cfRule>
  </conditionalFormatting>
  <conditionalFormatting sqref="BS44">
    <cfRule type="expression" dxfId="80" priority="74">
      <formula>IF(BW44&lt;BW45,1,0)</formula>
    </cfRule>
    <cfRule type="expression" dxfId="79" priority="76">
      <formula>IF(BW44&gt;BW45,1,0)</formula>
    </cfRule>
  </conditionalFormatting>
  <conditionalFormatting sqref="BS45">
    <cfRule type="expression" dxfId="78" priority="75">
      <formula>IF(BW44&gt;BW45,1,0)</formula>
    </cfRule>
    <cfRule type="expression" dxfId="77" priority="73">
      <formula>IF(BW44&lt;BW45,1,0)</formula>
    </cfRule>
  </conditionalFormatting>
  <conditionalFormatting sqref="BS52">
    <cfRule type="expression" dxfId="76" priority="80">
      <formula>IF(BW52&lt;BW53,1,0)</formula>
    </cfRule>
    <cfRule type="expression" dxfId="75" priority="82">
      <formula>IF(BW52&gt;BW53,1,0)</formula>
    </cfRule>
  </conditionalFormatting>
  <conditionalFormatting sqref="BS53">
    <cfRule type="expression" dxfId="74" priority="79">
      <formula>IF(BW52&lt;BW53,1,0)</formula>
    </cfRule>
    <cfRule type="expression" dxfId="73" priority="81">
      <formula>IF(BW52&gt;BW53,1,0)</formula>
    </cfRule>
  </conditionalFormatting>
  <conditionalFormatting sqref="BS60">
    <cfRule type="expression" dxfId="72" priority="86">
      <formula>IF(BW60&lt;BW61,1,0)</formula>
    </cfRule>
    <cfRule type="expression" dxfId="71" priority="88">
      <formula>IF(BW60&gt;BW61,1,0)</formula>
    </cfRule>
  </conditionalFormatting>
  <conditionalFormatting sqref="BS61">
    <cfRule type="expression" dxfId="70" priority="87">
      <formula>IF(BW60&gt;BW61,1,0)</formula>
    </cfRule>
    <cfRule type="expression" dxfId="69" priority="85">
      <formula>IF(BW60&lt;BW61,1,0)</formula>
    </cfRule>
  </conditionalFormatting>
  <conditionalFormatting sqref="BS68">
    <cfRule type="expression" dxfId="68" priority="94">
      <formula>IF(BW68&gt;BW69,1,0)</formula>
    </cfRule>
    <cfRule type="expression" dxfId="67" priority="92">
      <formula>IF(BW68&lt;BW69,1,0)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38">
      <formula>IF(CD32&lt;CD33,1,0)</formula>
    </cfRule>
    <cfRule type="expression" dxfId="43" priority="40">
      <formula>IF(CD32&gt;CD33,1,0)</formula>
    </cfRule>
  </conditionalFormatting>
  <conditionalFormatting sqref="BZ33">
    <cfRule type="expression" dxfId="42" priority="37">
      <formula>IF(CD32&lt;CD33,1,0)</formula>
    </cfRule>
    <cfRule type="expression" dxfId="41" priority="39">
      <formula>IF(CD32&gt;CD33,1,0)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3">
      <formula>IF(CD48&gt;CD49,1,0)</formula>
    </cfRule>
    <cfRule type="expression" dxfId="37" priority="31">
      <formula>IF(CD48&lt;CD49,1,0)</formula>
    </cfRule>
  </conditionalFormatting>
  <conditionalFormatting sqref="BZ64">
    <cfRule type="expression" dxfId="36" priority="28">
      <formula>IF(CD64&gt;CD65,1,0)</formula>
    </cfRule>
    <cfRule type="expression" dxfId="35" priority="26">
      <formula>IF(CD64&lt;CD65,1,0)</formula>
    </cfRule>
  </conditionalFormatting>
  <conditionalFormatting sqref="BZ65">
    <cfRule type="expression" dxfId="34" priority="25">
      <formula>IF(CD64&lt;CD65,1,0)</formula>
    </cfRule>
    <cfRule type="expression" dxfId="33" priority="27">
      <formula>IF(CD64&gt;CD65,1,0)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5">
      <formula>IF(CK23&gt;CK24,1,0)</formula>
    </cfRule>
    <cfRule type="expression" dxfId="21" priority="13">
      <formula>IF(CK23&lt;CK24,1,0)</formula>
    </cfRule>
  </conditionalFormatting>
  <conditionalFormatting sqref="CG55">
    <cfRule type="expression" dxfId="20" priority="20">
      <formula>IF(CK55&lt;CK56,1,0)</formula>
    </cfRule>
    <cfRule type="expression" dxfId="19" priority="22">
      <formula>IF(CK55&gt;CK56,1,0)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D6" sqref="D6"/>
    </sheetView>
  </sheetViews>
  <sheetFormatPr defaultColWidth="9.140625" defaultRowHeight="15" x14ac:dyDescent="0.25"/>
  <cols>
    <col min="1" max="1" width="2.42578125" style="82" customWidth="1"/>
    <col min="2" max="2" width="9.140625" style="81"/>
    <col min="3" max="3" width="13.7109375" style="81" customWidth="1"/>
    <col min="4" max="11" width="9.42578125" style="81" customWidth="1"/>
    <col min="12" max="16384" width="9.140625" style="82"/>
  </cols>
  <sheetData>
    <row r="1" spans="2:11" ht="8.25" customHeight="1" x14ac:dyDescent="0.25"/>
    <row r="2" spans="2:11" ht="21" x14ac:dyDescent="0.25">
      <c r="B2" s="108" t="s">
        <v>3193</v>
      </c>
    </row>
    <row r="3" spans="2:11" x14ac:dyDescent="0.25">
      <c r="B3" s="109">
        <f>MATCH(C3,C6:C500,0)</f>
        <v>126</v>
      </c>
      <c r="C3" s="121" t="str">
        <f>'2026 World Cup'!AR91</f>
        <v>BCDFGHJL</v>
      </c>
      <c r="D3" s="121" t="str">
        <f>VLOOKUP($C3,$C$6:$K$500,2,FALSE)</f>
        <v>3C</v>
      </c>
      <c r="E3" s="121" t="str">
        <f>VLOOKUP($C3,$C$6:$K$500,3,FALSE)</f>
        <v>3G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3H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3J</v>
      </c>
    </row>
    <row r="5" spans="2:11" ht="19.5" customHeight="1" x14ac:dyDescent="0.25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5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5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5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5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5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5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5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5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5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5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5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5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5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5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5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5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5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5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5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5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5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5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5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5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5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5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5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5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5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5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5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5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5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5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5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5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5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5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5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5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5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5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5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5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5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5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5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5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5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5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5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5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5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5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5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5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5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5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5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5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5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5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5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5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5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5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5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5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5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5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5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5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5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5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5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5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5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5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5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5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5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5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5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5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5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5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5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5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5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5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5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5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5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5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5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5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5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5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5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5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5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5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5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5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5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5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5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5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5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5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5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5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5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5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5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5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5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5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5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5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5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5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5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5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5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5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5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5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5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5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5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5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5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5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5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5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5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5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5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5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5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5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5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5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5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5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5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5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5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5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5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5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5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5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5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5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5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5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5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5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5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5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5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5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5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5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5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5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5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5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5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5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5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5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5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5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5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5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5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5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5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5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5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5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5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5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5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5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5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5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5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5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5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5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5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5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5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5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5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5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5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5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5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5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5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5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5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5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5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5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5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5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5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5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5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5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5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5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5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5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5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5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5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5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5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5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5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5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5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5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5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5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5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5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5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5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5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5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5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5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5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5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5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5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5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5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5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5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5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5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5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5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5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5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5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5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5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5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5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5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5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5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5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5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5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5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5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5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5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5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5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5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5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5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5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5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5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5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5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5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5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5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5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5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5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5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5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5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5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5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5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5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5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5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5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5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5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5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5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5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5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5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5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5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5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5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5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5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5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5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5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5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5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5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5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5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5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5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5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5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5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5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5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5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5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5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5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5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5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5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5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5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5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5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5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5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5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5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5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5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5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5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5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5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5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5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5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5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5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5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5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5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5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5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5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5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5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5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5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5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5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5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5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5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5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5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5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5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5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5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5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5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5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5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5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5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5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5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5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5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5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5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5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5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5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5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5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5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5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5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5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5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5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5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5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5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5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5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5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5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5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5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5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5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5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5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5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5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5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5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5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5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5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5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5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5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5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5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5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5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5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5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5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5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5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5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5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5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5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5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5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5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5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5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5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5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5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5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5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5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5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5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5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5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5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5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5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5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5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5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5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5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5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5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5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5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5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5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5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5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5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5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5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5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5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5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5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5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5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5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5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5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5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5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5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5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5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5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5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5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5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5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5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5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5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5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5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5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5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5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5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5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5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5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5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T</vt:lpstr>
      <vt:lpstr>Settings</vt:lpstr>
      <vt:lpstr>2026 World Cup</vt:lpstr>
      <vt:lpstr>3rd places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Håvard Strand</cp:lastModifiedBy>
  <cp:revision/>
  <dcterms:created xsi:type="dcterms:W3CDTF">2017-12-27T19:32:51Z</dcterms:created>
  <dcterms:modified xsi:type="dcterms:W3CDTF">2026-06-24T21:13:29Z</dcterms:modified>
  <cp:category>Sports</cp:category>
  <cp:contentStatus/>
</cp:coreProperties>
</file>
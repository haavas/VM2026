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1D0D5E99-B6CD-40F6-AA03-0EF977303C85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T10" i="3" s="1"/>
  <c r="S37" i="3"/>
  <c r="S11" i="3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37" i="3"/>
  <c r="S55" i="3"/>
  <c r="T11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/>
  <c r="AR71" i="3" l="1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/>
  <c r="AD70" i="3"/>
  <c r="AD71" i="3" l="1"/>
  <c r="AD69" i="3"/>
  <c r="AD75" i="3"/>
  <c r="AD28" i="3"/>
  <c r="AD8" i="3"/>
  <c r="N12" i="3" s="1"/>
  <c r="AD29" i="3"/>
  <c r="AD26" i="3"/>
  <c r="O28" i="3" s="1"/>
  <c r="AD27" i="3"/>
  <c r="AD10" i="3"/>
  <c r="L11" i="3" s="1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N21" i="3" s="1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J12" i="3"/>
  <c r="O12" i="3"/>
  <c r="M9" i="3"/>
  <c r="M12" i="3"/>
  <c r="J9" i="3"/>
  <c r="AS8" i="3" s="1"/>
  <c r="BL50" i="3" s="1"/>
  <c r="L9" i="3"/>
  <c r="N10" i="3"/>
  <c r="J27" i="3"/>
  <c r="AS26" i="3" s="1"/>
  <c r="BL34" i="3" s="1"/>
  <c r="M27" i="3"/>
  <c r="L29" i="3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M10" i="3" l="1"/>
  <c r="M30" i="3"/>
  <c r="M28" i="3"/>
  <c r="N30" i="3"/>
  <c r="O27" i="3"/>
  <c r="O10" i="3"/>
  <c r="L12" i="3"/>
  <c r="J29" i="3"/>
  <c r="AE83" i="3" s="1"/>
  <c r="AQ83" i="3" s="1"/>
  <c r="N9" i="3"/>
  <c r="K9" i="3" s="1"/>
  <c r="O9" i="3"/>
  <c r="J11" i="3"/>
  <c r="AE80" i="3" s="1"/>
  <c r="AQ80" i="3" s="1"/>
  <c r="L27" i="3"/>
  <c r="P27" i="3" s="1"/>
  <c r="O11" i="3"/>
  <c r="N29" i="3"/>
  <c r="J30" i="3"/>
  <c r="M29" i="3"/>
  <c r="K29" i="3" s="1"/>
  <c r="L30" i="3"/>
  <c r="K30" i="3" s="1"/>
  <c r="N27" i="3"/>
  <c r="N28" i="3"/>
  <c r="J28" i="3"/>
  <c r="AS27" i="3" s="1"/>
  <c r="BL62" i="3" s="1"/>
  <c r="BS61" i="3" s="1"/>
  <c r="O35" i="3"/>
  <c r="O30" i="3"/>
  <c r="L10" i="3"/>
  <c r="P10" i="3" s="1"/>
  <c r="O29" i="3"/>
  <c r="M11" i="3"/>
  <c r="L28" i="3"/>
  <c r="J10" i="3"/>
  <c r="AS9" i="3" s="1"/>
  <c r="BL18" i="3" s="1"/>
  <c r="N11" i="3"/>
  <c r="K11" i="3" s="1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P28" i="3"/>
  <c r="K28" i="3"/>
  <c r="K27" i="3"/>
  <c r="AN83" i="3"/>
  <c r="AT83" i="3"/>
  <c r="AF80" i="3"/>
  <c r="AG80" i="3"/>
  <c r="AT80" i="3"/>
  <c r="P11" i="3"/>
  <c r="P9" i="3"/>
  <c r="P12" i="3"/>
  <c r="K12" i="3"/>
  <c r="AL83" i="3" l="1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81" i="3"/>
  <c r="AP84" i="3"/>
  <c r="AP86" i="3"/>
  <c r="AP89" i="3"/>
  <c r="AP90" i="3"/>
  <c r="AP88" i="3"/>
  <c r="AP82" i="3"/>
  <c r="AP83" i="3"/>
  <c r="AP91" i="3"/>
  <c r="AP85" i="3"/>
  <c r="AP80" i="3"/>
  <c r="AD85" i="3" l="1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2" i="3"/>
  <c r="AS82" i="3" s="1"/>
  <c r="AD90" i="3"/>
  <c r="AS90" i="3" s="1"/>
  <c r="AD88" i="3"/>
  <c r="AS88" i="3" s="1"/>
  <c r="AD87" i="3"/>
  <c r="AS87" i="3" s="1"/>
  <c r="AD80" i="3"/>
  <c r="AD81" i="3"/>
  <c r="AS81" i="3" s="1"/>
  <c r="J92" i="3" l="1"/>
  <c r="M88" i="3"/>
  <c r="O87" i="3"/>
  <c r="AS80" i="3"/>
  <c r="O83" i="3"/>
  <c r="L83" i="3"/>
  <c r="N84" i="3"/>
  <c r="M87" i="3"/>
  <c r="M85" i="3"/>
  <c r="L88" i="3"/>
  <c r="P88" i="3" s="1"/>
  <c r="J87" i="3"/>
  <c r="N85" i="3"/>
  <c r="L84" i="3"/>
  <c r="J85" i="3"/>
  <c r="L91" i="3"/>
  <c r="N82" i="3"/>
  <c r="J86" i="3"/>
  <c r="N81" i="3"/>
  <c r="J88" i="3"/>
  <c r="L81" i="3"/>
  <c r="N90" i="3"/>
  <c r="O91" i="3"/>
  <c r="O90" i="3"/>
  <c r="O88" i="3"/>
  <c r="O86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N89" i="3"/>
  <c r="L92" i="3"/>
  <c r="J81" i="3"/>
  <c r="J89" i="3"/>
  <c r="O81" i="3"/>
  <c r="M90" i="3"/>
  <c r="L86" i="3"/>
  <c r="N83" i="3"/>
  <c r="O82" i="3"/>
  <c r="M84" i="3"/>
  <c r="N92" i="3"/>
  <c r="J82" i="3"/>
  <c r="J90" i="3"/>
  <c r="M82" i="3"/>
  <c r="M86" i="3"/>
  <c r="N86" i="3"/>
  <c r="L87" i="3"/>
  <c r="M92" i="3"/>
  <c r="J83" i="3"/>
  <c r="J91" i="3"/>
  <c r="M81" i="3"/>
  <c r="L85" i="3"/>
  <c r="O84" i="3"/>
  <c r="L89" i="3"/>
  <c r="M89" i="3"/>
  <c r="O85" i="3"/>
  <c r="N88" i="3"/>
  <c r="J84" i="3"/>
  <c r="P92" i="3" l="1"/>
  <c r="K91" i="3"/>
  <c r="K82" i="3"/>
  <c r="P81" i="3"/>
  <c r="K84" i="3"/>
  <c r="K90" i="3"/>
  <c r="K83" i="3"/>
  <c r="K81" i="3"/>
  <c r="K87" i="3"/>
  <c r="P86" i="3"/>
  <c r="K92" i="3"/>
  <c r="P84" i="3"/>
  <c r="P87" i="3"/>
  <c r="K85" i="3"/>
  <c r="P82" i="3"/>
  <c r="P85" i="3"/>
  <c r="P83" i="3"/>
  <c r="P90" i="3"/>
  <c r="K89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<sst xmlns="http://schemas.openxmlformats.org/spreadsheetml/2006/main" count="9786" uniqueCount="3698">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</sst>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F17" sqref="F17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3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4.2865046207142852</v>
      </c>
      <c r="AQ28" s="126">
        <f>VLOOKUP(AE28,db_fifarank,2,FALSE)</f>
        <v>1580.67</v>
      </c>
      <c r="AR28" s="125">
        <f>AP28/AP30</f>
        <v>5.715338703872269E-8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3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4.2865138057142858</v>
      </c>
      <c r="AQ29" s="126">
        <f>VLOOKUP(AE29,db_fifarank,2,FALSE)</f>
        <v>1599.04</v>
      </c>
      <c r="AR29" s="125">
        <f>AP29/AP30</f>
        <v>5.715350950537243E-8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50.000750689999997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Qatar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1 - 1</v>
      </c>
      <c r="P81" s="98">
        <f>L81*3+M81</f>
        <v>1</v>
      </c>
      <c r="AD81" s="123">
        <f t="shared" ref="AD81:AD91" si="38">COUNTIF($AP$80:$AP$91,CONCATENATE("&gt;=",AP81))</f>
        <v>1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1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5550.00072748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Ⓓ Australia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9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1</v>
      </c>
      <c r="AN82" s="123">
        <f t="shared" si="45"/>
        <v>0</v>
      </c>
      <c r="AP82" s="123">
        <f>AN82/AN92*10000+AM82/AM92*1000+AI82/AI92*100+IF(AQ82=0,ROW(),AQ82)/2000000</f>
        <v>500.00074917500001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2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500.00079033499998</v>
      </c>
      <c r="AQ83" s="126">
        <f t="shared" si="37"/>
        <v>1580.67</v>
      </c>
      <c r="AR83" s="125" t="str">
        <f t="shared" si="50"/>
        <v>BD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500.00076648999999</v>
      </c>
      <c r="AQ84" s="126">
        <f t="shared" si="37"/>
        <v>1532.98</v>
      </c>
      <c r="AR84" s="125" t="str">
        <f t="shared" si="50"/>
        <v>BDE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1</v>
      </c>
      <c r="AN85" s="123">
        <f t="shared" si="45"/>
        <v>0</v>
      </c>
      <c r="AP85" s="123">
        <f>AN85/AN92*10000+AM85/AM92*1000+AI85/AI92*100+IF(AQ85=0,ROW(),AQ85)/2000000</f>
        <v>500.00075738499999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1</v>
      </c>
      <c r="AN86" s="123">
        <f t="shared" si="45"/>
        <v>0</v>
      </c>
      <c r="AP86" s="123">
        <f>AN86/AN92*10000+AM86/AM92*1000+AI86/AI92*100+IF(AQ86=0,ROW(),AQ86)/2000000</f>
        <v>500.00078162</v>
      </c>
      <c r="AQ86" s="126">
        <f t="shared" si="37"/>
        <v>1563.24</v>
      </c>
      <c r="AR86" s="125" t="str">
        <f t="shared" si="50"/>
        <v>BDEFG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1</v>
      </c>
      <c r="AN87" s="123">
        <f t="shared" si="45"/>
        <v>0</v>
      </c>
      <c r="AP87" s="123">
        <f>AN87/AN92*10000+AM87/AM92*1000+AI87/AI92*100+IF(AQ87=0,ROW(),AQ87)/2000000</f>
        <v>500.00071071500003</v>
      </c>
      <c r="AQ87" s="126">
        <f t="shared" si="37"/>
        <v>1421.43</v>
      </c>
      <c r="AR87" s="125" t="str">
        <f t="shared" si="50"/>
        <v>BDEFG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500.00077547000001</v>
      </c>
      <c r="AQ88" s="126">
        <f t="shared" si="37"/>
        <v>1550.94</v>
      </c>
      <c r="AR88" s="125" t="str">
        <f t="shared" si="50"/>
        <v>BDEFGI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500.00078213</v>
      </c>
      <c r="AQ89" s="126">
        <f t="shared" si="37"/>
        <v>1564.26</v>
      </c>
      <c r="AR89" s="125" t="str">
        <f t="shared" si="50"/>
        <v>BDEFGIJ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1</v>
      </c>
      <c r="AN90" s="123">
        <f t="shared" si="45"/>
        <v>0</v>
      </c>
      <c r="AP90" s="123">
        <f>AN90/AN92*10000+AM90/AM92*1000+AI90/AI92*100+IF(AQ90=0,ROW(),AQ90)/2000000</f>
        <v>500.00073917499998</v>
      </c>
      <c r="AQ90" s="126">
        <f t="shared" si="37"/>
        <v>1478.35</v>
      </c>
      <c r="AR90" s="125" t="str">
        <f t="shared" si="50"/>
        <v>BDEFGIJ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BDEFGIJL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Czech Republic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-1</v>
      </c>
      <c r="AM92" s="123">
        <f>MAX(AM80:AM91)+1</f>
        <v>2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74</v>
      </c>
      <c r="C3" s="121" t="str">
        <f>'2026 World Cup'!AR91</f>
        <v>BDEFGIJL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2026-06-13T21:07:54Z</dcterms:modified>
  <cp:category>Sports</cp:category>
  <cp:contentStatus/>
</cp:coreProperties>
</file>
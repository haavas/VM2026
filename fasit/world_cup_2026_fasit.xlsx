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avas\git\VM2026\fasit\"/>
    </mc:Choice>
  </mc:AlternateContent>
  <xr:revisionPtr revIDLastSave="0" documentId="13_ncr:1_{C161CC28-D8C5-46EE-8F4D-BF180F0D4380}" xr6:coauthVersionLast="47" xr6:coauthVersionMax="47" xr10:uidLastSave="{00000000-0000-0000-0000-000000000000}"/>
  <bookViews>
    <workbookView xWindow="20930" yWindow="2390" windowWidth="17180" windowHeight="1849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T49" i="3" s="1"/>
  <c r="S68" i="3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S47" i="3"/>
  <c r="S67" i="3"/>
  <c r="T68" i="3"/>
  <c r="T48" i="3"/>
  <c r="T43" i="3"/>
  <c r="S72" i="3"/>
  <c r="T20" i="3"/>
  <c r="S70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<sst xmlns="http://schemas.openxmlformats.org/spreadsheetml/2006/main" count="9786" uniqueCount="3698">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</sst>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4.5" x14ac:dyDescent="0.35"/>
  <cols>
    <col min="1" max="1" width="24.1796875" bestFit="1" customWidth="1"/>
    <col min="2" max="42" width="14" customWidth="1"/>
  </cols>
  <sheetData>
    <row r="1" spans="1:4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3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3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3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3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3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3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3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3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3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3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3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3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3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3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3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3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3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3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3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3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3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3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3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3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3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3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3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3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3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3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3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3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3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3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3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3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3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3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3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3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3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3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3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3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3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3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3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3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3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3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3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3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3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3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3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3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3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3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3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3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3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3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3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3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3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3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3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3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3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3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3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3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3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3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3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3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3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3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3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3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3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3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3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3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3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3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3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3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3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3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3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3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3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3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3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3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3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3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3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3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3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3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3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3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3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3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3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3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3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3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3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3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3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3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3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3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3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3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3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3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35">
      <c r="A145" s="1"/>
    </row>
    <row r="146" spans="1:42" x14ac:dyDescent="0.35">
      <c r="A146" s="1"/>
    </row>
    <row r="147" spans="1:42" x14ac:dyDescent="0.35">
      <c r="A147" s="1"/>
    </row>
    <row r="148" spans="1:42" x14ac:dyDescent="0.35">
      <c r="A148" s="1"/>
    </row>
    <row r="149" spans="1:42" x14ac:dyDescent="0.35">
      <c r="A149" s="1"/>
    </row>
    <row r="150" spans="1:42" x14ac:dyDescent="0.35">
      <c r="A150" s="1"/>
    </row>
    <row r="151" spans="1:42" x14ac:dyDescent="0.35">
      <c r="A151" s="1"/>
    </row>
    <row r="152" spans="1:42" x14ac:dyDescent="0.35">
      <c r="A152" s="1"/>
    </row>
    <row r="153" spans="1:42" x14ac:dyDescent="0.35">
      <c r="A153" s="1"/>
    </row>
    <row r="154" spans="1:42" x14ac:dyDescent="0.35">
      <c r="A154" s="1"/>
    </row>
    <row r="155" spans="1:42" x14ac:dyDescent="0.35">
      <c r="A155" s="1"/>
    </row>
    <row r="156" spans="1:42" x14ac:dyDescent="0.35">
      <c r="A156" s="1"/>
    </row>
    <row r="157" spans="1:42" x14ac:dyDescent="0.3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796875" defaultRowHeight="14.5" x14ac:dyDescent="0.35"/>
  <cols>
    <col min="1" max="1" width="1.1796875" style="10" customWidth="1"/>
    <col min="2" max="2" width="18.81640625" style="10" bestFit="1" customWidth="1"/>
    <col min="3" max="3" width="20.26953125" style="10" customWidth="1"/>
    <col min="4" max="4" width="9.1796875" style="10"/>
    <col min="5" max="5" width="1.1796875" style="10" customWidth="1"/>
    <col min="6" max="6" width="9.1796875" style="10"/>
    <col min="7" max="7" width="27.453125" style="10" bestFit="1" customWidth="1"/>
    <col min="8" max="8" width="2.7265625" style="10" customWidth="1"/>
    <col min="9" max="9" width="1.1796875" style="10" customWidth="1"/>
    <col min="10" max="16384" width="9.1796875" style="10"/>
  </cols>
  <sheetData>
    <row r="1" spans="2:27" ht="7.5" customHeight="1" x14ac:dyDescent="0.35"/>
    <row r="2" spans="2:27" ht="16" thickBot="1" x14ac:dyDescent="0.4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35">
      <c r="B3" s="42"/>
      <c r="C3" s="43"/>
      <c r="D3" s="44"/>
      <c r="F3" s="42"/>
      <c r="G3" s="43"/>
      <c r="H3" s="44"/>
    </row>
    <row r="4" spans="2:27" x14ac:dyDescent="0.3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3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3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3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3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3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3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35">
      <c r="B11" s="54"/>
      <c r="C11" s="43"/>
      <c r="D11" s="44"/>
      <c r="F11" s="51"/>
      <c r="G11" s="52"/>
      <c r="H11" s="53"/>
    </row>
    <row r="12" spans="2:27" ht="15" customHeight="1" x14ac:dyDescent="0.3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3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3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3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3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3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5" x14ac:dyDescent="0.3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3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3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3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3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3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3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3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3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3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3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3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3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3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3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3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3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3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3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3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3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3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3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3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3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3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3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3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3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3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3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3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3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3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3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3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3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3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3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3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3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3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3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3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3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3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3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3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3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3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3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3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3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3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3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24" zoomScaleNormal="100" workbookViewId="0">
      <selection activeCell="G55" sqref="G55"/>
    </sheetView>
  </sheetViews>
  <sheetFormatPr defaultColWidth="9.1796875" defaultRowHeight="14.5" x14ac:dyDescent="0.35"/>
  <cols>
    <col min="1" max="1" width="4.81640625" style="3" customWidth="1"/>
    <col min="2" max="2" width="6.1796875" style="3" customWidth="1"/>
    <col min="3" max="3" width="11.7265625" style="3" bestFit="1" customWidth="1"/>
    <col min="4" max="4" width="9" style="4" customWidth="1"/>
    <col min="5" max="5" width="22.453125" style="5" customWidth="1"/>
    <col min="6" max="7" width="4.26953125" style="6" customWidth="1"/>
    <col min="8" max="8" width="22.453125" style="7" customWidth="1"/>
    <col min="9" max="9" width="3.453125" style="2" customWidth="1"/>
    <col min="10" max="10" width="19.453125" style="8" customWidth="1"/>
    <col min="11" max="14" width="5.453125" style="9" customWidth="1"/>
    <col min="15" max="15" width="7.7265625" style="9" customWidth="1"/>
    <col min="16" max="16" width="6.7265625" style="9" customWidth="1"/>
    <col min="17" max="17" width="3.453125" style="68" customWidth="1"/>
    <col min="18" max="18" width="15.453125" style="123" hidden="1" customWidth="1"/>
    <col min="19" max="20" width="16" style="127" hidden="1" customWidth="1"/>
    <col min="21" max="28" width="4" style="123" hidden="1" customWidth="1"/>
    <col min="29" max="29" width="4.26953125" style="124" hidden="1" customWidth="1"/>
    <col min="30" max="30" width="5.453125" style="123" hidden="1" customWidth="1"/>
    <col min="31" max="31" width="13.453125" style="124" hidden="1" customWidth="1"/>
    <col min="32" max="36" width="5.453125" style="123" hidden="1" customWidth="1"/>
    <col min="37" max="39" width="6" style="123" hidden="1" customWidth="1"/>
    <col min="40" max="40" width="5.453125" style="123" hidden="1" customWidth="1"/>
    <col min="41" max="42" width="6" style="123" hidden="1" customWidth="1"/>
    <col min="43" max="43" width="7.1796875" style="125" hidden="1" customWidth="1"/>
    <col min="44" max="44" width="10" style="125" hidden="1" customWidth="1"/>
    <col min="45" max="45" width="15.26953125" style="125" hidden="1" customWidth="1"/>
    <col min="46" max="50" width="4.7265625" style="126" hidden="1" customWidth="1"/>
    <col min="51" max="51" width="9.1796875" style="125" hidden="1" customWidth="1"/>
    <col min="52" max="61" width="9.1796875" style="126" hidden="1" customWidth="1"/>
    <col min="62" max="62" width="9.1796875" style="112" hidden="1" customWidth="1"/>
    <col min="63" max="63" width="3.26953125" style="2" customWidth="1"/>
    <col min="64" max="64" width="19.7265625" style="2" customWidth="1"/>
    <col min="65" max="67" width="3" style="2" customWidth="1"/>
    <col min="68" max="69" width="2" style="111" customWidth="1"/>
    <col min="70" max="70" width="3.26953125" style="2" customWidth="1"/>
    <col min="71" max="71" width="19.7265625" style="2" customWidth="1"/>
    <col min="72" max="74" width="3" style="2" customWidth="1"/>
    <col min="75" max="76" width="2" style="111" customWidth="1"/>
    <col min="77" max="77" width="4" style="2" customWidth="1"/>
    <col min="78" max="78" width="19.7265625" style="2" customWidth="1"/>
    <col min="79" max="81" width="3" style="2" customWidth="1"/>
    <col min="82" max="83" width="2" style="111" customWidth="1"/>
    <col min="84" max="84" width="3.81640625" style="2" customWidth="1"/>
    <col min="85" max="85" width="19.7265625" style="2" customWidth="1"/>
    <col min="86" max="88" width="3" style="2" customWidth="1"/>
    <col min="89" max="90" width="2" style="111" customWidth="1"/>
    <col min="91" max="91" width="3.7265625" style="2" customWidth="1"/>
    <col min="92" max="92" width="19.7265625" style="2" customWidth="1"/>
    <col min="93" max="95" width="3" style="2" customWidth="1"/>
    <col min="96" max="96" width="2" style="111" customWidth="1"/>
    <col min="97" max="16384" width="9.1796875" style="2"/>
  </cols>
  <sheetData>
    <row r="1" spans="1:95" ht="46" x14ac:dyDescent="0.3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3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3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35"/>
    <row r="5" spans="1:95" x14ac:dyDescent="0.3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3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3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3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3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3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3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3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3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3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3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3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3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3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3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3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3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3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3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3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3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3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3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3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3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3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3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3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3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3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3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3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3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3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3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3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3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3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3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3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3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3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3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3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3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3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3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1</v>
      </c>
      <c r="V51" s="123">
        <f t="shared" si="21"/>
        <v>0</v>
      </c>
      <c r="W51" s="123">
        <f t="shared" si="22"/>
        <v>0</v>
      </c>
      <c r="X51" s="123">
        <f t="shared" si="9"/>
        <v>1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3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3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3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3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3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2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6</v>
      </c>
      <c r="AJ56" s="123">
        <f>SUMIF($E$7:$E$78,$AE56,$G$7:$G$78) + SUMIF($H$7:$H$78,$AE56,$F$7:$F$78)</f>
        <v>1</v>
      </c>
      <c r="AL56" s="123">
        <f>AI56-AJ56</f>
        <v>5</v>
      </c>
      <c r="AM56" s="123">
        <f>AL56-AL60</f>
        <v>11</v>
      </c>
      <c r="AN56" s="123">
        <f>AF56*3+AG56</f>
        <v>6</v>
      </c>
      <c r="AO56" s="123">
        <f>AN56/AN60*10+BA56</f>
        <v>8.5714285714285712</v>
      </c>
      <c r="AP56" s="123">
        <f>AO56*10000000+BI56*100+AM56/AM60*10+AI56/AI60*1++IF(AQ56=0,ROW(),AQ56)/2000000</f>
        <v>85714295.631891042</v>
      </c>
      <c r="AQ56" s="126">
        <f>VLOOKUP(AE56,db_fifarank,2,FALSE)</f>
        <v>1877.32</v>
      </c>
      <c r="AR56" s="125">
        <f>AP56/AP60</f>
        <v>0.99999998833333481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3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2</v>
      </c>
      <c r="L57" s="31">
        <f>VLOOKUP(1,AD56:AN59,3,FALSE)</f>
        <v>2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6 - 1</v>
      </c>
      <c r="P57" s="32">
        <f>L57*3+M57</f>
        <v>6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3</v>
      </c>
      <c r="AJ57" s="123">
        <f>SUMIF($E$7:$E$78,$AE57,$G$7:$G$78) + SUMIF($H$7:$H$78,$AE57,$F$7:$F$78)</f>
        <v>6</v>
      </c>
      <c r="AL57" s="123">
        <f>AI57-AJ57</f>
        <v>-3</v>
      </c>
      <c r="AM57" s="123">
        <f>AL57-AL60</f>
        <v>3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2.8758444949999999</v>
      </c>
      <c r="AQ57" s="126">
        <f>VLOOKUP(AE57,db_fifarank,2,FALSE)</f>
        <v>1688.99</v>
      </c>
      <c r="AR57" s="125">
        <f>AP57/AP60</f>
        <v>3.35515148348077E-8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3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2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7 - 3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2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7</v>
      </c>
      <c r="AL58" s="123">
        <f>AI58-AJ58</f>
        <v>-6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0.12572357000000001</v>
      </c>
      <c r="AQ58" s="126">
        <f>VLOOKUP(AE58,db_fifarank,2,FALSE)</f>
        <v>1447.14</v>
      </c>
      <c r="AR58" s="125">
        <f>AP58/AP60</f>
        <v>1.466774796507203E-9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3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2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3 - 6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7</v>
      </c>
      <c r="AJ59" s="123">
        <f>SUMIF($E$7:$E$78,$AE59,$G$7:$G$78) + SUMIF($H$7:$H$78,$AE59,$F$7:$F$78)</f>
        <v>3</v>
      </c>
      <c r="AL59" s="123">
        <f>AI59-AJ59</f>
        <v>4</v>
      </c>
      <c r="AM59" s="123">
        <f>AL59-AL60</f>
        <v>10</v>
      </c>
      <c r="AN59" s="123">
        <f>AF59*3+AG59</f>
        <v>6</v>
      </c>
      <c r="AO59" s="123">
        <f>AN59/AN60*10+BA59</f>
        <v>8.5714285714285712</v>
      </c>
      <c r="AP59" s="123">
        <f>AO59*10000000+BI59*100+AM59/AM60*10+AI59/AI60*1++IF(AQ59=0,ROW(),AQ59)/2000000</f>
        <v>85714294.923394516</v>
      </c>
      <c r="AQ59" s="126">
        <f>VLOOKUP(AE59,db_fifarank,2,FALSE)</f>
        <v>1550.94</v>
      </c>
      <c r="AR59" s="125">
        <f>AP59/AP60</f>
        <v>0.99999998006754309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3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2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2</v>
      </c>
      <c r="O60" s="36" t="str">
        <f>VLOOKUP(4,AD56:AN59,6,FALSE) &amp; " - " &amp; VLOOKUP(4,AD56:AN59,7,FALSE)</f>
        <v>1 - 7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3</v>
      </c>
      <c r="AG60" s="123">
        <f t="shared" si="27"/>
        <v>1</v>
      </c>
      <c r="AH60" s="123">
        <f t="shared" si="27"/>
        <v>3</v>
      </c>
      <c r="AI60" s="123">
        <f>MAX(AI56:AI59)+1</f>
        <v>8</v>
      </c>
      <c r="AL60" s="123">
        <f>MIN(AL56:AL59)</f>
        <v>-6</v>
      </c>
      <c r="AM60" s="123">
        <f>MAX(AM56:AM59)+1</f>
        <v>12</v>
      </c>
      <c r="AN60" s="123">
        <f>MAX(AN56:AN59)+1</f>
        <v>7</v>
      </c>
      <c r="AO60" s="123">
        <f>MAX(AO56:AO59)+1</f>
        <v>9.5714285714285712</v>
      </c>
      <c r="AP60" s="123">
        <f>MAX(AP56:AP59)+1</f>
        <v>85714296.631891042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3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3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3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3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3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3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3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3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12</v>
      </c>
      <c r="AN68" s="123">
        <f>AF68*3+AG68</f>
        <v>4</v>
      </c>
      <c r="AO68" s="123">
        <f>AN68/AN72*10+BA68</f>
        <v>5.7142857142857135</v>
      </c>
      <c r="AP68" s="123">
        <f>AO68*10000000+BI68*100+AM68/AM72*10+AI68/AI72*1++IF(AQ68=0,ROW(),AQ68)/2000000</f>
        <v>57142867.231651142</v>
      </c>
      <c r="AQ68" s="126">
        <f>VLOOKUP(AE68,db_fifarank,2,FALSE)</f>
        <v>1763.83</v>
      </c>
      <c r="AR68" s="125">
        <f>AP68/AP72</f>
        <v>0.66666671231139207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3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2</v>
      </c>
      <c r="L69" s="31">
        <f>VLOOKUP(1,AD68:AN71,3,FALSE)</f>
        <v>2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6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2</v>
      </c>
      <c r="AL69" s="123">
        <f>AI69-AJ69</f>
        <v>-1</v>
      </c>
      <c r="AM69" s="123">
        <f>AL69-AL72</f>
        <v>6</v>
      </c>
      <c r="AN69" s="123">
        <f>AF69*3+AG69</f>
        <v>1</v>
      </c>
      <c r="AO69" s="123">
        <f>AN69/AN72*10+BA69</f>
        <v>1.4285714285714284</v>
      </c>
      <c r="AP69" s="123">
        <f>AO69*10000000+BI69*100+AM69/AM72*10+AI69/AI72*1++IF(AQ69=0,ROW(),AQ69)/2000000</f>
        <v>14285719.044695219</v>
      </c>
      <c r="AQ69" s="126">
        <f>VLOOKUP(AE69,db_fifarank,2,FALSE)</f>
        <v>1478.35</v>
      </c>
      <c r="AR69" s="125">
        <f>AP69/AP72</f>
        <v>0.16666670417364024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3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2</v>
      </c>
      <c r="L70" s="23">
        <f>VLOOKUP(2,AD68:AN71,3,FALSE)</f>
        <v>1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4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2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8</v>
      </c>
      <c r="AL70" s="123">
        <f>AI70-AJ70</f>
        <v>-7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0.14358981285714284</v>
      </c>
      <c r="AQ70" s="126">
        <f>VLOOKUP(AE70,db_fifarank,2,FALSE)</f>
        <v>1465.34</v>
      </c>
      <c r="AR70" s="125">
        <f>AP70/AP72</f>
        <v>1.6752143022647808E-9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3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2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1 - 2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10</v>
      </c>
      <c r="AN71" s="123">
        <f>AF71*3+AG71</f>
        <v>6</v>
      </c>
      <c r="AO71" s="123">
        <f>AN71/AN72*10+BA71</f>
        <v>8.5714285714285712</v>
      </c>
      <c r="AP71" s="123">
        <f>AO71*10000000+BI71*100+AM71/AM72*10+AI71/AI72*1++IF(AQ71=0,ROW(),AQ71)/2000000</f>
        <v>85714293.978868529</v>
      </c>
      <c r="AQ71" s="126">
        <f>VLOOKUP(AE71,db_fifarank,2,FALSE)</f>
        <v>1693.09</v>
      </c>
      <c r="AR71" s="125">
        <f>AP71/AP72</f>
        <v>0.99999998833333459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3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2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1 - 8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3</v>
      </c>
      <c r="AG72" s="123">
        <f t="shared" si="35"/>
        <v>2</v>
      </c>
      <c r="AH72" s="123">
        <f t="shared" si="35"/>
        <v>3</v>
      </c>
      <c r="AI72" s="123">
        <f>MAX(AI68:AI71)+1</f>
        <v>7</v>
      </c>
      <c r="AL72" s="123">
        <f>MIN(AL68:AL71)</f>
        <v>-7</v>
      </c>
      <c r="AM72" s="123">
        <f>MAX(AM68:AM71)+1</f>
        <v>13</v>
      </c>
      <c r="AN72" s="123">
        <f>MAX(AN68:AN71)+1</f>
        <v>7</v>
      </c>
      <c r="AO72" s="123">
        <f>MAX(AO68:AO71)+1</f>
        <v>9.5714285714285712</v>
      </c>
      <c r="AP72" s="123">
        <f>MAX(AP68:AP71)+1</f>
        <v>85714294.978868529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3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3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4</v>
      </c>
      <c r="AO74" s="123">
        <f>AN74/AN78*10+BA74</f>
        <v>8.9803921568627452</v>
      </c>
      <c r="AP74" s="123">
        <f>AO74*10000000+BI74*100+AM74/AM78*10+AI74/AI78*1++IF(AQ74=0,ROW(),AQ74)/2000000</f>
        <v>89804028.408756107</v>
      </c>
      <c r="AQ74" s="126">
        <f>VLOOKUP(AE74,db_fifarank,2,FALSE)</f>
        <v>1825.97</v>
      </c>
      <c r="AR74" s="125">
        <f>AP74/AP78</f>
        <v>0.99999998886464214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1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50</v>
      </c>
      <c r="BA74" s="126">
        <f>AZ74/AZ78</f>
        <v>0.98039215686274506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1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50</v>
      </c>
      <c r="BI74" s="126">
        <f>BH74/BH78</f>
        <v>0.98039215686274506</v>
      </c>
    </row>
    <row r="75" spans="1:95" x14ac:dyDescent="0.3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2</v>
      </c>
      <c r="L75" s="31">
        <f>VLOOKUP(1,AD74:AN77,3,FALSE)</f>
        <v>1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4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3</v>
      </c>
      <c r="AE75" s="124" t="str">
        <f>VLOOKUP("Croatia",T,lang,FALSE)</f>
        <v>Croatia</v>
      </c>
      <c r="AF75" s="123">
        <f>COUNTIF($S$7:$T$78,"=" &amp; AE75 &amp; "_win")</f>
        <v>1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3</v>
      </c>
      <c r="AJ75" s="123">
        <f>SUMIF($E$7:$E$78,$AE75,$G$7:$G$78) + SUMIF($H$7:$H$78,$AE75,$F$7:$F$78)</f>
        <v>4</v>
      </c>
      <c r="AL75" s="123">
        <f>AI75-AJ75</f>
        <v>-1</v>
      </c>
      <c r="AM75" s="123">
        <f>AL75-AL78</f>
        <v>1</v>
      </c>
      <c r="AN75" s="123">
        <f>AF75*3+AG75</f>
        <v>3</v>
      </c>
      <c r="AO75" s="123">
        <f>AN75/AN78*10+BA75</f>
        <v>6</v>
      </c>
      <c r="AP75" s="123">
        <f>AO75*10000000+BI75*100+AM75/AM78*10+AI75/AI78*1++IF(AQ75=0,ROW(),AQ75)/2000000</f>
        <v>60000002.600858539</v>
      </c>
      <c r="AQ75" s="126">
        <f>VLOOKUP(AE75,db_fifarank,2,FALSE)</f>
        <v>1717.07</v>
      </c>
      <c r="AR75" s="125">
        <f>AP75/AP78</f>
        <v>0.66812149739695748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3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2</v>
      </c>
      <c r="L76" s="23">
        <f>VLOOKUP(2,AD74:AN77,3,FALSE)</f>
        <v>1</v>
      </c>
      <c r="M76" s="23">
        <f>VLOOKUP(2,AD74:AN77,4,FALSE)</f>
        <v>1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4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4</v>
      </c>
      <c r="AO76" s="123">
        <f>AN76/AN78*10+BA76</f>
        <v>8.9803921568627452</v>
      </c>
      <c r="AP76" s="123">
        <f>AO76*10000000+BI76*100+AM76/AM78*10+AI76/AI78*1++IF(AQ76=0,ROW(),AQ76)/2000000</f>
        <v>89804025.808516294</v>
      </c>
      <c r="AQ76" s="126">
        <f>VLOOKUP(AE76,db_fifarank,2,FALSE)</f>
        <v>1346.31</v>
      </c>
      <c r="AR76" s="125">
        <f>AP76/AP78</f>
        <v>0.99999995991004154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1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50</v>
      </c>
      <c r="BA76" s="126">
        <f>AZ76/AZ78</f>
        <v>0.98039215686274506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1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50</v>
      </c>
      <c r="BI76" s="126">
        <f>BH76/BH78</f>
        <v>0.98039215686274506</v>
      </c>
    </row>
    <row r="77" spans="1:95" x14ac:dyDescent="0.3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Croatia</v>
      </c>
      <c r="K77" s="23">
        <f>L77+M77+N77</f>
        <v>2</v>
      </c>
      <c r="L77" s="23">
        <f>VLOOKUP(3,AD74:AN77,3,FALSE)</f>
        <v>1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3 - 4</v>
      </c>
      <c r="P77" s="34">
        <f>L77*3+M77</f>
        <v>3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2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2</v>
      </c>
      <c r="AL77" s="123">
        <f>AI77-AJ77</f>
        <v>-2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8.5777888260868168E-12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3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2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2</v>
      </c>
      <c r="O78" s="36" t="str">
        <f>VLOOKUP(4,AD74:AN77,6,FALSE) &amp; " - " &amp; VLOOKUP(4,AD74:AN77,7,FALSE)</f>
        <v>0 - 2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2</v>
      </c>
      <c r="AH78" s="123">
        <f t="shared" si="36"/>
        <v>3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5</v>
      </c>
      <c r="AO78" s="123">
        <f>MAX(AO74:AO77)+1</f>
        <v>9.9803921568627452</v>
      </c>
      <c r="AP78" s="123">
        <f>MAX(AP74:AP77)+1</f>
        <v>89804029.408756107</v>
      </c>
      <c r="AT78" s="126">
        <f>MAX(AT74:AT77)-MIN(AT74:AT77)+1</f>
        <v>1</v>
      </c>
      <c r="AU78" s="126">
        <f>MAX(AU74:AU77)-MIN(AU74:AU77)+1</f>
        <v>2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51</v>
      </c>
      <c r="BB78" s="126">
        <f>MAX(BB74:BB77)-MIN(BB74:BB77)+1</f>
        <v>1</v>
      </c>
      <c r="BC78" s="126">
        <f>MAX(BC74:BC77)-MIN(BC74:BC77)+1</f>
        <v>2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51</v>
      </c>
    </row>
    <row r="79" spans="1:95" x14ac:dyDescent="0.3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3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3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11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2528.5721214914283</v>
      </c>
      <c r="AQ81" s="126">
        <f t="shared" si="37"/>
        <v>1385.84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Bosnia and Herzegovina</v>
      </c>
    </row>
    <row r="82" spans="1:46" ht="15" customHeight="1" x14ac:dyDescent="0.3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8264.286463460714</v>
      </c>
      <c r="AQ82" s="126">
        <f t="shared" si="37"/>
        <v>1498.35</v>
      </c>
      <c r="AR82" s="125" t="str">
        <f t="shared" ref="AR82:AR91" si="50">AR81&amp;IF(AD82&lt;=8,RIGHT(AK82,1),"")</f>
        <v>AC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3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Ⓛ Croatia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3 - 4</v>
      </c>
      <c r="P83" s="101">
        <f t="shared" si="48"/>
        <v>3</v>
      </c>
      <c r="AD83" s="123">
        <f t="shared" si="38"/>
        <v>5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7778.5721803214283</v>
      </c>
      <c r="AQ83" s="126">
        <f t="shared" si="37"/>
        <v>1503.5</v>
      </c>
      <c r="AR83" s="125" t="str">
        <f t="shared" si="50"/>
        <v>ACD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3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Ⓙ Algeria</v>
      </c>
      <c r="K84" s="100">
        <f t="shared" si="47"/>
        <v>2</v>
      </c>
      <c r="L84" s="100">
        <f>VLOOKUP(4,$AD$80:$AN$91,3,FALSE)</f>
        <v>1</v>
      </c>
      <c r="M84" s="100">
        <f>VLOOKUP(4,$AD$80:$AN$91,4,FALSE)</f>
        <v>0</v>
      </c>
      <c r="N84" s="100">
        <f>VLOOKUP(4,$AD$80:$AN$91,5,FALSE)</f>
        <v>1</v>
      </c>
      <c r="O84" s="100" t="str">
        <f>VLOOKUP(4,$AD$80:$AN$91,6,FALSE) &amp; " - " &amp; VLOOKUP(4,$AD$80:$AN$91,7,FALSE)</f>
        <v>2 - 4</v>
      </c>
      <c r="P84" s="101">
        <f t="shared" si="48"/>
        <v>3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10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3000.0007973900001</v>
      </c>
      <c r="AQ84" s="126">
        <f t="shared" si="37"/>
        <v>1594.78</v>
      </c>
      <c r="AR84" s="125" t="str">
        <f t="shared" si="50"/>
        <v>ACD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3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Ⓓ Paraguay</v>
      </c>
      <c r="K85" s="100">
        <f t="shared" si="47"/>
        <v>2</v>
      </c>
      <c r="L85" s="100">
        <f>VLOOKUP(5,$AD$80:$AN$91,3,FALSE)</f>
        <v>1</v>
      </c>
      <c r="M85" s="100">
        <f>VLOOKUP(5,$AD$80:$AN$91,4,FALSE)</f>
        <v>0</v>
      </c>
      <c r="N85" s="100">
        <f>VLOOKUP(5,$AD$80:$AN$91,5,FALSE)</f>
        <v>1</v>
      </c>
      <c r="O85" s="100" t="str">
        <f>VLOOKUP(5,$AD$80:$AN$91,6,FALSE) &amp; " - " &amp; VLOOKUP(5,$AD$80:$AN$91,7,FALSE)</f>
        <v>2 - 4</v>
      </c>
      <c r="P85" s="101">
        <f t="shared" si="48"/>
        <v>3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8335.715043099286</v>
      </c>
      <c r="AQ85" s="126">
        <f t="shared" si="37"/>
        <v>1514.77</v>
      </c>
      <c r="AR85" s="125" t="str">
        <f t="shared" si="50"/>
        <v>ACDF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3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Ⓗ Cape Verde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2</v>
      </c>
      <c r="N86" s="100">
        <f>VLOOKUP(6,$AD$80:$AN$91,5,FALSE)</f>
        <v>0</v>
      </c>
      <c r="O86" s="100" t="str">
        <f>VLOOKUP(6,$AD$80:$AN$91,6,FALSE) &amp; " - " &amp; VLOOKUP(6,$AD$80:$AN$91,7,FALSE)</f>
        <v>2 - 2</v>
      </c>
      <c r="P86" s="101">
        <f t="shared" si="48"/>
        <v>2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7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5764.2865816407148</v>
      </c>
      <c r="AQ86" s="126">
        <f t="shared" si="37"/>
        <v>1734.71</v>
      </c>
      <c r="AR86" s="125" t="str">
        <f t="shared" si="50"/>
        <v>ACDFG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3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Ⓖ Belgium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2</v>
      </c>
      <c r="N87" s="100">
        <f>VLOOKUP(7,$AD$80:$AN$91,5,FALSE)</f>
        <v>0</v>
      </c>
      <c r="O87" s="100" t="str">
        <f>VLOOKUP(7,$AD$80:$AN$91,6,FALSE) &amp; " - " &amp; VLOOKUP(7,$AD$80:$AN$91,7,FALSE)</f>
        <v>1 - 1</v>
      </c>
      <c r="P87" s="101">
        <f t="shared" si="48"/>
        <v>2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6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5778.5721116364284</v>
      </c>
      <c r="AQ87" s="126">
        <f t="shared" si="37"/>
        <v>1366.13</v>
      </c>
      <c r="AR87" s="125" t="str">
        <f t="shared" si="50"/>
        <v>ACDFGH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3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Ⓐ Czech Republic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2 - 3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12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2</v>
      </c>
      <c r="AI88" s="123">
        <f t="shared" si="41"/>
        <v>3</v>
      </c>
      <c r="AJ88" s="123">
        <f t="shared" si="42"/>
        <v>6</v>
      </c>
      <c r="AK88" s="123" t="s">
        <v>3189</v>
      </c>
      <c r="AL88" s="123">
        <f t="shared" si="43"/>
        <v>-3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42.857987352142857</v>
      </c>
      <c r="AQ88" s="126">
        <f t="shared" si="37"/>
        <v>1688.99</v>
      </c>
      <c r="AR88" s="125" t="str">
        <f t="shared" si="50"/>
        <v>ACDFGH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3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1 - 2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4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7778.572210701428</v>
      </c>
      <c r="AQ89" s="126">
        <f t="shared" si="37"/>
        <v>1564.26</v>
      </c>
      <c r="AR89" s="125" t="str">
        <f t="shared" si="50"/>
        <v>ACDFGHJ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3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Ⓔ Ecuador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1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1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1</v>
      </c>
      <c r="AI90" s="123">
        <f t="shared" si="41"/>
        <v>1</v>
      </c>
      <c r="AJ90" s="123">
        <f t="shared" si="42"/>
        <v>2</v>
      </c>
      <c r="AK90" s="123" t="s">
        <v>3191</v>
      </c>
      <c r="AL90" s="123">
        <f t="shared" si="43"/>
        <v>-1</v>
      </c>
      <c r="AM90" s="123">
        <f t="shared" si="44"/>
        <v>2</v>
      </c>
      <c r="AN90" s="123">
        <f t="shared" si="45"/>
        <v>1</v>
      </c>
      <c r="AP90" s="123">
        <f>AN90/AN92*10000+AM90/AM92*1000+AI90/AI92*100+IF(AQ90=0,ROW(),AQ90)/2000000</f>
        <v>3014.2864534607143</v>
      </c>
      <c r="AQ90" s="126">
        <f t="shared" si="37"/>
        <v>1478.35</v>
      </c>
      <c r="AR90" s="125" t="str">
        <f t="shared" si="50"/>
        <v>ACDFGHJ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3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Ⓑ Bosnia and Herzegovina</v>
      </c>
      <c r="K91" s="103">
        <f t="shared" si="47"/>
        <v>2</v>
      </c>
      <c r="L91" s="103">
        <f>VLOOKUP(11,$AD$80:$AN$91,3,FALSE)</f>
        <v>0</v>
      </c>
      <c r="M91" s="103">
        <f>VLOOKUP(11,$AD$80:$AN$91,4,FALSE)</f>
        <v>1</v>
      </c>
      <c r="N91" s="103">
        <f>VLOOKUP(11,$AD$80:$AN$91,5,FALSE)</f>
        <v>1</v>
      </c>
      <c r="O91" s="103" t="str">
        <f>VLOOKUP(11,$AD$80:$AN$91,6,FALSE) &amp; " - " &amp; VLOOKUP(11,$AD$80:$AN$91,7,FALSE)</f>
        <v>2 - 5</v>
      </c>
      <c r="P91" s="104">
        <f t="shared" si="48"/>
        <v>1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3</v>
      </c>
      <c r="AE91" s="124" t="str">
        <f>J77</f>
        <v>Croatia</v>
      </c>
      <c r="AF91" s="123">
        <f t="shared" si="39"/>
        <v>1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3</v>
      </c>
      <c r="AJ91" s="123">
        <f>VLOOKUP($AE91,$AE$8:$AQ$78,6,FALSE)</f>
        <v>4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3</v>
      </c>
      <c r="AP91" s="123">
        <f>AN91/AN92*10000+AM91/AM92*1000+AI91/AI92*100+IF(AQ91=0,ROW(),AQ91)/2000000</f>
        <v>8042.8580013921428</v>
      </c>
      <c r="AQ91" s="126">
        <f t="shared" si="37"/>
        <v>1717.07</v>
      </c>
      <c r="AR91" s="125" t="str">
        <f t="shared" si="50"/>
        <v>ACDFGHJL</v>
      </c>
      <c r="AS91" s="129" t="str">
        <f t="shared" si="46"/>
        <v>Croatia</v>
      </c>
      <c r="AT91" s="130" t="str">
        <f>"Ⓛ "&amp;AE91</f>
        <v>Ⓛ Croatia</v>
      </c>
    </row>
    <row r="92" spans="1:46" ht="15" customHeight="1" x14ac:dyDescent="0.3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Ⓘ Senegal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2</v>
      </c>
      <c r="O92" s="106" t="str">
        <f>VLOOKUP(12,$AD$80:$AN$91,6,FALSE) &amp; " - " &amp; VLOOKUP(12,$AD$80:$AN$91,7,FALSE)</f>
        <v>3 - 6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3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3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3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3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3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3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3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3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3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796875" defaultRowHeight="14.5" x14ac:dyDescent="0.35"/>
  <cols>
    <col min="1" max="1" width="2.453125" style="82" customWidth="1"/>
    <col min="2" max="2" width="9.1796875" style="81"/>
    <col min="3" max="3" width="13.7265625" style="81" customWidth="1"/>
    <col min="4" max="11" width="9.453125" style="81" customWidth="1"/>
    <col min="12" max="16384" width="9.1796875" style="82"/>
  </cols>
  <sheetData>
    <row r="1" spans="2:11" ht="8.25" customHeight="1" x14ac:dyDescent="0.35"/>
    <row r="2" spans="2:11" ht="21" x14ac:dyDescent="0.35">
      <c r="B2" s="108" t="s">
        <v>3193</v>
      </c>
    </row>
    <row r="3" spans="2:11" x14ac:dyDescent="0.35">
      <c r="B3" s="109">
        <f>MATCH(C3,C6:C500,0)</f>
        <v>246</v>
      </c>
      <c r="C3" s="121" t="str">
        <f>'2026 World Cup'!AR91</f>
        <v>ACDFGHJL</v>
      </c>
      <c r="D3" s="121" t="str">
        <f>VLOOKUP($C3,$C$6:$K$500,2,FALSE)</f>
        <v>3C</v>
      </c>
      <c r="E3" s="121" t="str">
        <f>VLOOKUP($C3,$C$6:$K$500,3,FALSE)</f>
        <v>3G</v>
      </c>
      <c r="F3" s="121" t="str">
        <f>VLOOKUP($C3,$C$6:$K$500,4,FALSE)</f>
        <v>3J</v>
      </c>
      <c r="G3" s="121" t="str">
        <f>VLOOKUP($C3,$C$6:$K$500,5,FALSE)</f>
        <v>3D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3H</v>
      </c>
    </row>
    <row r="5" spans="2:11" ht="19.5" customHeight="1" x14ac:dyDescent="0.3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3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3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3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3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3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3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3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3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3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3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3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3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3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3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3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3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3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3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3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3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3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3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3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3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3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3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3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3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3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3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3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3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3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3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3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3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3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3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3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3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3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3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3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3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3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3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3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3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3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3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3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3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3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3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3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3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3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3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3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3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3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3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3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3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3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3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3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3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3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3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3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3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3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3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3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3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3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3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3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3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3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3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3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3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3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3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3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3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3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3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3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3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3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3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3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3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3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3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3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3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3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3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3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3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3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3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3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3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3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3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3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3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3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3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3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3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3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3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3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3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3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3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3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3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3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3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3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3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3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3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3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3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3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3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3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3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3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3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3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3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3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3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3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3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3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3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3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3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3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3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3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3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3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3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3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3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3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3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3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3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3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3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3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3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3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3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3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3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3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3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3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3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3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3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3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3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3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3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3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3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3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3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3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3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3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3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3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3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3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3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3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3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3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3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3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3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3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3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3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3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3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3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3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3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3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3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3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3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3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3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3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3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3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3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3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3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3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3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3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3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3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3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3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3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3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3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3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3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3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3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3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3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3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3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3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3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3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3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3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3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3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3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3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3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3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3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3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3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3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3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3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3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3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3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3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3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3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3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3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3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3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3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3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3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3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3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3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3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3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3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3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3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3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3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3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3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3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3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3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3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3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3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3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3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3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3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3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3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3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3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3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3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3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3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3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3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3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3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3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3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3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3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3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3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3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3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3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3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3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3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3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3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3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3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3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3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3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3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3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3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3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3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3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3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3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3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3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3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3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3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3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3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3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3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3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3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3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3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3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3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3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3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3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3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3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3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3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3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3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3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3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3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3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3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3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3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3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3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3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3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3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3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3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3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3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3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3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3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3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3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3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3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3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3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3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3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3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3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3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3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3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3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3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3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3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3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3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3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3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3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3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3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3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3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3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3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3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3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3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3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3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3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3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3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3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3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3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3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3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3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3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3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3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3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3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3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3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3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3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3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3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3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3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3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3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3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3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3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3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3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3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3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3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3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3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3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3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3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3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3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3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3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3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3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3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3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3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3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3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3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3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3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3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3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3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3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3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3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3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3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3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3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3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3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3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3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3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3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3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3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3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3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3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3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3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3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3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3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3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3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3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3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3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3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3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3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3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3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3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3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3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3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3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3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3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2026-06-24T09:12:41Z</dcterms:modified>
  <cp:category>Sports</cp:category>
  <cp:contentStatus/>
</cp:coreProperties>
</file>
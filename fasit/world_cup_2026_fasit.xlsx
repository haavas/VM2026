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8312EC39-E6B5-4F35-8101-4825631F7CDA}" xr6:coauthVersionLast="47" xr6:coauthVersionMax="47" xr10:uidLastSave="{00000000-0000-0000-0000-000000000000}"/>
  <bookViews>
    <workbookView xWindow="6120" yWindow="2910" windowWidth="28800" windowHeight="15345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75" i="3"/>
  <c r="T49" i="3"/>
  <c r="S47" i="3"/>
  <c r="S67" i="3"/>
  <c r="T68" i="3"/>
  <c r="T48" i="3"/>
  <c r="T43" i="3"/>
  <c r="S72" i="3"/>
  <c r="T20" i="3"/>
  <c r="T44" i="3"/>
  <c r="T46" i="3"/>
  <c r="S70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N71" i="3" s="1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12" i="3" l="1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<sst xmlns="http://schemas.openxmlformats.org/spreadsheetml/2006/main" count="9786" uniqueCount="3698">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</sst>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25" sqref="G25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4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AB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ABC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ABC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Ⓑ Qatar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9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ABC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ABCF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Ⓛ Panama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1</v>
      </c>
      <c r="AP86" s="123">
        <f>AN86/AN92*10000+AM86/AM92*1000+AI86/AI92*100+IF(AQ86=0,ROW(),AQ86)/2000000</f>
        <v>5700.0008673550001</v>
      </c>
      <c r="AQ86" s="126">
        <f t="shared" si="37"/>
        <v>1734.71</v>
      </c>
      <c r="AR86" s="125" t="str">
        <f t="shared" si="50"/>
        <v>ABCFG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Ⓚ DR Congo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1</v>
      </c>
      <c r="AP87" s="123">
        <f>AN87/AN92*10000+AM87/AM92*1000+AI87/AI92*100+IF(AQ87=0,ROW(),AQ87)/2000000</f>
        <v>5666.6676048666668</v>
      </c>
      <c r="AQ87" s="126">
        <f t="shared" si="37"/>
        <v>1876.4</v>
      </c>
      <c r="AR87" s="125" t="str">
        <f t="shared" si="50"/>
        <v>ABCFGH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Ⓐ Czech Republic</v>
      </c>
      <c r="K88" s="100">
        <f t="shared" si="47"/>
        <v>1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1</v>
      </c>
      <c r="O88" s="100" t="str">
        <f>VLOOKUP(8,$AD$80:$AN$91,6,FALSE) &amp; " - " &amp; VLOOKUP(8,$AD$80:$AN$91,7,FALSE)</f>
        <v>1 - 2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10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33.334177828333331</v>
      </c>
      <c r="AQ88" s="126">
        <f t="shared" si="37"/>
        <v>1688.99</v>
      </c>
      <c r="AR88" s="125" t="str">
        <f t="shared" si="50"/>
        <v>ABCFGH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Ⓔ Ecuador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11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0</v>
      </c>
      <c r="AN89" s="123">
        <f t="shared" si="45"/>
        <v>0</v>
      </c>
      <c r="AP89" s="123">
        <f>AN89/AN92*10000+AM89/AM92*1000+AI89/AI92*100+IF(AQ89=0,ROW(),AQ89)/2000000</f>
        <v>33.334029058333329</v>
      </c>
      <c r="AQ89" s="126">
        <f t="shared" si="37"/>
        <v>1391.45</v>
      </c>
      <c r="AR89" s="125" t="str">
        <f t="shared" si="50"/>
        <v>ABCFGH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Ⓘ Senegal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1 - 3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7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ABCFGHK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Ⓙ Jordan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ABCFGHKL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4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385</v>
      </c>
      <c r="C3" s="121" t="str">
        <f>'2026 World Cup'!AR91</f>
        <v>ABCFGHKL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2026-06-17T06:38:18Z</dcterms:modified>
  <cp:category>Sports</cp:category>
  <cp:contentStatus/>
</cp:coreProperties>
</file>
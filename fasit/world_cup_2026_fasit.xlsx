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1BA14AB1-F0AE-49E6-B8EB-568D2B32C034}" xr6:coauthVersionLast="47" xr6:coauthVersionMax="47" xr10:uidLastSave="{00000000-0000-0000-0000-000000000000}"/>
  <bookViews>
    <workbookView xWindow="6120" yWindow="29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T29" i="3" s="1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30" i="3"/>
  <c r="T78" i="3"/>
  <c r="S50" i="3"/>
  <c r="S76" i="3"/>
  <c r="T7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<sst xmlns="http://schemas.openxmlformats.org/spreadsheetml/2006/main" count="9786" uniqueCount="3698">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</sst>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30" sqref="G30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0</v>
      </c>
      <c r="AN68" s="123">
        <f>AF68*3+AG68</f>
        <v>1</v>
      </c>
      <c r="AO68" s="123">
        <f>AN68/AN72*10+BA68</f>
        <v>5.9805825242718447</v>
      </c>
      <c r="AP68" s="123">
        <f>AO68*10000000+BI68*100+AM68/AM72*10+AI68/AI72*1++IF(AQ68=0,ROW(),AQ68)/2000000</f>
        <v>59805923.801852785</v>
      </c>
      <c r="AQ68" s="126">
        <f>VLOOKUP(AE68,db_fifarank,2,FALSE)</f>
        <v>1763.83</v>
      </c>
      <c r="AR68" s="125">
        <f>AP68/AP72</f>
        <v>0.99999998327924866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1</v>
      </c>
      <c r="L69" s="31">
        <f>VLOOKUP(1,AD68:AN71,3,FALSE)</f>
        <v>0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1 - 1</v>
      </c>
      <c r="P69" s="32">
        <f>L69*3+M69</f>
        <v>1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2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0</v>
      </c>
      <c r="AN69" s="123">
        <f>AF69*3+AG69</f>
        <v>1</v>
      </c>
      <c r="AO69" s="123">
        <f>AN69/AN72*10+BA69</f>
        <v>5.9805825242718447</v>
      </c>
      <c r="AP69" s="123">
        <f>AO69*10000000+BI69*100+AM69/AM72*10+AI69/AI72*1++IF(AQ69=0,ROW(),AQ69)/2000000</f>
        <v>59805923.801710039</v>
      </c>
      <c r="AQ69" s="126">
        <f>VLOOKUP(AE69,db_fifarank,2,FALSE)</f>
        <v>1478.35</v>
      </c>
      <c r="AR69" s="125">
        <f>AP69/AP72</f>
        <v>0.99999998327686179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DR Congo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1.2250792917716104E-11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Colombia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3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1.4154868481755742E-11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2</v>
      </c>
      <c r="AH72" s="123">
        <f t="shared" si="35"/>
        <v>1</v>
      </c>
      <c r="AI72" s="123">
        <f>MAX(AI68:AI71)+1</f>
        <v>2</v>
      </c>
      <c r="AL72" s="123">
        <f>MIN(AL68:AL71)</f>
        <v>0</v>
      </c>
      <c r="AM72" s="123">
        <f>MAX(AM68:AM71)+1</f>
        <v>1</v>
      </c>
      <c r="AN72" s="123">
        <f>MAX(AN68:AN71)+1</f>
        <v>2</v>
      </c>
      <c r="AO72" s="123">
        <f>MAX(AO68:AO71)+1</f>
        <v>6.9805825242718447</v>
      </c>
      <c r="AP72" s="123">
        <f>MAX(AP68:AP71)+1</f>
        <v>59805924.801852785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Panama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2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4.0006731550000003</v>
      </c>
      <c r="AQ76" s="126">
        <f>VLOOKUP(AE76,db_fifarank,2,FALSE)</f>
        <v>1346.31</v>
      </c>
      <c r="AR76" s="125">
        <f>AP76/AP78</f>
        <v>5.3342301762623238E-8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2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2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4.00077032</v>
      </c>
      <c r="AQ77" s="126">
        <f>VLOOKUP(AE77,db_fifarank,2,FALSE)</f>
        <v>1540.64</v>
      </c>
      <c r="AR77" s="125">
        <f>AP77/AP78</f>
        <v>5.3343597295787265E-8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4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AB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ABC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ABC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Ⓑ Qatar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ABC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ABCF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Ⓚ Colombia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ABCFG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Ⓛ Ghana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ABCFGH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Ⓐ Czech Republic</v>
      </c>
      <c r="K88" s="100">
        <f t="shared" si="47"/>
        <v>1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1 - 2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10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33.334177828333331</v>
      </c>
      <c r="AQ88" s="126">
        <f t="shared" si="37"/>
        <v>1688.99</v>
      </c>
      <c r="AR88" s="125" t="str">
        <f t="shared" si="50"/>
        <v>ABCFGH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11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0</v>
      </c>
      <c r="AN89" s="123">
        <f t="shared" si="45"/>
        <v>0</v>
      </c>
      <c r="AP89" s="123">
        <f>AN89/AN92*10000+AM89/AM92*1000+AI89/AI92*100+IF(AQ89=0,ROW(),AQ89)/2000000</f>
        <v>33.334029058333329</v>
      </c>
      <c r="AQ89" s="126">
        <f t="shared" si="37"/>
        <v>1391.45</v>
      </c>
      <c r="AR89" s="125" t="str">
        <f t="shared" si="50"/>
        <v>ABCFGH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Ⓘ Senegal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1 - 3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6</v>
      </c>
      <c r="AE90" s="124" t="str">
        <f>J71</f>
        <v>Colombia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666.66751321166657</v>
      </c>
      <c r="AQ90" s="126">
        <f t="shared" si="37"/>
        <v>1693.09</v>
      </c>
      <c r="AR90" s="125" t="str">
        <f t="shared" si="50"/>
        <v>ABCFGHK</v>
      </c>
      <c r="AS90" s="129" t="str">
        <f t="shared" si="46"/>
        <v>Colombia</v>
      </c>
      <c r="AT90" s="130" t="str">
        <f>"Ⓚ "&amp;AE90</f>
        <v>Ⓚ Colombia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Ⓙ Jordan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7</v>
      </c>
      <c r="AE91" s="124" t="str">
        <f>J77</f>
        <v>Ghana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666.66733982166659</v>
      </c>
      <c r="AQ91" s="126">
        <f t="shared" si="37"/>
        <v>1346.31</v>
      </c>
      <c r="AR91" s="125" t="str">
        <f t="shared" si="50"/>
        <v>ABCFGHKL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4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385</v>
      </c>
      <c r="C3" s="121" t="str">
        <f>'2026 World Cup'!AR91</f>
        <v>ABCFGHKL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2026-06-17T22:13:12Z</dcterms:modified>
  <cp:category>Sports</cp:category>
  <cp:contentStatus/>
</cp:coreProperties>
</file>
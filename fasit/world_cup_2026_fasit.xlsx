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avas/git/VM2026/fasit/"/>
    </mc:Choice>
  </mc:AlternateContent>
  <xr:revisionPtr revIDLastSave="0" documentId="13_ncr:1_{EC8BDD3C-BC71-0E41-8ADA-F6C705E2B49E}" xr6:coauthVersionLast="47" xr6:coauthVersionMax="47" xr10:uidLastSave="{00000000-0000-0000-0000-000000000000}"/>
  <bookViews>
    <workbookView xWindow="0" yWindow="660" windowWidth="30240" windowHeight="18020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BP11" i="3" s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97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97" i="3" a="1"/>
  <c r="T102" i="3" a="1"/>
  <c r="AC102" i="3" a="1"/>
  <c r="T103" i="3" a="1"/>
  <c r="AC103" i="3" a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Y6" i="3" a="1"/>
  <c r="CF6" i="3" a="1"/>
  <c r="CM33" i="3" a="1"/>
  <c r="X103" i="3" s="1"/>
  <c r="CM44" i="3" a="1"/>
  <c r="P8" i="3" a="1"/>
  <c r="O8" i="3" a="1"/>
  <c r="N8" i="3" a="1"/>
  <c r="M8" i="3" a="1"/>
  <c r="L8" i="3" a="1"/>
  <c r="K8" i="3" a="1"/>
  <c r="P14" i="3" a="1"/>
  <c r="O14" i="3" a="1"/>
  <c r="N14" i="3" a="1"/>
  <c r="M14" i="3" a="1"/>
  <c r="L14" i="3" a="1"/>
  <c r="K14" i="3" a="1"/>
  <c r="P20" i="3" a="1"/>
  <c r="O20" i="3" a="1"/>
  <c r="N20" i="3" a="1"/>
  <c r="M20" i="3" a="1"/>
  <c r="L20" i="3" a="1"/>
  <c r="K20" i="3" a="1"/>
  <c r="P26" i="3" a="1"/>
  <c r="O26" i="3" a="1"/>
  <c r="N26" i="3" a="1"/>
  <c r="M26" i="3" a="1"/>
  <c r="L26" i="3" a="1"/>
  <c r="K26" i="3" a="1"/>
  <c r="P32" i="3" a="1"/>
  <c r="O32" i="3" a="1"/>
  <c r="N32" i="3" a="1"/>
  <c r="M32" i="3" a="1"/>
  <c r="L32" i="3" a="1"/>
  <c r="K32" i="3" a="1"/>
  <c r="P38" i="3" a="1"/>
  <c r="O38" i="3" a="1"/>
  <c r="N38" i="3" a="1"/>
  <c r="M38" i="3" a="1"/>
  <c r="L38" i="3" a="1"/>
  <c r="K38" i="3" a="1"/>
  <c r="P44" i="3" a="1"/>
  <c r="O44" i="3" a="1"/>
  <c r="N44" i="3" a="1"/>
  <c r="M44" i="3" a="1"/>
  <c r="L44" i="3" a="1"/>
  <c r="K44" i="3" a="1"/>
  <c r="P50" i="3" a="1"/>
  <c r="O50" i="3" a="1"/>
  <c r="N50" i="3" a="1"/>
  <c r="M50" i="3" a="1"/>
  <c r="L50" i="3" a="1"/>
  <c r="K50" i="3" a="1"/>
  <c r="P56" i="3" a="1"/>
  <c r="O56" i="3" a="1"/>
  <c r="N56" i="3" a="1"/>
  <c r="M56" i="3" a="1"/>
  <c r="L56" i="3" a="1"/>
  <c r="K56" i="3" a="1"/>
  <c r="P62" i="3" a="1"/>
  <c r="O62" i="3" a="1"/>
  <c r="N62" i="3" a="1"/>
  <c r="M62" i="3" a="1"/>
  <c r="L62" i="3" a="1"/>
  <c r="K62" i="3" a="1"/>
  <c r="P68" i="3" a="1"/>
  <c r="O68" i="3" a="1"/>
  <c r="N68" i="3" a="1"/>
  <c r="M68" i="3" a="1"/>
  <c r="L68" i="3" a="1"/>
  <c r="K68" i="3" a="1"/>
  <c r="P74" i="3" a="1"/>
  <c r="O74" i="3" a="1"/>
  <c r="N74" i="3" a="1"/>
  <c r="M74" i="3" a="1"/>
  <c r="L74" i="3" a="1"/>
  <c r="K74" i="3" a="1"/>
  <c r="P80" i="3" a="1"/>
  <c r="O80" i="3" a="1"/>
  <c r="N80" i="3" a="1"/>
  <c r="M80" i="3" a="1"/>
  <c r="L80" i="3" a="1"/>
  <c r="K80" i="3" a="1"/>
  <c r="J74" i="3" a="1"/>
  <c r="J68" i="3" a="1"/>
  <c r="J62" i="3" a="1"/>
  <c r="J56" i="3" a="1"/>
  <c r="J50" i="3" a="1"/>
  <c r="J44" i="3" a="1"/>
  <c r="J38" i="3" a="1"/>
  <c r="J32" i="3" a="1"/>
  <c r="J26" i="3" a="1"/>
  <c r="J20" i="3" a="1"/>
  <c r="J14" i="3" a="1"/>
  <c r="J8" i="3" a="1"/>
  <c r="A5" i="3" a="1"/>
  <c r="A1" i="3" a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R47" i="3"/>
  <c r="CM47" i="3" s="1" a="1"/>
  <c r="CK54" i="3"/>
  <c r="CF54" i="3" s="1" a="1"/>
  <c r="CD47" i="3"/>
  <c r="BY47" i="3" s="1" a="1"/>
  <c r="CK22" i="3"/>
  <c r="CF22" i="3" s="1" a="1"/>
  <c r="CD63" i="3"/>
  <c r="BY63" i="3" s="1" a="1"/>
  <c r="BY31" i="3" a="1"/>
  <c r="BW67" i="3"/>
  <c r="BR67" i="3" s="1" a="1"/>
  <c r="CD15" i="3"/>
  <c r="BY15" i="3" s="1" a="1"/>
  <c r="BW51" i="3"/>
  <c r="BR51" i="3" s="1" a="1"/>
  <c r="BR59" i="3" a="1"/>
  <c r="BW35" i="3"/>
  <c r="BR35" i="3" s="1" a="1"/>
  <c r="BW43" i="3"/>
  <c r="BR43" i="3" s="1" a="1"/>
  <c r="BW27" i="3"/>
  <c r="BR27" i="3" s="1" a="1"/>
  <c r="BR19" i="3" a="1"/>
  <c r="BP69" i="3"/>
  <c r="BK69" i="3" s="1" a="1"/>
  <c r="BW11" i="3"/>
  <c r="BR11" i="3" s="1" a="1"/>
  <c r="BP61" i="3"/>
  <c r="BK61" i="3" s="1" a="1"/>
  <c r="BP65" i="3"/>
  <c r="BK65" i="3" s="1" a="1"/>
  <c r="BP57" i="3"/>
  <c r="BK57" i="3" s="1" a="1"/>
  <c r="BK53" i="3" a="1"/>
  <c r="BP49" i="3"/>
  <c r="BK49" i="3" s="1" a="1"/>
  <c r="BK45" i="3" a="1"/>
  <c r="BK41" i="3" a="1"/>
  <c r="BP37" i="3"/>
  <c r="BK37" i="3" s="1" a="1"/>
  <c r="BP33" i="3"/>
  <c r="BK33" i="3" s="1" a="1"/>
  <c r="BK29" i="3" a="1"/>
  <c r="BP25" i="3"/>
  <c r="BK25" i="3" s="1" a="1"/>
  <c r="BP21" i="3"/>
  <c r="BK21" i="3" s="1" a="1"/>
  <c r="BK17" i="3" a="1"/>
  <c r="BP13" i="3"/>
  <c r="BK13" i="3" s="1" a="1"/>
  <c r="BP9" i="3"/>
  <c r="BK9" i="3" s="1" a="1"/>
  <c r="I15" i="2"/>
  <c r="AA7" i="2" l="1" a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B7" i="3" a="1"/>
  <c r="D8" i="3"/>
  <c r="C8" i="3" a="1"/>
  <c r="B8" i="3" a="1"/>
  <c r="D10" i="3"/>
  <c r="C10" i="3" a="1"/>
  <c r="B10" i="3" a="1"/>
  <c r="D18" i="3"/>
  <c r="C18" i="3" a="1"/>
  <c r="B18" i="3" a="1"/>
  <c r="D30" i="3"/>
  <c r="C30" i="3" a="1"/>
  <c r="B30" i="3" a="1"/>
  <c r="D54" i="3"/>
  <c r="C54" i="3" a="1"/>
  <c r="B54" i="3" a="1"/>
  <c r="D65" i="3"/>
  <c r="C65" i="3" a="1"/>
  <c r="B65" i="3" a="1"/>
  <c r="D66" i="3"/>
  <c r="C66" i="3" a="1"/>
  <c r="B66" i="3" a="1"/>
  <c r="D75" i="3"/>
  <c r="C75" i="3" a="1"/>
  <c r="B75" i="3" a="1"/>
  <c r="D76" i="3"/>
  <c r="C76" i="3" a="1"/>
  <c r="B76" i="3" a="1"/>
  <c r="D34" i="3"/>
  <c r="C34" i="3" a="1"/>
  <c r="B34" i="3" a="1"/>
  <c r="D59" i="3"/>
  <c r="C59" i="3" a="1"/>
  <c r="B59" i="3" a="1"/>
  <c r="D60" i="3"/>
  <c r="C60" i="3" a="1"/>
  <c r="B60" i="3" a="1"/>
  <c r="D42" i="3"/>
  <c r="C42" i="3" a="1"/>
  <c r="B42" i="3" a="1"/>
  <c r="D72" i="3"/>
  <c r="C72" i="3" a="1"/>
  <c r="B72" i="3" a="1"/>
  <c r="D31" i="3"/>
  <c r="C31" i="3" a="1"/>
  <c r="B31" i="3" a="1"/>
  <c r="D9" i="3"/>
  <c r="C9" i="3" a="1"/>
  <c r="B9" i="3" a="1"/>
  <c r="D13" i="3"/>
  <c r="C13" i="3" a="1"/>
  <c r="B13" i="3" a="1"/>
  <c r="D11" i="3"/>
  <c r="C11" i="3" a="1"/>
  <c r="B11" i="3" a="1"/>
  <c r="D35" i="3"/>
  <c r="C35" i="3" a="1"/>
  <c r="B35" i="3" a="1"/>
  <c r="D36" i="3"/>
  <c r="C36" i="3" a="1"/>
  <c r="B36" i="3" a="1"/>
  <c r="D55" i="3"/>
  <c r="C55" i="3" a="1"/>
  <c r="B55" i="3" a="1"/>
  <c r="D56" i="3"/>
  <c r="C56" i="3" a="1"/>
  <c r="B56" i="3" a="1"/>
  <c r="D15" i="3"/>
  <c r="C15" i="3" a="1"/>
  <c r="B15" i="3" a="1"/>
  <c r="D39" i="3"/>
  <c r="C39" i="3" a="1"/>
  <c r="B39" i="3" a="1"/>
  <c r="D61" i="3"/>
  <c r="C61" i="3" a="1"/>
  <c r="B61" i="3" a="1"/>
  <c r="D62" i="3"/>
  <c r="C62" i="3" a="1"/>
  <c r="B62" i="3" a="1"/>
  <c r="D20" i="3"/>
  <c r="C20" i="3" a="1"/>
  <c r="B20" i="3" a="1"/>
  <c r="D19" i="3"/>
  <c r="C19" i="3" a="1"/>
  <c r="B19" i="3" a="1"/>
  <c r="D43" i="3"/>
  <c r="C43" i="3" a="1"/>
  <c r="B43" i="3" a="1"/>
  <c r="D44" i="3"/>
  <c r="C44" i="3" a="1"/>
  <c r="B44" i="3" a="1"/>
  <c r="D23" i="3"/>
  <c r="C23" i="3" a="1"/>
  <c r="B23" i="3" a="1"/>
  <c r="D24" i="3"/>
  <c r="C24" i="3" a="1"/>
  <c r="B24" i="3" a="1"/>
  <c r="D48" i="3"/>
  <c r="C48" i="3" a="1"/>
  <c r="B48" i="3" a="1"/>
  <c r="D47" i="3"/>
  <c r="C47" i="3" a="1"/>
  <c r="B47" i="3" a="1"/>
  <c r="D67" i="3"/>
  <c r="C67" i="3" a="1"/>
  <c r="B67" i="3" a="1"/>
  <c r="D68" i="3"/>
  <c r="C68" i="3" a="1"/>
  <c r="B68" i="3" a="1"/>
  <c r="D77" i="3"/>
  <c r="C77" i="3" a="1"/>
  <c r="B77" i="3" a="1"/>
  <c r="D78" i="3"/>
  <c r="C78" i="3" a="1"/>
  <c r="B78" i="3" a="1"/>
  <c r="D27" i="3"/>
  <c r="C27" i="3" a="1"/>
  <c r="B27" i="3" a="1"/>
  <c r="D51" i="3"/>
  <c r="C51" i="3" a="1"/>
  <c r="B51" i="3" a="1"/>
  <c r="D52" i="3"/>
  <c r="C52" i="3" a="1"/>
  <c r="B52" i="3" a="1"/>
  <c r="D73" i="3"/>
  <c r="C73" i="3" a="1"/>
  <c r="B73" i="3" a="1"/>
  <c r="D74" i="3"/>
  <c r="C74" i="3" a="1"/>
  <c r="B74" i="3" a="1"/>
  <c r="D14" i="3"/>
  <c r="C14" i="3" a="1"/>
  <c r="B14" i="3" a="1"/>
  <c r="D32" i="3"/>
  <c r="C32" i="3" a="1"/>
  <c r="B32" i="3" a="1"/>
  <c r="D33" i="3"/>
  <c r="C33" i="3" a="1"/>
  <c r="B33" i="3" a="1"/>
  <c r="D57" i="3"/>
  <c r="C57" i="3" a="1"/>
  <c r="B57" i="3" a="1"/>
  <c r="D58" i="3"/>
  <c r="C58" i="3" a="1"/>
  <c r="B58" i="3" a="1"/>
  <c r="D12" i="3"/>
  <c r="C12" i="3" a="1"/>
  <c r="B12" i="3" a="1"/>
  <c r="D38" i="3"/>
  <c r="C38" i="3" a="1"/>
  <c r="B38" i="3" a="1"/>
  <c r="D37" i="3"/>
  <c r="C37" i="3" a="1"/>
  <c r="B37" i="3" a="1"/>
  <c r="D22" i="3"/>
  <c r="C22" i="3" a="1"/>
  <c r="B22" i="3" a="1"/>
  <c r="D21" i="3"/>
  <c r="C21" i="3" a="1"/>
  <c r="B21" i="3" a="1"/>
  <c r="D45" i="3"/>
  <c r="C45" i="3" a="1"/>
  <c r="B45" i="3" a="1"/>
  <c r="D46" i="3"/>
  <c r="C46" i="3" a="1"/>
  <c r="B46" i="3" a="1"/>
  <c r="D69" i="3"/>
  <c r="C69" i="3" a="1"/>
  <c r="B69" i="3" a="1"/>
  <c r="D70" i="3"/>
  <c r="C70" i="3" a="1"/>
  <c r="B70" i="3" a="1"/>
  <c r="D26" i="3"/>
  <c r="C26" i="3" a="1"/>
  <c r="B26" i="3" a="1"/>
  <c r="D50" i="3"/>
  <c r="C50" i="3" a="1"/>
  <c r="B50" i="3" a="1"/>
  <c r="D16" i="3"/>
  <c r="C16" i="3" a="1"/>
  <c r="B16" i="3" a="1"/>
  <c r="D40" i="3"/>
  <c r="C40" i="3" a="1"/>
  <c r="B40" i="3" a="1"/>
  <c r="D17" i="3"/>
  <c r="C17" i="3" a="1"/>
  <c r="B17" i="3" a="1"/>
  <c r="D41" i="3"/>
  <c r="C41" i="3" a="1"/>
  <c r="B41" i="3" a="1"/>
  <c r="D63" i="3"/>
  <c r="C63" i="3" a="1"/>
  <c r="B63" i="3" a="1"/>
  <c r="D64" i="3"/>
  <c r="C64" i="3" a="1"/>
  <c r="B64" i="3" a="1"/>
  <c r="D71" i="3"/>
  <c r="C71" i="3" a="1"/>
  <c r="B71" i="3" a="1"/>
  <c r="D25" i="3"/>
  <c r="C25" i="3" a="1"/>
  <c r="B25" i="3" a="1"/>
  <c r="D49" i="3"/>
  <c r="C49" i="3" a="1"/>
  <c r="B49" i="3" a="1"/>
  <c r="D29" i="3"/>
  <c r="C29" i="3" a="1"/>
  <c r="B29" i="3" a="1"/>
  <c r="D53" i="3"/>
  <c r="C53" i="3" a="1"/>
  <c r="B53" i="3" a="1"/>
  <c r="D28" i="3"/>
  <c r="C28" i="3" a="1"/>
  <c r="B28" i="3" a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S48" i="3"/>
  <c r="S43" i="3"/>
  <c r="S19" i="3"/>
  <c r="S20" i="3"/>
  <c r="S44" i="3"/>
  <c r="T44" i="3" s="1"/>
  <c r="S46" i="3"/>
  <c r="T46" i="3" s="1"/>
  <c r="S21" i="3"/>
  <c r="S45" i="3"/>
  <c r="T45" i="3" s="1"/>
  <c r="S18" i="3"/>
  <c r="T18" i="3" s="1"/>
  <c r="S63" i="3"/>
  <c r="T63" i="3" s="1"/>
  <c r="S17" i="3"/>
  <c r="T17" i="3" s="1"/>
  <c r="S41" i="3"/>
  <c r="T41" i="3" s="1"/>
  <c r="S15" i="3"/>
  <c r="S61" i="3"/>
  <c r="T61" i="3" s="1"/>
  <c r="S16" i="3"/>
  <c r="S39" i="3"/>
  <c r="T39" i="3" s="1"/>
  <c r="S66" i="3"/>
  <c r="T66" i="3" s="1"/>
  <c r="S10" i="3"/>
  <c r="T10" i="3" s="1"/>
  <c r="S37" i="3"/>
  <c r="S11" i="3"/>
  <c r="T11" i="3" s="1"/>
  <c r="S56" i="3"/>
  <c r="T56" i="3" s="1"/>
  <c r="S13" i="3"/>
  <c r="T13" i="3" s="1"/>
  <c r="S32" i="3"/>
  <c r="S14" i="3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S50" i="3"/>
  <c r="S76" i="3"/>
  <c r="S47" i="3"/>
  <c r="S67" i="3"/>
  <c r="T48" i="3"/>
  <c r="T43" i="3"/>
  <c r="S72" i="3"/>
  <c r="T20" i="3"/>
  <c r="S70" i="3"/>
  <c r="S42" i="3"/>
  <c r="S64" i="3"/>
  <c r="S40" i="3"/>
  <c r="S62" i="3"/>
  <c r="T15" i="3"/>
  <c r="T16" i="3"/>
  <c r="S38" i="3"/>
  <c r="S65" i="3"/>
  <c r="T37" i="3"/>
  <c r="S55" i="3"/>
  <c r="T32" i="3"/>
  <c r="S57" i="3"/>
  <c r="T14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53" i="3" l="1"/>
  <c r="T23" i="3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V34" i="3" l="1"/>
  <c r="W34" i="3"/>
  <c r="V7" i="3"/>
  <c r="W7" i="3"/>
  <c r="AT77" i="3" a="1"/>
  <c r="AU77" i="3" a="1"/>
  <c r="AT76" i="3" a="1"/>
  <c r="AU76" i="3" a="1"/>
  <c r="AT75" i="3" a="1"/>
  <c r="AU75" i="3" a="1"/>
  <c r="AT74" i="3" a="1"/>
  <c r="AU74" i="3" a="1"/>
  <c r="AT71" i="3" a="1"/>
  <c r="AU71" i="3" a="1"/>
  <c r="AT70" i="3" a="1"/>
  <c r="AU70" i="3" a="1"/>
  <c r="AT69" i="3" a="1"/>
  <c r="AU69" i="3" a="1"/>
  <c r="AT68" i="3" a="1"/>
  <c r="AU68" i="3" a="1"/>
  <c r="AT65" i="3" a="1"/>
  <c r="AU65" i="3" a="1"/>
  <c r="AT64" i="3" a="1"/>
  <c r="AU64" i="3" a="1"/>
  <c r="AT63" i="3" a="1"/>
  <c r="AU63" i="3" a="1"/>
  <c r="AT62" i="3" a="1"/>
  <c r="AU62" i="3" a="1"/>
  <c r="AT59" i="3" a="1"/>
  <c r="AU59" i="3" a="1"/>
  <c r="AT58" i="3" a="1"/>
  <c r="AU58" i="3" a="1"/>
  <c r="AT57" i="3" a="1"/>
  <c r="AU57" i="3" a="1"/>
  <c r="AT56" i="3" a="1"/>
  <c r="AU56" i="3" a="1"/>
  <c r="AT53" i="3" a="1"/>
  <c r="AU53" i="3" a="1"/>
  <c r="AT52" i="3" a="1"/>
  <c r="AU52" i="3" a="1"/>
  <c r="AT51" i="3" a="1"/>
  <c r="AU51" i="3" a="1"/>
  <c r="AT50" i="3" a="1"/>
  <c r="AU50" i="3" a="1"/>
  <c r="AT47" i="3" a="1"/>
  <c r="AU47" i="3" a="1"/>
  <c r="AT46" i="3" a="1"/>
  <c r="AU46" i="3" a="1"/>
  <c r="AT45" i="3" a="1"/>
  <c r="AU45" i="3" a="1"/>
  <c r="AT44" i="3" a="1"/>
  <c r="AU44" i="3" a="1"/>
  <c r="AT41" i="3" a="1"/>
  <c r="AU41" i="3" a="1"/>
  <c r="AT40" i="3" a="1"/>
  <c r="AU40" i="3" a="1"/>
  <c r="AT39" i="3" a="1"/>
  <c r="AU39" i="3" a="1"/>
  <c r="AT38" i="3" a="1"/>
  <c r="AU38" i="3" a="1"/>
  <c r="AT35" i="3" a="1"/>
  <c r="AU35" i="3" a="1"/>
  <c r="AT34" i="3" a="1"/>
  <c r="AU34" i="3" a="1"/>
  <c r="AT33" i="3" a="1"/>
  <c r="AU33" i="3" a="1"/>
  <c r="AT32" i="3" a="1"/>
  <c r="AU32" i="3" a="1"/>
  <c r="AT29" i="3" a="1"/>
  <c r="AU29" i="3" a="1"/>
  <c r="AT28" i="3" a="1"/>
  <c r="AU28" i="3" a="1"/>
  <c r="AT27" i="3" a="1"/>
  <c r="AU27" i="3" a="1"/>
  <c r="AT26" i="3" a="1"/>
  <c r="AU26" i="3" a="1"/>
  <c r="AT23" i="3" a="1"/>
  <c r="AU23" i="3" a="1"/>
  <c r="AT22" i="3" a="1"/>
  <c r="AU22" i="3" a="1"/>
  <c r="AT21" i="3" a="1"/>
  <c r="AU21" i="3" a="1"/>
  <c r="AT20" i="3" a="1"/>
  <c r="AU20" i="3" a="1"/>
  <c r="AT17" i="3" a="1"/>
  <c r="AU17" i="3" a="1"/>
  <c r="AT16" i="3" a="1"/>
  <c r="AU16" i="3" a="1"/>
  <c r="AT15" i="3" a="1"/>
  <c r="AU15" i="3" a="1"/>
  <c r="AT14" i="3" a="1"/>
  <c r="AU14" i="3" a="1"/>
  <c r="AT11" i="3" a="1"/>
  <c r="AU11" i="3" a="1"/>
  <c r="AT10" i="3" a="1"/>
  <c r="AU10" i="3" a="1"/>
  <c r="AT9" i="3" a="1"/>
  <c r="AU9" i="3" a="1"/>
  <c r="AT8" i="3" a="1"/>
  <c r="AU8" i="3" a="1"/>
  <c r="AV8" i="3" a="1"/>
  <c r="AW8" i="3" a="1"/>
  <c r="AV9" i="3" a="1"/>
  <c r="AW9" i="3" a="1"/>
  <c r="AV10" i="3" a="1"/>
  <c r="AW10" i="3" a="1"/>
  <c r="AV11" i="3" a="1"/>
  <c r="AW11" i="3" a="1"/>
  <c r="AV14" i="3" a="1"/>
  <c r="AW14" i="3" a="1"/>
  <c r="AV15" i="3" a="1"/>
  <c r="AW15" i="3" a="1"/>
  <c r="AV16" i="3" a="1"/>
  <c r="AW16" i="3" a="1"/>
  <c r="AV17" i="3" a="1"/>
  <c r="AW17" i="3" a="1"/>
  <c r="AV20" i="3" a="1"/>
  <c r="AW20" i="3" a="1"/>
  <c r="AV21" i="3" a="1"/>
  <c r="AW21" i="3" a="1"/>
  <c r="AV22" i="3" a="1"/>
  <c r="AW22" i="3" a="1"/>
  <c r="AV23" i="3" a="1"/>
  <c r="AW23" i="3" a="1"/>
  <c r="AV26" i="3" a="1"/>
  <c r="AW26" i="3" a="1"/>
  <c r="AV27" i="3" a="1"/>
  <c r="AW27" i="3" a="1"/>
  <c r="AV28" i="3" a="1"/>
  <c r="AW28" i="3" a="1"/>
  <c r="AV29" i="3" a="1"/>
  <c r="AW29" i="3" a="1"/>
  <c r="AV32" i="3" a="1"/>
  <c r="AW32" i="3" a="1"/>
  <c r="AV33" i="3" a="1"/>
  <c r="AW33" i="3" a="1"/>
  <c r="AV34" i="3" a="1"/>
  <c r="AW34" i="3" a="1"/>
  <c r="AV35" i="3" a="1"/>
  <c r="AW35" i="3" a="1"/>
  <c r="AV38" i="3" a="1"/>
  <c r="AW38" i="3" a="1"/>
  <c r="AV39" i="3" a="1"/>
  <c r="AW39" i="3" a="1"/>
  <c r="AV40" i="3" a="1"/>
  <c r="AW40" i="3" a="1"/>
  <c r="AV41" i="3" a="1"/>
  <c r="AW41" i="3" a="1"/>
  <c r="AV44" i="3" a="1"/>
  <c r="AW44" i="3" a="1"/>
  <c r="AV45" i="3" a="1"/>
  <c r="AW45" i="3" a="1"/>
  <c r="AV46" i="3" a="1"/>
  <c r="AW46" i="3" a="1"/>
  <c r="AV47" i="3" a="1"/>
  <c r="AW47" i="3" a="1"/>
  <c r="AV50" i="3" a="1"/>
  <c r="AW50" i="3" a="1"/>
  <c r="AV51" i="3" a="1"/>
  <c r="AW51" i="3" a="1"/>
  <c r="AV52" i="3" a="1"/>
  <c r="AW52" i="3" a="1"/>
  <c r="AV53" i="3" a="1"/>
  <c r="AW53" i="3" a="1"/>
  <c r="AV56" i="3" a="1"/>
  <c r="AW56" i="3" a="1"/>
  <c r="AV57" i="3" a="1"/>
  <c r="AW57" i="3" a="1"/>
  <c r="AV58" i="3" a="1"/>
  <c r="AW58" i="3" a="1"/>
  <c r="AV59" i="3" a="1"/>
  <c r="AW59" i="3" a="1"/>
  <c r="AV62" i="3" a="1"/>
  <c r="AW62" i="3" a="1"/>
  <c r="AV63" i="3" a="1"/>
  <c r="AW63" i="3" a="1"/>
  <c r="AV64" i="3" a="1"/>
  <c r="AW64" i="3" a="1"/>
  <c r="AV65" i="3" a="1"/>
  <c r="AW65" i="3" a="1"/>
  <c r="AV68" i="3" a="1"/>
  <c r="AW68" i="3" a="1"/>
  <c r="AV69" i="3" a="1"/>
  <c r="AW69" i="3" a="1"/>
  <c r="AV70" i="3" a="1"/>
  <c r="AW70" i="3" a="1"/>
  <c r="AV71" i="3" a="1"/>
  <c r="AW71" i="3" a="1"/>
  <c r="AV74" i="3" a="1"/>
  <c r="AW74" i="3" a="1"/>
  <c r="AV75" i="3" a="1"/>
  <c r="AW75" i="3" a="1"/>
  <c r="AV76" i="3" a="1"/>
  <c r="AW76" i="3" a="1"/>
  <c r="AV77" i="3" a="1"/>
  <c r="AW77" i="3" a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CG24" i="3" l="1"/>
  <c r="CG23" i="3"/>
  <c r="CN37" i="3" s="1"/>
  <c r="CN48" i="3" l="1"/>
  <c r="AX71" i="3" s="1"/>
  <c r="AX70" i="3" s="1"/>
  <c r="AX64" i="3" s="1"/>
  <c r="AX52" i="3" s="1"/>
  <c r="AX47" i="3" s="1"/>
  <c r="AX41" i="3" s="1"/>
  <c r="AX39" i="3" s="1"/>
  <c r="AX34" i="3" s="1"/>
  <c r="AX21" i="3" s="1"/>
  <c r="AX17" i="3" s="1"/>
  <c r="AX9" i="3" s="1"/>
  <c r="AX63" i="3" l="1"/>
  <c r="AX11" i="3"/>
  <c r="AX28" i="3"/>
  <c r="AX69" i="3"/>
  <c r="AX75" i="3"/>
  <c r="AX77" i="3"/>
  <c r="AX10" i="3"/>
  <c r="AX29" i="3"/>
  <c r="AX57" i="3"/>
  <c r="AX15" i="3"/>
  <c r="AX76" i="3"/>
  <c r="AW66" i="3"/>
  <c r="AT24" i="3"/>
  <c r="AX16" i="3"/>
  <c r="AU24" i="3"/>
  <c r="AX46" i="3"/>
  <c r="AW30" i="3"/>
  <c r="AW54" i="3"/>
  <c r="AU12" i="3"/>
  <c r="AV12" i="3"/>
  <c r="AX8" i="3"/>
  <c r="AX32" i="3"/>
  <c r="AV36" i="3"/>
  <c r="AX45" i="3"/>
  <c r="AX58" i="3"/>
  <c r="AU72" i="3"/>
  <c r="AX68" i="3"/>
  <c r="AV72" i="3"/>
  <c r="AX74" i="3"/>
  <c r="AV78" i="3"/>
  <c r="AU36" i="3"/>
  <c r="AW72" i="3"/>
  <c r="AX65" i="3" s="1"/>
  <c r="AU30" i="3"/>
  <c r="AV30" i="3"/>
  <c r="AX26" i="3"/>
  <c r="AT12" i="3"/>
  <c r="AW36" i="3"/>
  <c r="AT60" i="3"/>
  <c r="AT18" i="3"/>
  <c r="AU18" i="3"/>
  <c r="AV18" i="3"/>
  <c r="AX14" i="3"/>
  <c r="AT42" i="3"/>
  <c r="AT48" i="3"/>
  <c r="AU78" i="3"/>
  <c r="AT54" i="3"/>
  <c r="AW78" i="3"/>
  <c r="AT36" i="3"/>
  <c r="AW12" i="3"/>
  <c r="AV60" i="3"/>
  <c r="AX56" i="3"/>
  <c r="AU42" i="3"/>
  <c r="AX51" i="3"/>
  <c r="AT66" i="3"/>
  <c r="AW24" i="3"/>
  <c r="AX44" i="3"/>
  <c r="AV48" i="3"/>
  <c r="AW48" i="3"/>
  <c r="AT30" i="3"/>
  <c r="AT78" i="3"/>
  <c r="AU54" i="3"/>
  <c r="AX50" i="3"/>
  <c r="AV54" i="3"/>
  <c r="AU60" i="3"/>
  <c r="AW60" i="3"/>
  <c r="AV42" i="3"/>
  <c r="AX38" i="3"/>
  <c r="AU66" i="3"/>
  <c r="AX20" i="3"/>
  <c r="AV24" i="3"/>
  <c r="AT72" i="3"/>
  <c r="AW18" i="3"/>
  <c r="AX22" i="3"/>
  <c r="AW42" i="3"/>
  <c r="AX62" i="3"/>
  <c r="AV66" i="3"/>
  <c r="AY68" i="3" l="1"/>
  <c r="AY8" i="3"/>
  <c r="AY9" i="3"/>
  <c r="AY15" i="3"/>
  <c r="AY14" i="3"/>
  <c r="AY74" i="3"/>
  <c r="AY63" i="3"/>
  <c r="AY75" i="3"/>
  <c r="AY77" i="3"/>
  <c r="AY76" i="3"/>
  <c r="AY64" i="3"/>
  <c r="AY44" i="3"/>
  <c r="AY71" i="3"/>
  <c r="AY17" i="3"/>
  <c r="AY46" i="3"/>
  <c r="AX59" i="3"/>
  <c r="AY57" i="3" s="1"/>
  <c r="AY65" i="3"/>
  <c r="AY69" i="3"/>
  <c r="AY16" i="3"/>
  <c r="AY10" i="3"/>
  <c r="AY70" i="3"/>
  <c r="AY47" i="3"/>
  <c r="AY78" i="3"/>
  <c r="AY45" i="3"/>
  <c r="AY11" i="3"/>
  <c r="AY62" i="3"/>
  <c r="AY12" i="3" l="1"/>
  <c r="AZ8" i="3" s="1"/>
  <c r="AY48" i="3"/>
  <c r="AY56" i="3"/>
  <c r="AZ74" i="3"/>
  <c r="AZ77" i="3"/>
  <c r="AY18" i="3"/>
  <c r="AZ16" i="3" s="1"/>
  <c r="AY72" i="3"/>
  <c r="AZ69" i="3" s="1"/>
  <c r="AY58" i="3"/>
  <c r="AX53" i="3"/>
  <c r="AY59" i="3"/>
  <c r="AZ75" i="3"/>
  <c r="AZ76" i="3"/>
  <c r="AY66" i="3"/>
  <c r="AZ65" i="3" s="1"/>
  <c r="AZ11" i="3" l="1"/>
  <c r="AZ10" i="3"/>
  <c r="AZ9" i="3"/>
  <c r="AZ12" i="3" s="1"/>
  <c r="BA8" i="3" s="1"/>
  <c r="AO8" i="3" s="1"/>
  <c r="AY60" i="3"/>
  <c r="AZ59" i="3" s="1"/>
  <c r="AZ58" i="3"/>
  <c r="AZ56" i="3"/>
  <c r="AZ57" i="3"/>
  <c r="AZ78" i="3"/>
  <c r="BA74" i="3" s="1"/>
  <c r="AO74" i="3" s="1"/>
  <c r="AZ68" i="3"/>
  <c r="AZ71" i="3"/>
  <c r="BA77" i="3"/>
  <c r="AO77" i="3" s="1"/>
  <c r="AZ64" i="3"/>
  <c r="AZ62" i="3"/>
  <c r="AZ63" i="3"/>
  <c r="AU48" i="3"/>
  <c r="AY53" i="3"/>
  <c r="AY52" i="3"/>
  <c r="AY50" i="3"/>
  <c r="AY51" i="3"/>
  <c r="AZ17" i="3"/>
  <c r="AZ14" i="3"/>
  <c r="AZ15" i="3"/>
  <c r="AZ70" i="3"/>
  <c r="BA10" i="3" l="1"/>
  <c r="AO10" i="3" s="1"/>
  <c r="X34" i="3" s="1"/>
  <c r="BA11" i="3"/>
  <c r="AO11" i="3" s="1"/>
  <c r="X8" i="3" s="1"/>
  <c r="Z8" i="3" s="1"/>
  <c r="BA76" i="3"/>
  <c r="AO76" i="3" s="1"/>
  <c r="X27" i="3" s="1"/>
  <c r="BA9" i="3"/>
  <c r="AO9" i="3" s="1"/>
  <c r="X7" i="3"/>
  <c r="AY54" i="3"/>
  <c r="AZ50" i="3" s="1"/>
  <c r="AZ53" i="3"/>
  <c r="AZ66" i="3"/>
  <c r="BA62" i="3" s="1"/>
  <c r="AO62" i="3" s="1"/>
  <c r="X51" i="3"/>
  <c r="AZ72" i="3"/>
  <c r="BA71" i="3" s="1"/>
  <c r="AO71" i="3" s="1"/>
  <c r="AX40" i="3"/>
  <c r="AZ46" i="3"/>
  <c r="AZ44" i="3"/>
  <c r="AZ45" i="3"/>
  <c r="AZ47" i="3"/>
  <c r="X73" i="3"/>
  <c r="X52" i="3"/>
  <c r="BA75" i="3"/>
  <c r="AO75" i="3" s="1"/>
  <c r="AZ60" i="3"/>
  <c r="BA59" i="3" s="1"/>
  <c r="AO59" i="3" s="1"/>
  <c r="AZ18" i="3"/>
  <c r="X74" i="3" l="1"/>
  <c r="X28" i="3"/>
  <c r="BA16" i="3"/>
  <c r="AO16" i="3" s="1"/>
  <c r="BA14" i="3"/>
  <c r="AO14" i="3" s="1"/>
  <c r="X33" i="3" s="1"/>
  <c r="X60" i="3"/>
  <c r="Y60" i="3" s="1"/>
  <c r="X31" i="3"/>
  <c r="X59" i="3"/>
  <c r="Z59" i="3" s="1"/>
  <c r="AO12" i="3"/>
  <c r="BA17" i="3"/>
  <c r="AO17" i="3" s="1"/>
  <c r="Y8" i="3"/>
  <c r="BA58" i="3"/>
  <c r="AO58" i="3" s="1"/>
  <c r="X24" i="3" s="1"/>
  <c r="Y24" i="3" s="1"/>
  <c r="BA57" i="3"/>
  <c r="AO57" i="3" s="1"/>
  <c r="AO78" i="3"/>
  <c r="BA64" i="3"/>
  <c r="AO64" i="3" s="1"/>
  <c r="X49" i="3" s="1"/>
  <c r="AZ52" i="3"/>
  <c r="AZ51" i="3"/>
  <c r="BA15" i="3"/>
  <c r="AO15" i="3" s="1"/>
  <c r="X58" i="3" s="1"/>
  <c r="Z58" i="3" s="1"/>
  <c r="BA56" i="3"/>
  <c r="AO56" i="3" s="1"/>
  <c r="X67" i="3" s="1"/>
  <c r="Z27" i="3"/>
  <c r="Y27" i="3"/>
  <c r="BA63" i="3"/>
  <c r="AO63" i="3" s="1"/>
  <c r="X25" i="3" s="1"/>
  <c r="BA65" i="3"/>
  <c r="AO65" i="3" s="1"/>
  <c r="AX35" i="3"/>
  <c r="AY40" i="3"/>
  <c r="AY39" i="3"/>
  <c r="AY41" i="3"/>
  <c r="AY38" i="3"/>
  <c r="BA68" i="3"/>
  <c r="AO68" i="3" s="1"/>
  <c r="BA69" i="3"/>
  <c r="AO69" i="3" s="1"/>
  <c r="Y7" i="3"/>
  <c r="Z7" i="3"/>
  <c r="AZ48" i="3"/>
  <c r="BA44" i="3" s="1"/>
  <c r="AO44" i="3" s="1"/>
  <c r="Y52" i="3"/>
  <c r="Z52" i="3"/>
  <c r="Z34" i="3"/>
  <c r="Y34" i="3"/>
  <c r="Z51" i="3"/>
  <c r="Y51" i="3"/>
  <c r="BA70" i="3"/>
  <c r="AO70" i="3" s="1"/>
  <c r="Y73" i="3"/>
  <c r="Z73" i="3"/>
  <c r="Z74" i="3" l="1"/>
  <c r="Y74" i="3"/>
  <c r="Z28" i="3"/>
  <c r="Y28" i="3"/>
  <c r="Z31" i="3"/>
  <c r="Y31" i="3"/>
  <c r="X57" i="3"/>
  <c r="X14" i="3"/>
  <c r="X68" i="3"/>
  <c r="Y68" i="3" s="1"/>
  <c r="X47" i="3"/>
  <c r="AO18" i="3"/>
  <c r="X9" i="3"/>
  <c r="Z60" i="3"/>
  <c r="Y59" i="3"/>
  <c r="AZ54" i="3"/>
  <c r="X75" i="3"/>
  <c r="Y75" i="3" s="1"/>
  <c r="AO60" i="3"/>
  <c r="Z24" i="3"/>
  <c r="BA46" i="3"/>
  <c r="AO46" i="3" s="1"/>
  <c r="X45" i="3" s="1"/>
  <c r="X26" i="3"/>
  <c r="Z26" i="3" s="1"/>
  <c r="X32" i="3"/>
  <c r="Y32" i="3" s="1"/>
  <c r="Z68" i="3"/>
  <c r="Y58" i="3"/>
  <c r="X48" i="3"/>
  <c r="Z48" i="3" s="1"/>
  <c r="X23" i="3"/>
  <c r="Y23" i="3" s="1"/>
  <c r="AO66" i="3"/>
  <c r="X78" i="3"/>
  <c r="Z49" i="3"/>
  <c r="Y49" i="3"/>
  <c r="AO72" i="3"/>
  <c r="X29" i="3"/>
  <c r="Y67" i="3"/>
  <c r="Z67" i="3"/>
  <c r="Z25" i="3"/>
  <c r="Y25" i="3"/>
  <c r="X53" i="3"/>
  <c r="X30" i="3"/>
  <c r="AY42" i="3"/>
  <c r="AZ40" i="3" s="1"/>
  <c r="BA47" i="3"/>
  <c r="AO47" i="3" s="1"/>
  <c r="X50" i="3"/>
  <c r="X76" i="3"/>
  <c r="Y33" i="3"/>
  <c r="Z33" i="3"/>
  <c r="BA45" i="3"/>
  <c r="AO45" i="3" s="1"/>
  <c r="X54" i="3"/>
  <c r="AX33" i="3"/>
  <c r="AY35" i="3" s="1"/>
  <c r="X77" i="3"/>
  <c r="X21" i="3" l="1"/>
  <c r="Z47" i="3"/>
  <c r="Y47" i="3"/>
  <c r="Z9" i="3"/>
  <c r="Y9" i="3"/>
  <c r="BA50" i="3"/>
  <c r="AO50" i="3" s="1"/>
  <c r="BA53" i="3"/>
  <c r="AO53" i="3" s="1"/>
  <c r="BA51" i="3"/>
  <c r="AO51" i="3" s="1"/>
  <c r="Z57" i="3"/>
  <c r="Y57" i="3"/>
  <c r="Y14" i="3"/>
  <c r="Z14" i="3"/>
  <c r="Z75" i="3"/>
  <c r="BA52" i="3"/>
  <c r="AO52" i="3" s="1"/>
  <c r="Y26" i="3"/>
  <c r="Z32" i="3"/>
  <c r="X69" i="3"/>
  <c r="Y69" i="3" s="1"/>
  <c r="AZ39" i="3"/>
  <c r="Z23" i="3"/>
  <c r="AZ41" i="3"/>
  <c r="AZ38" i="3"/>
  <c r="AZ42" i="3" s="1"/>
  <c r="BA41" i="3" s="1"/>
  <c r="AO41" i="3" s="1"/>
  <c r="Y48" i="3"/>
  <c r="X22" i="3"/>
  <c r="Z22" i="3" s="1"/>
  <c r="Z76" i="3"/>
  <c r="Y76" i="3"/>
  <c r="Y78" i="3"/>
  <c r="Z78" i="3"/>
  <c r="Y53" i="3"/>
  <c r="Z53" i="3"/>
  <c r="Y30" i="3"/>
  <c r="Z30" i="3"/>
  <c r="X20" i="3"/>
  <c r="X71" i="3"/>
  <c r="Y77" i="3"/>
  <c r="Z77" i="3"/>
  <c r="Z29" i="3"/>
  <c r="Y29" i="3"/>
  <c r="AX27" i="3"/>
  <c r="AY33" i="3"/>
  <c r="AY34" i="3"/>
  <c r="AY32" i="3"/>
  <c r="Y50" i="3"/>
  <c r="Z50" i="3"/>
  <c r="Z45" i="3"/>
  <c r="Y45" i="3"/>
  <c r="X70" i="3"/>
  <c r="X46" i="3"/>
  <c r="X44" i="3"/>
  <c r="X19" i="3"/>
  <c r="Z54" i="3"/>
  <c r="Y54" i="3"/>
  <c r="AO48" i="3"/>
  <c r="AO54" i="3" l="1"/>
  <c r="Z21" i="3"/>
  <c r="Y21" i="3"/>
  <c r="X72" i="3"/>
  <c r="X43" i="3"/>
  <c r="BA38" i="3"/>
  <c r="AO38" i="3" s="1"/>
  <c r="Z69" i="3"/>
  <c r="Y22" i="3"/>
  <c r="BA39" i="3"/>
  <c r="AO39" i="3" s="1"/>
  <c r="BA40" i="3"/>
  <c r="AO40" i="3" s="1"/>
  <c r="X63" i="3" s="1"/>
  <c r="Z63" i="3" s="1"/>
  <c r="X42" i="3"/>
  <c r="Y44" i="3"/>
  <c r="Z44" i="3"/>
  <c r="Z71" i="3"/>
  <c r="Y71" i="3"/>
  <c r="Y46" i="3"/>
  <c r="Z46" i="3"/>
  <c r="Z20" i="3"/>
  <c r="Y20" i="3"/>
  <c r="Y19" i="3"/>
  <c r="Z19" i="3"/>
  <c r="Y72" i="3"/>
  <c r="Z72" i="3"/>
  <c r="X18" i="3"/>
  <c r="Z70" i="3"/>
  <c r="Y70" i="3"/>
  <c r="Z43" i="3"/>
  <c r="Y43" i="3"/>
  <c r="AY36" i="3"/>
  <c r="AX23" i="3"/>
  <c r="AY27" i="3"/>
  <c r="AY28" i="3"/>
  <c r="AY29" i="3"/>
  <c r="AY26" i="3"/>
  <c r="AZ35" i="3" l="1"/>
  <c r="AZ34" i="3"/>
  <c r="X64" i="3"/>
  <c r="X41" i="3"/>
  <c r="AO42" i="3"/>
  <c r="X17" i="3"/>
  <c r="Y63" i="3"/>
  <c r="AY23" i="3"/>
  <c r="AY21" i="3"/>
  <c r="AY20" i="3"/>
  <c r="AY22" i="3"/>
  <c r="AZ33" i="3"/>
  <c r="AZ32" i="3"/>
  <c r="Z18" i="3"/>
  <c r="Y18" i="3"/>
  <c r="Z64" i="3"/>
  <c r="Y64" i="3"/>
  <c r="AY30" i="3"/>
  <c r="AZ28" i="3" s="1"/>
  <c r="Y42" i="3"/>
  <c r="Z42" i="3"/>
  <c r="Y17" i="3" l="1"/>
  <c r="Z17" i="3"/>
  <c r="Z41" i="3"/>
  <c r="Y41" i="3"/>
  <c r="AZ36" i="3"/>
  <c r="BA32" i="3" s="1"/>
  <c r="AO32" i="3" s="1"/>
  <c r="AZ26" i="3"/>
  <c r="AZ29" i="3"/>
  <c r="AY24" i="3"/>
  <c r="AZ20" i="3" s="1"/>
  <c r="AZ27" i="3"/>
  <c r="BA33" i="3" l="1"/>
  <c r="AO33" i="3" s="1"/>
  <c r="AZ23" i="3"/>
  <c r="AZ30" i="3"/>
  <c r="BA29" i="3" s="1"/>
  <c r="AO29" i="3" s="1"/>
  <c r="AZ21" i="3"/>
  <c r="AZ22" i="3"/>
  <c r="X16" i="3"/>
  <c r="BA35" i="3"/>
  <c r="AO35" i="3" s="1"/>
  <c r="X62" i="3" s="1"/>
  <c r="BA34" i="3"/>
  <c r="AO34" i="3" s="1"/>
  <c r="X15" i="3" s="1"/>
  <c r="X39" i="3" l="1"/>
  <c r="Y39" i="3" s="1"/>
  <c r="Z62" i="3"/>
  <c r="Y62" i="3"/>
  <c r="AO36" i="3"/>
  <c r="Z15" i="3"/>
  <c r="Y15" i="3"/>
  <c r="X61" i="3"/>
  <c r="BA26" i="3"/>
  <c r="AO26" i="3" s="1"/>
  <c r="X65" i="3" s="1"/>
  <c r="BA28" i="3"/>
  <c r="AO28" i="3" s="1"/>
  <c r="Z16" i="3"/>
  <c r="Y16" i="3"/>
  <c r="X40" i="3"/>
  <c r="BA27" i="3"/>
  <c r="AO27" i="3" s="1"/>
  <c r="X66" i="3" s="1"/>
  <c r="AZ24" i="3"/>
  <c r="BA22" i="3" s="1"/>
  <c r="AO22" i="3" s="1"/>
  <c r="Z39" i="3" l="1"/>
  <c r="Z40" i="3"/>
  <c r="Y40" i="3"/>
  <c r="X37" i="3"/>
  <c r="X12" i="3"/>
  <c r="X10" i="3"/>
  <c r="AO30" i="3"/>
  <c r="Z61" i="3"/>
  <c r="Y61" i="3"/>
  <c r="Z66" i="3"/>
  <c r="Y66" i="3"/>
  <c r="X38" i="3"/>
  <c r="BA23" i="3"/>
  <c r="AO23" i="3" s="1"/>
  <c r="X11" i="3" s="1"/>
  <c r="BA20" i="3"/>
  <c r="AO20" i="3" s="1"/>
  <c r="Z65" i="3"/>
  <c r="Y65" i="3"/>
  <c r="BA21" i="3"/>
  <c r="AO21" i="3" s="1"/>
  <c r="X56" i="3" s="1"/>
  <c r="Z11" i="3" l="1"/>
  <c r="Y11" i="3"/>
  <c r="Y12" i="3"/>
  <c r="Z12" i="3"/>
  <c r="Z37" i="3"/>
  <c r="Y37" i="3"/>
  <c r="Z38" i="3"/>
  <c r="Y38" i="3"/>
  <c r="Z56" i="3"/>
  <c r="Y56" i="3"/>
  <c r="X13" i="3"/>
  <c r="AO24" i="3"/>
  <c r="X55" i="3"/>
  <c r="X36" i="3"/>
  <c r="Z10" i="3"/>
  <c r="Y10" i="3"/>
  <c r="BD38" i="3" a="1"/>
  <c r="BD68" i="3" a="1"/>
  <c r="X35" i="3"/>
  <c r="BC52" i="3" l="1" a="1"/>
  <c r="BD65" i="3" a="1"/>
  <c r="BD35" i="3" a="1"/>
  <c r="BB32" i="3" a="1"/>
  <c r="BD57" i="3" a="1"/>
  <c r="BE65" i="3" a="1"/>
  <c r="BF65" i="3" s="1"/>
  <c r="BC17" i="3" a="1"/>
  <c r="BE52" i="3" a="1"/>
  <c r="BD32" i="3" a="1"/>
  <c r="BB8" i="3" a="1"/>
  <c r="BC10" i="3" a="1"/>
  <c r="BC59" i="3" a="1"/>
  <c r="BB64" i="3" a="1"/>
  <c r="BE32" i="3" a="1"/>
  <c r="BE70" i="3" a="1"/>
  <c r="BD59" i="3" a="1"/>
  <c r="BC68" i="3" a="1"/>
  <c r="BB71" i="3" a="1"/>
  <c r="BE23" i="3" a="1"/>
  <c r="BB16" i="3" a="1"/>
  <c r="BD51" i="3" a="1"/>
  <c r="BD76" i="3" a="1"/>
  <c r="BE50" i="3" a="1"/>
  <c r="BB45" i="3" a="1"/>
  <c r="BC76" i="3" a="1"/>
  <c r="BC20" i="3" a="1"/>
  <c r="BD58" i="3" a="1"/>
  <c r="BC44" i="3" a="1"/>
  <c r="BD26" i="3" a="1"/>
  <c r="BD10" i="3" a="1"/>
  <c r="BB38" i="3" a="1"/>
  <c r="BD41" i="3" a="1"/>
  <c r="BC50" i="3" a="1"/>
  <c r="BB40" i="3" a="1"/>
  <c r="BE26" i="3" a="1"/>
  <c r="BC14" i="3" a="1"/>
  <c r="BB20" i="3" a="1"/>
  <c r="BD50" i="3" a="1"/>
  <c r="BC26" i="3" a="1"/>
  <c r="BC57" i="3" a="1"/>
  <c r="BC75" i="3" a="1"/>
  <c r="BC34" i="3" a="1"/>
  <c r="BB77" i="3" a="1"/>
  <c r="BB23" i="3" a="1"/>
  <c r="BE39" i="3" a="1"/>
  <c r="BD77" i="3" a="1"/>
  <c r="BC71" i="3" a="1"/>
  <c r="BD33" i="3" a="1"/>
  <c r="BE35" i="3" a="1"/>
  <c r="BF35" i="3" s="1"/>
  <c r="BC74" i="3" a="1"/>
  <c r="BD74" i="3" a="1"/>
  <c r="BC58" i="3" a="1"/>
  <c r="BE71" i="3" a="1"/>
  <c r="BE57" i="3" a="1"/>
  <c r="BB26" i="3" a="1"/>
  <c r="BE28" i="3" a="1"/>
  <c r="BB14" i="3" a="1"/>
  <c r="Y35" i="3"/>
  <c r="Z35" i="3"/>
  <c r="BE41" i="3" a="1"/>
  <c r="BB76" i="3" a="1"/>
  <c r="BC63" i="3" a="1"/>
  <c r="BB22" i="3" a="1"/>
  <c r="BC51" i="3" a="1"/>
  <c r="BC45" i="3" a="1"/>
  <c r="BC56" i="3" a="1"/>
  <c r="BE68" i="3" a="1"/>
  <c r="BB57" i="3" a="1"/>
  <c r="BD21" i="3" a="1"/>
  <c r="Z13" i="3"/>
  <c r="Y13" i="3"/>
  <c r="BC46" i="3" a="1"/>
  <c r="BC47" i="3" a="1"/>
  <c r="BB33" i="3" a="1"/>
  <c r="BE62" i="3" a="1"/>
  <c r="BD34" i="3" a="1"/>
  <c r="BC62" i="3" a="1"/>
  <c r="BB62" i="3" a="1"/>
  <c r="BB15" i="3" a="1"/>
  <c r="BE21" i="3" a="1"/>
  <c r="BB47" i="3" a="1"/>
  <c r="BC39" i="3" a="1"/>
  <c r="BD9" i="3" a="1"/>
  <c r="Y36" i="3"/>
  <c r="Z36" i="3"/>
  <c r="BB51" i="3" a="1"/>
  <c r="BD44" i="3" a="1"/>
  <c r="BB17" i="3" a="1"/>
  <c r="BB70" i="3" a="1"/>
  <c r="BE40" i="3" a="1"/>
  <c r="BB29" i="3" a="1"/>
  <c r="BD17" i="3" a="1"/>
  <c r="BE11" i="3" a="1"/>
  <c r="BD56" i="3" a="1"/>
  <c r="BC27" i="3" a="1"/>
  <c r="BD71" i="3" a="1"/>
  <c r="BE9" i="3" a="1"/>
  <c r="BB59" i="3" a="1"/>
  <c r="BD20" i="3" a="1"/>
  <c r="BE16" i="3" a="1"/>
  <c r="BE22" i="3" a="1"/>
  <c r="BE74" i="3" a="1"/>
  <c r="BB69" i="3" a="1"/>
  <c r="BE14" i="3" a="1"/>
  <c r="BD39" i="3" a="1"/>
  <c r="BD53" i="3" a="1"/>
  <c r="BB9" i="3" a="1"/>
  <c r="BD40" i="3" a="1"/>
  <c r="BE56" i="3" a="1"/>
  <c r="BC33" i="3" a="1"/>
  <c r="BC15" i="3" a="1"/>
  <c r="BB65" i="3" a="1"/>
  <c r="BD69" i="3" a="1"/>
  <c r="BC64" i="3" a="1"/>
  <c r="BE53" i="3" a="1"/>
  <c r="BD64" i="3" a="1"/>
  <c r="BD63" i="3" a="1"/>
  <c r="BE64" i="3" a="1"/>
  <c r="BE58" i="3" a="1"/>
  <c r="BB56" i="3" a="1"/>
  <c r="BB10" i="3" a="1"/>
  <c r="BB52" i="3" a="1"/>
  <c r="BE34" i="3" a="1"/>
  <c r="BB50" i="3" a="1"/>
  <c r="BD46" i="3" a="1"/>
  <c r="BE10" i="3" a="1"/>
  <c r="BC16" i="3" a="1"/>
  <c r="BC65" i="3" a="1"/>
  <c r="BC11" i="3" a="1"/>
  <c r="BE47" i="3" a="1"/>
  <c r="BB44" i="3" a="1"/>
  <c r="BB75" i="3" a="1"/>
  <c r="BC22" i="3" a="1"/>
  <c r="BE76" i="3" a="1"/>
  <c r="BC69" i="3" a="1"/>
  <c r="BC38" i="3" a="1"/>
  <c r="BD47" i="3" a="1"/>
  <c r="BC28" i="3" a="1"/>
  <c r="BD8" i="3" a="1"/>
  <c r="BE44" i="3" a="1"/>
  <c r="BC32" i="3" a="1"/>
  <c r="BB41" i="3" a="1"/>
  <c r="Z55" i="3"/>
  <c r="Y55" i="3"/>
  <c r="BB28" i="3" a="1"/>
  <c r="BB63" i="3" a="1"/>
  <c r="BB46" i="3" a="1"/>
  <c r="BE59" i="3" a="1"/>
  <c r="BE46" i="3" a="1"/>
  <c r="BE17" i="3" a="1"/>
  <c r="BE15" i="3" a="1"/>
  <c r="BB27" i="3" a="1"/>
  <c r="BC29" i="3" a="1"/>
  <c r="BD14" i="3" a="1"/>
  <c r="BC53" i="3" a="1"/>
  <c r="BE20" i="3" a="1"/>
  <c r="BD23" i="3" a="1"/>
  <c r="BF23" i="3" s="1"/>
  <c r="BE45" i="3" a="1"/>
  <c r="BC70" i="3" a="1"/>
  <c r="BD62" i="3" a="1"/>
  <c r="BB68" i="3" a="1"/>
  <c r="BE27" i="3" a="1"/>
  <c r="BE77" i="3" a="1"/>
  <c r="BE29" i="3" a="1"/>
  <c r="BE51" i="3" a="1"/>
  <c r="BC77" i="3" a="1"/>
  <c r="BE8" i="3" a="1"/>
  <c r="BE75" i="3" a="1"/>
  <c r="BB53" i="3" a="1"/>
  <c r="BB58" i="3" a="1"/>
  <c r="BD70" i="3" a="1"/>
  <c r="BE33" i="3" a="1"/>
  <c r="BB39" i="3" a="1"/>
  <c r="BD16" i="3" a="1"/>
  <c r="BB11" i="3" a="1"/>
  <c r="BC41" i="3" a="1"/>
  <c r="BC8" i="3" a="1"/>
  <c r="BD27" i="3" a="1"/>
  <c r="BB21" i="3" a="1"/>
  <c r="BD15" i="3" a="1"/>
  <c r="BE63" i="3" a="1"/>
  <c r="BC40" i="3" a="1"/>
  <c r="BD52" i="3" a="1"/>
  <c r="BB74" i="3" a="1"/>
  <c r="BE38" i="3" a="1"/>
  <c r="BD75" i="3" a="1"/>
  <c r="BB34" i="3" a="1"/>
  <c r="BD22" i="3" a="1"/>
  <c r="BD11" i="3" a="1"/>
  <c r="BD28" i="3" a="1"/>
  <c r="BE69" i="3" a="1"/>
  <c r="BC9" i="3" a="1"/>
  <c r="BC35" i="3" a="1"/>
  <c r="BC23" i="3" a="1"/>
  <c r="BD45" i="3" a="1"/>
  <c r="BB35" i="3" a="1"/>
  <c r="BC21" i="3" a="1"/>
  <c r="BD29" i="3" a="1"/>
  <c r="BF57" i="3" l="1"/>
  <c r="BH57" i="3" s="1"/>
  <c r="BF59" i="3"/>
  <c r="BH59" i="3" s="1"/>
  <c r="BF70" i="3"/>
  <c r="BF47" i="3"/>
  <c r="BF52" i="3"/>
  <c r="BF32" i="3"/>
  <c r="BF41" i="3"/>
  <c r="BF26" i="3"/>
  <c r="BD36" i="3"/>
  <c r="BF77" i="3"/>
  <c r="BF51" i="3"/>
  <c r="BF76" i="3"/>
  <c r="BF21" i="3"/>
  <c r="BC72" i="3"/>
  <c r="BF17" i="3"/>
  <c r="BF58" i="3"/>
  <c r="BH58" i="3" s="1"/>
  <c r="BB30" i="3"/>
  <c r="BB18" i="3"/>
  <c r="BF50" i="3"/>
  <c r="BC12" i="3"/>
  <c r="BB42" i="3"/>
  <c r="BF10" i="3"/>
  <c r="BB24" i="3"/>
  <c r="BC18" i="3"/>
  <c r="BE36" i="3"/>
  <c r="BB36" i="3"/>
  <c r="BC24" i="3"/>
  <c r="BF28" i="3"/>
  <c r="BE30" i="3"/>
  <c r="BF33" i="3"/>
  <c r="BF75" i="3"/>
  <c r="BC30" i="3"/>
  <c r="BF71" i="3"/>
  <c r="BC48" i="3"/>
  <c r="BF45" i="3"/>
  <c r="BC54" i="3"/>
  <c r="BC60" i="3"/>
  <c r="BB12" i="3"/>
  <c r="BF53" i="3"/>
  <c r="BF9" i="3"/>
  <c r="BF16" i="3"/>
  <c r="BF39" i="3"/>
  <c r="BE18" i="3"/>
  <c r="BF11" i="3"/>
  <c r="BC78" i="3"/>
  <c r="BF27" i="3"/>
  <c r="BE54" i="3"/>
  <c r="BF46" i="3"/>
  <c r="BE78" i="3"/>
  <c r="BE24" i="3"/>
  <c r="BF20" i="3"/>
  <c r="BD24" i="3"/>
  <c r="BE42" i="3"/>
  <c r="BE12" i="3"/>
  <c r="BC42" i="3"/>
  <c r="BF63" i="3"/>
  <c r="BF22" i="3"/>
  <c r="BD12" i="3"/>
  <c r="BF8" i="3"/>
  <c r="BF38" i="3"/>
  <c r="BF69" i="3"/>
  <c r="BD42" i="3"/>
  <c r="BD78" i="3"/>
  <c r="BB54" i="3"/>
  <c r="BB60" i="3"/>
  <c r="BE72" i="3"/>
  <c r="BF74" i="3"/>
  <c r="BB48" i="3"/>
  <c r="BF14" i="3" s="1"/>
  <c r="BF68" i="3"/>
  <c r="BD72" i="3"/>
  <c r="BB72" i="3"/>
  <c r="BB66" i="3"/>
  <c r="BD48" i="3"/>
  <c r="BF44" i="3"/>
  <c r="BF64" i="3"/>
  <c r="BF15" i="3"/>
  <c r="BF62" i="3"/>
  <c r="BD66" i="3"/>
  <c r="BC66" i="3"/>
  <c r="BC36" i="3"/>
  <c r="BE60" i="3"/>
  <c r="BD60" i="3"/>
  <c r="BF56" i="3"/>
  <c r="BF34" i="3"/>
  <c r="BD30" i="3"/>
  <c r="BB78" i="3"/>
  <c r="BD54" i="3"/>
  <c r="BF29" i="3"/>
  <c r="BE48" i="3"/>
  <c r="BF40" i="3"/>
  <c r="BE66" i="3"/>
  <c r="BG27" i="3" l="1"/>
  <c r="BG59" i="3"/>
  <c r="BG17" i="3"/>
  <c r="BG69" i="3"/>
  <c r="BG46" i="3"/>
  <c r="BG11" i="3"/>
  <c r="BG53" i="3"/>
  <c r="BG38" i="3"/>
  <c r="BG50" i="3"/>
  <c r="BG51" i="3"/>
  <c r="BG74" i="3"/>
  <c r="BG34" i="3"/>
  <c r="BG35" i="3"/>
  <c r="BG44" i="3"/>
  <c r="BG33" i="3"/>
  <c r="BG71" i="3"/>
  <c r="BG32" i="3"/>
  <c r="BG8" i="3"/>
  <c r="BG52" i="3"/>
  <c r="BG47" i="3"/>
  <c r="BG77" i="3"/>
  <c r="BG29" i="3"/>
  <c r="BG75" i="3"/>
  <c r="BG14" i="3"/>
  <c r="BG20" i="3"/>
  <c r="BD18" i="3"/>
  <c r="BG23" i="3"/>
  <c r="BG15" i="3"/>
  <c r="BG26" i="3"/>
  <c r="BG22" i="3"/>
  <c r="BG68" i="3"/>
  <c r="BG64" i="3"/>
  <c r="BG58" i="3"/>
  <c r="BG28" i="3"/>
  <c r="BG45" i="3"/>
  <c r="BG21" i="3"/>
  <c r="BG76" i="3"/>
  <c r="BG63" i="3"/>
  <c r="BH56" i="3"/>
  <c r="BG56" i="3"/>
  <c r="BG57" i="3"/>
  <c r="BG16" i="3"/>
  <c r="BG62" i="3"/>
  <c r="BG65" i="3"/>
  <c r="BG40" i="3"/>
  <c r="BG9" i="3"/>
  <c r="BG70" i="3"/>
  <c r="BG41" i="3"/>
  <c r="BG39" i="3"/>
  <c r="BG10" i="3"/>
  <c r="BG78" i="3" l="1"/>
  <c r="BG54" i="3"/>
  <c r="BH51" i="3" s="1"/>
  <c r="BG48" i="3"/>
  <c r="BG36" i="3"/>
  <c r="BG24" i="3"/>
  <c r="BH20" i="3" s="1"/>
  <c r="BG12" i="3"/>
  <c r="BH9" i="3" s="1"/>
  <c r="BG72" i="3"/>
  <c r="BH60" i="3"/>
  <c r="BI56" i="3" s="1"/>
  <c r="AP56" i="3" s="1"/>
  <c r="BG66" i="3"/>
  <c r="BH65" i="3" s="1"/>
  <c r="BG30" i="3"/>
  <c r="BH28" i="3" s="1"/>
  <c r="BG18" i="3"/>
  <c r="BH16" i="3" s="1"/>
  <c r="BG60" i="3"/>
  <c r="BG42" i="3"/>
  <c r="BH38" i="3" s="1"/>
  <c r="BH34" i="3" l="1"/>
  <c r="BH33" i="3"/>
  <c r="BH76" i="3"/>
  <c r="BH75" i="3"/>
  <c r="BH74" i="3"/>
  <c r="BH78" i="3" s="1"/>
  <c r="BI77" i="3" s="1"/>
  <c r="AP77" i="3" s="1"/>
  <c r="BH77" i="3"/>
  <c r="BH45" i="3"/>
  <c r="BH46" i="3"/>
  <c r="BH47" i="3"/>
  <c r="BH44" i="3"/>
  <c r="BH35" i="3"/>
  <c r="BH32" i="3"/>
  <c r="BH36" i="3" s="1"/>
  <c r="BI33" i="3" s="1"/>
  <c r="AP33" i="3" s="1"/>
  <c r="BH40" i="3"/>
  <c r="BH53" i="3"/>
  <c r="BH50" i="3"/>
  <c r="BH52" i="3"/>
  <c r="BH54" i="3" s="1"/>
  <c r="BI52" i="3" s="1"/>
  <c r="AP52" i="3" s="1"/>
  <c r="BH10" i="3"/>
  <c r="BH11" i="3"/>
  <c r="BH8" i="3"/>
  <c r="BH12" i="3" s="1"/>
  <c r="BI10" i="3" s="1"/>
  <c r="AP10" i="3" s="1"/>
  <c r="BH22" i="3"/>
  <c r="BH39" i="3"/>
  <c r="BH21" i="3"/>
  <c r="BH23" i="3"/>
  <c r="BH24" i="3" s="1"/>
  <c r="BH26" i="3"/>
  <c r="BI35" i="3"/>
  <c r="AP35" i="3" s="1"/>
  <c r="BI34" i="3"/>
  <c r="AP34" i="3" s="1"/>
  <c r="BH15" i="3"/>
  <c r="BI32" i="3"/>
  <c r="AP32" i="3" s="1"/>
  <c r="BH48" i="3"/>
  <c r="BI45" i="3" s="1"/>
  <c r="AP45" i="3" s="1"/>
  <c r="BH69" i="3"/>
  <c r="BH71" i="3"/>
  <c r="BH41" i="3"/>
  <c r="BI58" i="3"/>
  <c r="AP58" i="3" s="1"/>
  <c r="BI57" i="3"/>
  <c r="AP57" i="3" s="1"/>
  <c r="BI59" i="3"/>
  <c r="AP59" i="3" s="1"/>
  <c r="BH17" i="3"/>
  <c r="BH14" i="3"/>
  <c r="BH64" i="3"/>
  <c r="BH68" i="3"/>
  <c r="BH27" i="3"/>
  <c r="BH29" i="3"/>
  <c r="BH70" i="3"/>
  <c r="BH62" i="3"/>
  <c r="BH63" i="3"/>
  <c r="AP36" i="3" l="1"/>
  <c r="BI44" i="3"/>
  <c r="AP44" i="3" s="1"/>
  <c r="BI74" i="3"/>
  <c r="AP74" i="3" s="1"/>
  <c r="BI21" i="3"/>
  <c r="AP21" i="3" s="1"/>
  <c r="BI20" i="3"/>
  <c r="AP20" i="3" s="1"/>
  <c r="BI23" i="3"/>
  <c r="AP23" i="3" s="1"/>
  <c r="BI22" i="3"/>
  <c r="AP22" i="3" s="1"/>
  <c r="AP60" i="3"/>
  <c r="AR58" i="3" s="1"/>
  <c r="BI8" i="3"/>
  <c r="AP8" i="3" s="1"/>
  <c r="BH30" i="3"/>
  <c r="BI27" i="3" s="1"/>
  <c r="AP27" i="3" s="1"/>
  <c r="BI9" i="3"/>
  <c r="AP9" i="3" s="1"/>
  <c r="AR34" i="3"/>
  <c r="AR32" i="3"/>
  <c r="BH18" i="3"/>
  <c r="BI14" i="3" s="1"/>
  <c r="AP14" i="3" s="1"/>
  <c r="BI76" i="3"/>
  <c r="AP76" i="3" s="1"/>
  <c r="BI75" i="3"/>
  <c r="AP75" i="3" s="1"/>
  <c r="BI46" i="3"/>
  <c r="AP46" i="3" s="1"/>
  <c r="BI47" i="3"/>
  <c r="AP47" i="3" s="1"/>
  <c r="BH66" i="3"/>
  <c r="BI65" i="3" s="1"/>
  <c r="AP65" i="3" s="1"/>
  <c r="BI51" i="3"/>
  <c r="AP51" i="3" s="1"/>
  <c r="BI50" i="3"/>
  <c r="AP50" i="3" s="1"/>
  <c r="BI53" i="3"/>
  <c r="AP53" i="3" s="1"/>
  <c r="BH72" i="3"/>
  <c r="BI68" i="3" s="1"/>
  <c r="AP68" i="3" s="1"/>
  <c r="BH42" i="3"/>
  <c r="BI41" i="3" s="1"/>
  <c r="AP41" i="3" s="1"/>
  <c r="BI11" i="3"/>
  <c r="AP11" i="3" s="1"/>
  <c r="AR35" i="3" l="1"/>
  <c r="AR33" i="3"/>
  <c r="AD33" i="3"/>
  <c r="BI69" i="3"/>
  <c r="AP69" i="3" s="1"/>
  <c r="AR56" i="3"/>
  <c r="AP24" i="3"/>
  <c r="BI71" i="3"/>
  <c r="AP71" i="3" s="1"/>
  <c r="AR23" i="3"/>
  <c r="AR59" i="3"/>
  <c r="BI28" i="3"/>
  <c r="AP28" i="3" s="1"/>
  <c r="AR57" i="3"/>
  <c r="BI26" i="3"/>
  <c r="AP26" i="3" s="1"/>
  <c r="BI29" i="3"/>
  <c r="AP29" i="3" s="1"/>
  <c r="BI70" i="3"/>
  <c r="AP70" i="3" s="1"/>
  <c r="AP12" i="3"/>
  <c r="AR9" i="3" s="1"/>
  <c r="BI62" i="3"/>
  <c r="AP62" i="3" s="1"/>
  <c r="AP48" i="3"/>
  <c r="AR46" i="3" s="1"/>
  <c r="BI63" i="3"/>
  <c r="AP63" i="3" s="1"/>
  <c r="BI64" i="3"/>
  <c r="AP64" i="3" s="1"/>
  <c r="AD32" i="3"/>
  <c r="AD34" i="3"/>
  <c r="AP78" i="3"/>
  <c r="AR76" i="3" s="1"/>
  <c r="BI16" i="3"/>
  <c r="AP16" i="3" s="1"/>
  <c r="BI15" i="3"/>
  <c r="AP15" i="3" s="1"/>
  <c r="AP54" i="3"/>
  <c r="AR52" i="3" s="1"/>
  <c r="AD35" i="3"/>
  <c r="BI17" i="3"/>
  <c r="AP17" i="3" s="1"/>
  <c r="BI38" i="3"/>
  <c r="AP38" i="3" s="1"/>
  <c r="BI39" i="3"/>
  <c r="AP39" i="3" s="1"/>
  <c r="BI40" i="3"/>
  <c r="AP40" i="3" s="1"/>
  <c r="AD56" i="3" l="1"/>
  <c r="AD57" i="3"/>
  <c r="AR20" i="3"/>
  <c r="AD23" i="3" s="1"/>
  <c r="AR21" i="3"/>
  <c r="AR22" i="3"/>
  <c r="AD22" i="3" s="1"/>
  <c r="AD58" i="3"/>
  <c r="AP30" i="3"/>
  <c r="AR28" i="3" s="1"/>
  <c r="AD59" i="3"/>
  <c r="AP72" i="3"/>
  <c r="AR70" i="3" s="1"/>
  <c r="AR11" i="3"/>
  <c r="AR10" i="3"/>
  <c r="AR8" i="3"/>
  <c r="AD8" i="3" s="1"/>
  <c r="AP66" i="3"/>
  <c r="AR64" i="3" s="1"/>
  <c r="AR47" i="3"/>
  <c r="AR45" i="3"/>
  <c r="AR44" i="3"/>
  <c r="AR50" i="3"/>
  <c r="AR51" i="3"/>
  <c r="AR75" i="3"/>
  <c r="AP42" i="3"/>
  <c r="AR38" i="3"/>
  <c r="M33" i="3"/>
  <c r="N33" i="3"/>
  <c r="J33" i="3"/>
  <c r="AS32" i="3" s="1"/>
  <c r="BL10" i="3" s="1"/>
  <c r="O33" i="3"/>
  <c r="L33" i="3"/>
  <c r="J34" i="3"/>
  <c r="AS33" i="3" s="1"/>
  <c r="BL46" i="3" s="1"/>
  <c r="M36" i="3"/>
  <c r="N36" i="3"/>
  <c r="L36" i="3"/>
  <c r="O34" i="3"/>
  <c r="J35" i="3"/>
  <c r="AE84" i="3" s="1"/>
  <c r="M35" i="3"/>
  <c r="N35" i="3"/>
  <c r="N34" i="3"/>
  <c r="O36" i="3"/>
  <c r="L34" i="3"/>
  <c r="L35" i="3"/>
  <c r="M34" i="3"/>
  <c r="J36" i="3"/>
  <c r="O35" i="3"/>
  <c r="AR53" i="3"/>
  <c r="AP18" i="3"/>
  <c r="AR14" i="3" s="1"/>
  <c r="AR77" i="3"/>
  <c r="AR74" i="3"/>
  <c r="AD74" i="3" s="1"/>
  <c r="N59" i="3" l="1"/>
  <c r="M59" i="3"/>
  <c r="O57" i="3"/>
  <c r="J59" i="3"/>
  <c r="AE88" i="3" s="1"/>
  <c r="J57" i="3"/>
  <c r="AS56" i="3" s="1"/>
  <c r="BL14" i="3" s="1"/>
  <c r="L59" i="3"/>
  <c r="N57" i="3"/>
  <c r="O59" i="3"/>
  <c r="L57" i="3"/>
  <c r="M57" i="3"/>
  <c r="J60" i="3"/>
  <c r="L58" i="3"/>
  <c r="L60" i="3"/>
  <c r="N58" i="3"/>
  <c r="N60" i="3"/>
  <c r="AD20" i="3"/>
  <c r="M60" i="3"/>
  <c r="AD21" i="3"/>
  <c r="J22" i="3" s="1"/>
  <c r="AS21" i="3" s="1"/>
  <c r="BL23" i="3" s="1"/>
  <c r="AR27" i="3"/>
  <c r="O60" i="3"/>
  <c r="M58" i="3"/>
  <c r="K58" i="3" s="1"/>
  <c r="J24" i="3"/>
  <c r="M24" i="3"/>
  <c r="L22" i="3"/>
  <c r="O58" i="3"/>
  <c r="N24" i="3"/>
  <c r="AR71" i="3"/>
  <c r="AD10" i="3"/>
  <c r="AR26" i="3"/>
  <c r="AD11" i="3"/>
  <c r="AD9" i="3"/>
  <c r="J58" i="3"/>
  <c r="AS57" i="3" s="1"/>
  <c r="BL47" i="3" s="1"/>
  <c r="BS45" i="3" s="1"/>
  <c r="BZ48" i="3" s="1"/>
  <c r="AD46" i="3"/>
  <c r="AR63" i="3"/>
  <c r="AR29" i="3"/>
  <c r="AR68" i="3"/>
  <c r="AD45" i="3"/>
  <c r="AR69" i="3"/>
  <c r="AR62" i="3"/>
  <c r="AR65" i="3"/>
  <c r="AR15" i="3"/>
  <c r="AD44" i="3"/>
  <c r="AD75" i="3"/>
  <c r="L76" i="3" s="1"/>
  <c r="AD53" i="3"/>
  <c r="AD47" i="3"/>
  <c r="P35" i="3"/>
  <c r="L75" i="3"/>
  <c r="M75" i="3"/>
  <c r="J75" i="3"/>
  <c r="AS74" i="3" s="1"/>
  <c r="BL54" i="3" s="1"/>
  <c r="BS53" i="3" s="1"/>
  <c r="N75" i="3"/>
  <c r="O75" i="3"/>
  <c r="K34" i="3"/>
  <c r="P34" i="3"/>
  <c r="AR17" i="3"/>
  <c r="AG84" i="3"/>
  <c r="AJ84" i="3"/>
  <c r="AQ84" i="3"/>
  <c r="AF84" i="3"/>
  <c r="AN84" i="3"/>
  <c r="AT84" i="3"/>
  <c r="AI84" i="3"/>
  <c r="AH84" i="3"/>
  <c r="AL84" i="3"/>
  <c r="AD76" i="3"/>
  <c r="AD51" i="3"/>
  <c r="AR40" i="3"/>
  <c r="AR41" i="3"/>
  <c r="O9" i="3"/>
  <c r="N9" i="3"/>
  <c r="L9" i="3"/>
  <c r="M9" i="3"/>
  <c r="J9" i="3"/>
  <c r="AS8" i="3" s="1"/>
  <c r="BL50" i="3" s="1"/>
  <c r="BS52" i="3" s="1"/>
  <c r="AR39" i="3"/>
  <c r="AD52" i="3"/>
  <c r="AD77" i="3"/>
  <c r="K35" i="3"/>
  <c r="K36" i="3"/>
  <c r="P36" i="3"/>
  <c r="AR16" i="3"/>
  <c r="K33" i="3"/>
  <c r="P33" i="3"/>
  <c r="AD50" i="3"/>
  <c r="AG88" i="3" l="1"/>
  <c r="AL88" i="3"/>
  <c r="AQ88" i="3"/>
  <c r="AJ88" i="3"/>
  <c r="AI88" i="3"/>
  <c r="AH88" i="3"/>
  <c r="AT88" i="3"/>
  <c r="AN88" i="3"/>
  <c r="AF88" i="3"/>
  <c r="BS13" i="3"/>
  <c r="S85" i="3"/>
  <c r="T85" i="3" s="1" a="1"/>
  <c r="K57" i="3"/>
  <c r="P57" i="3"/>
  <c r="AD27" i="3"/>
  <c r="K59" i="3"/>
  <c r="P59" i="3"/>
  <c r="J10" i="3"/>
  <c r="AS9" i="3" s="1"/>
  <c r="BL18" i="3" s="1"/>
  <c r="N10" i="3"/>
  <c r="O11" i="3"/>
  <c r="AD39" i="3"/>
  <c r="K60" i="3"/>
  <c r="P60" i="3"/>
  <c r="N23" i="3"/>
  <c r="N22" i="3"/>
  <c r="O21" i="3"/>
  <c r="M22" i="3"/>
  <c r="P22" i="3" s="1"/>
  <c r="L24" i="3"/>
  <c r="P24" i="3" s="1"/>
  <c r="M21" i="3"/>
  <c r="M23" i="3"/>
  <c r="O23" i="3"/>
  <c r="O10" i="3"/>
  <c r="L11" i="3"/>
  <c r="L10" i="3"/>
  <c r="M10" i="3"/>
  <c r="S89" i="3"/>
  <c r="T89" i="3" s="1" a="1"/>
  <c r="BS21" i="3"/>
  <c r="P58" i="3"/>
  <c r="L23" i="3"/>
  <c r="J23" i="3"/>
  <c r="AE82" i="3" s="1"/>
  <c r="N12" i="3"/>
  <c r="AD63" i="3"/>
  <c r="L21" i="3"/>
  <c r="J21" i="3"/>
  <c r="AS20" i="3" s="1"/>
  <c r="BL42" i="3" s="1"/>
  <c r="BS44" i="3" s="1"/>
  <c r="N21" i="3"/>
  <c r="O24" i="3"/>
  <c r="M12" i="3"/>
  <c r="BZ49" i="3"/>
  <c r="CG55" i="3" s="1"/>
  <c r="AD26" i="3"/>
  <c r="O22" i="3"/>
  <c r="O76" i="3"/>
  <c r="AD68" i="3"/>
  <c r="N11" i="3"/>
  <c r="AI82" i="3"/>
  <c r="N48" i="3"/>
  <c r="AD70" i="3"/>
  <c r="K22" i="3"/>
  <c r="M11" i="3"/>
  <c r="K11" i="3" s="1"/>
  <c r="AF82" i="3"/>
  <c r="K24" i="3"/>
  <c r="J11" i="3"/>
  <c r="AE80" i="3" s="1"/>
  <c r="J12" i="3"/>
  <c r="BZ17" i="3"/>
  <c r="S96" i="3"/>
  <c r="T96" i="3" s="1" a="1"/>
  <c r="P21" i="3"/>
  <c r="O12" i="3"/>
  <c r="AD28" i="3"/>
  <c r="N30" i="3" s="1"/>
  <c r="L12" i="3"/>
  <c r="P12" i="3" s="1"/>
  <c r="AD29" i="3"/>
  <c r="AD69" i="3"/>
  <c r="AD71" i="3"/>
  <c r="J47" i="3"/>
  <c r="AE86" i="3" s="1"/>
  <c r="N47" i="3"/>
  <c r="M47" i="3"/>
  <c r="N76" i="3"/>
  <c r="AD62" i="3"/>
  <c r="L47" i="3"/>
  <c r="P47" i="3" s="1"/>
  <c r="AD64" i="3"/>
  <c r="L46" i="3"/>
  <c r="O45" i="3"/>
  <c r="AD65" i="3"/>
  <c r="J45" i="3"/>
  <c r="AS44" i="3" s="1"/>
  <c r="BL38" i="3" s="1"/>
  <c r="S91" i="3" s="1"/>
  <c r="T91" i="3" s="1" a="1"/>
  <c r="J76" i="3"/>
  <c r="AS75" i="3" s="1"/>
  <c r="BL27" i="3" s="1"/>
  <c r="L45" i="3"/>
  <c r="M48" i="3"/>
  <c r="J48" i="3"/>
  <c r="M46" i="3"/>
  <c r="O48" i="3"/>
  <c r="M76" i="3"/>
  <c r="L48" i="3"/>
  <c r="O77" i="3"/>
  <c r="N46" i="3"/>
  <c r="O46" i="3"/>
  <c r="M45" i="3"/>
  <c r="J46" i="3"/>
  <c r="AS45" i="3" s="1"/>
  <c r="BL63" i="3" s="1"/>
  <c r="O47" i="3"/>
  <c r="N45" i="3"/>
  <c r="AD38" i="3"/>
  <c r="L77" i="3"/>
  <c r="J77" i="3"/>
  <c r="AE91" i="3" s="1"/>
  <c r="AH91" i="3" s="1"/>
  <c r="AD17" i="3"/>
  <c r="L78" i="3"/>
  <c r="N78" i="3"/>
  <c r="AD40" i="3"/>
  <c r="M78" i="3"/>
  <c r="AD41" i="3"/>
  <c r="AD14" i="3"/>
  <c r="M77" i="3"/>
  <c r="AI86" i="3"/>
  <c r="AQ86" i="3"/>
  <c r="AN86" i="3"/>
  <c r="AG86" i="3"/>
  <c r="N51" i="3"/>
  <c r="M52" i="3"/>
  <c r="J52" i="3"/>
  <c r="AS51" i="3" s="1"/>
  <c r="BL59" i="3" s="1"/>
  <c r="N54" i="3"/>
  <c r="M51" i="3"/>
  <c r="O54" i="3"/>
  <c r="O53" i="3"/>
  <c r="J53" i="3"/>
  <c r="AE87" i="3" s="1"/>
  <c r="M53" i="3"/>
  <c r="J54" i="3"/>
  <c r="J51" i="3"/>
  <c r="AS50" i="3" s="1"/>
  <c r="BL30" i="3" s="1"/>
  <c r="L52" i="3"/>
  <c r="L54" i="3"/>
  <c r="N52" i="3"/>
  <c r="M54" i="3"/>
  <c r="O51" i="3"/>
  <c r="O52" i="3"/>
  <c r="L51" i="3"/>
  <c r="L53" i="3"/>
  <c r="N53" i="3"/>
  <c r="N77" i="3"/>
  <c r="P75" i="3"/>
  <c r="K75" i="3"/>
  <c r="AD15" i="3"/>
  <c r="J78" i="3"/>
  <c r="AD16" i="3"/>
  <c r="O78" i="3"/>
  <c r="P9" i="3"/>
  <c r="K9" i="3"/>
  <c r="BZ16" i="3" l="1"/>
  <c r="S95" i="3"/>
  <c r="T95" i="3" s="1" a="1"/>
  <c r="K10" i="3"/>
  <c r="P10" i="3"/>
  <c r="J27" i="3"/>
  <c r="AS26" i="3" s="1"/>
  <c r="BL34" i="3" s="1"/>
  <c r="J29" i="3"/>
  <c r="AE83" i="3" s="1"/>
  <c r="L29" i="3"/>
  <c r="O27" i="3"/>
  <c r="M29" i="3"/>
  <c r="L27" i="3"/>
  <c r="N27" i="3"/>
  <c r="M27" i="3"/>
  <c r="O29" i="3"/>
  <c r="N29" i="3"/>
  <c r="L70" i="3"/>
  <c r="N70" i="3"/>
  <c r="M70" i="3"/>
  <c r="J70" i="3"/>
  <c r="AS69" i="3" s="1"/>
  <c r="BL26" i="3" s="1"/>
  <c r="O70" i="3"/>
  <c r="AJ86" i="3"/>
  <c r="AT86" i="3"/>
  <c r="AF86" i="3"/>
  <c r="AL86" i="3"/>
  <c r="AH86" i="3"/>
  <c r="J40" i="3"/>
  <c r="AS39" i="3" s="1"/>
  <c r="BL43" i="3" s="1"/>
  <c r="L39" i="3"/>
  <c r="K21" i="3"/>
  <c r="K76" i="3"/>
  <c r="AG80" i="3"/>
  <c r="AT80" i="3"/>
  <c r="AL80" i="3"/>
  <c r="AH80" i="3"/>
  <c r="AI80" i="3"/>
  <c r="AF80" i="3"/>
  <c r="AJ80" i="3"/>
  <c r="L40" i="3"/>
  <c r="N40" i="3"/>
  <c r="AN82" i="3"/>
  <c r="AJ82" i="3"/>
  <c r="AG82" i="3"/>
  <c r="AT82" i="3"/>
  <c r="AH82" i="3"/>
  <c r="AQ82" i="3"/>
  <c r="AL82" i="3"/>
  <c r="P11" i="3"/>
  <c r="J71" i="3"/>
  <c r="AE90" i="3" s="1"/>
  <c r="K23" i="3"/>
  <c r="P23" i="3"/>
  <c r="K12" i="3"/>
  <c r="M28" i="3"/>
  <c r="P76" i="3"/>
  <c r="AN80" i="3"/>
  <c r="AQ80" i="3"/>
  <c r="P46" i="3"/>
  <c r="J30" i="3"/>
  <c r="L28" i="3"/>
  <c r="M30" i="3"/>
  <c r="J39" i="3"/>
  <c r="AS38" i="3" s="1"/>
  <c r="BL22" i="3" s="1"/>
  <c r="L30" i="3"/>
  <c r="K30" i="3" s="1"/>
  <c r="J28" i="3"/>
  <c r="AS27" i="3" s="1"/>
  <c r="BL62" i="3" s="1"/>
  <c r="O30" i="3"/>
  <c r="O39" i="3"/>
  <c r="O28" i="3"/>
  <c r="O69" i="3"/>
  <c r="L72" i="3"/>
  <c r="N28" i="3"/>
  <c r="K47" i="3"/>
  <c r="O72" i="3"/>
  <c r="N71" i="3"/>
  <c r="BS61" i="3"/>
  <c r="M71" i="3"/>
  <c r="J72" i="3"/>
  <c r="N72" i="3"/>
  <c r="N69" i="3"/>
  <c r="M72" i="3"/>
  <c r="O71" i="3"/>
  <c r="L71" i="3"/>
  <c r="K46" i="3"/>
  <c r="J69" i="3"/>
  <c r="AS68" i="3" s="1"/>
  <c r="BL70" i="3" s="1"/>
  <c r="BS69" i="3" s="1"/>
  <c r="L69" i="3"/>
  <c r="M69" i="3"/>
  <c r="M41" i="3"/>
  <c r="M39" i="3"/>
  <c r="P48" i="3"/>
  <c r="K48" i="3"/>
  <c r="K45" i="3"/>
  <c r="P78" i="3"/>
  <c r="BS37" i="3"/>
  <c r="L64" i="3"/>
  <c r="L66" i="3"/>
  <c r="O65" i="3"/>
  <c r="O63" i="3"/>
  <c r="N65" i="3"/>
  <c r="M66" i="3"/>
  <c r="N63" i="3"/>
  <c r="L65" i="3"/>
  <c r="M65" i="3"/>
  <c r="O66" i="3"/>
  <c r="N66" i="3"/>
  <c r="N64" i="3"/>
  <c r="M64" i="3"/>
  <c r="M63" i="3"/>
  <c r="J66" i="3"/>
  <c r="O64" i="3"/>
  <c r="L63" i="3"/>
  <c r="J64" i="3"/>
  <c r="AS63" i="3" s="1"/>
  <c r="BL31" i="3" s="1"/>
  <c r="J63" i="3"/>
  <c r="AS62" i="3" s="1"/>
  <c r="BL58" i="3" s="1"/>
  <c r="BS60" i="3" s="1"/>
  <c r="BZ64" i="3" s="1"/>
  <c r="J65" i="3"/>
  <c r="AE89" i="3" s="1"/>
  <c r="AL91" i="3"/>
  <c r="AF91" i="3"/>
  <c r="AJ91" i="3"/>
  <c r="AN91" i="3"/>
  <c r="M40" i="3"/>
  <c r="L41" i="3"/>
  <c r="O40" i="3"/>
  <c r="N39" i="3"/>
  <c r="O42" i="3"/>
  <c r="AG91" i="3"/>
  <c r="P45" i="3"/>
  <c r="S87" i="3"/>
  <c r="T87" i="3" s="1" a="1"/>
  <c r="BS29" i="3"/>
  <c r="N42" i="3"/>
  <c r="AQ91" i="3"/>
  <c r="AT91" i="3"/>
  <c r="AI91" i="3"/>
  <c r="K77" i="3"/>
  <c r="P77" i="3"/>
  <c r="M42" i="3"/>
  <c r="N41" i="3"/>
  <c r="J42" i="3"/>
  <c r="AJ87" i="3"/>
  <c r="AG87" i="3"/>
  <c r="AF87" i="3"/>
  <c r="AL87" i="3"/>
  <c r="AN87" i="3"/>
  <c r="AQ87" i="3"/>
  <c r="AI87" i="3"/>
  <c r="AT87" i="3"/>
  <c r="AH87" i="3"/>
  <c r="K29" i="3"/>
  <c r="P29" i="3"/>
  <c r="AH83" i="3"/>
  <c r="AI83" i="3"/>
  <c r="AQ83" i="3"/>
  <c r="AG83" i="3"/>
  <c r="AF83" i="3"/>
  <c r="AT83" i="3"/>
  <c r="AL83" i="3"/>
  <c r="AN83" i="3"/>
  <c r="AJ83" i="3"/>
  <c r="O41" i="3"/>
  <c r="L42" i="3"/>
  <c r="J41" i="3"/>
  <c r="AE85" i="3" s="1"/>
  <c r="P52" i="3"/>
  <c r="K52" i="3"/>
  <c r="P27" i="3"/>
  <c r="K27" i="3"/>
  <c r="P70" i="3"/>
  <c r="K70" i="3"/>
  <c r="J16" i="3"/>
  <c r="AS15" i="3" s="1"/>
  <c r="BL19" i="3" s="1"/>
  <c r="O15" i="3"/>
  <c r="O17" i="3"/>
  <c r="J15" i="3"/>
  <c r="AS14" i="3" s="1"/>
  <c r="BL66" i="3" s="1"/>
  <c r="BS68" i="3" s="1"/>
  <c r="L16" i="3"/>
  <c r="O16" i="3"/>
  <c r="N17" i="3"/>
  <c r="L18" i="3"/>
  <c r="J18" i="3"/>
  <c r="J17" i="3"/>
  <c r="AE81" i="3" s="1"/>
  <c r="N15" i="3"/>
  <c r="O18" i="3"/>
  <c r="M15" i="3"/>
  <c r="N18" i="3"/>
  <c r="M16" i="3"/>
  <c r="L15" i="3"/>
  <c r="L17" i="3"/>
  <c r="N16" i="3"/>
  <c r="M17" i="3"/>
  <c r="M18" i="3"/>
  <c r="P53" i="3"/>
  <c r="K53" i="3"/>
  <c r="P51" i="3"/>
  <c r="K51" i="3"/>
  <c r="K78" i="3"/>
  <c r="P54" i="3"/>
  <c r="K54" i="3"/>
  <c r="P28" i="3" l="1"/>
  <c r="P69" i="3"/>
  <c r="S90" i="3"/>
  <c r="T90" i="3" s="1" a="1"/>
  <c r="BS36" i="3"/>
  <c r="S86" i="3"/>
  <c r="T86" i="3" s="1" a="1"/>
  <c r="BS28" i="3"/>
  <c r="S98" i="3"/>
  <c r="T98" i="3" s="1" a="1"/>
  <c r="BZ33" i="3"/>
  <c r="K28" i="3"/>
  <c r="K39" i="3"/>
  <c r="K71" i="3"/>
  <c r="K41" i="3"/>
  <c r="AL90" i="3"/>
  <c r="AQ90" i="3"/>
  <c r="AF90" i="3"/>
  <c r="AT90" i="3"/>
  <c r="AN90" i="3"/>
  <c r="AI90" i="3"/>
  <c r="AJ90" i="3"/>
  <c r="AH90" i="3"/>
  <c r="AG90" i="3"/>
  <c r="P40" i="3"/>
  <c r="K40" i="3"/>
  <c r="P30" i="3"/>
  <c r="P39" i="3"/>
  <c r="K72" i="3"/>
  <c r="K69" i="3"/>
  <c r="P71" i="3"/>
  <c r="P72" i="3"/>
  <c r="P41" i="3"/>
  <c r="P63" i="3"/>
  <c r="K63" i="3"/>
  <c r="AG89" i="3"/>
  <c r="AH89" i="3"/>
  <c r="AJ89" i="3"/>
  <c r="AQ89" i="3"/>
  <c r="AT89" i="3"/>
  <c r="AF89" i="3"/>
  <c r="AI89" i="3"/>
  <c r="AL89" i="3"/>
  <c r="AN89" i="3"/>
  <c r="K66" i="3"/>
  <c r="P66" i="3"/>
  <c r="P64" i="3"/>
  <c r="K64" i="3"/>
  <c r="P65" i="3"/>
  <c r="K65" i="3"/>
  <c r="BS20" i="3"/>
  <c r="S88" i="3"/>
  <c r="T88" i="3" s="1" a="1"/>
  <c r="P16" i="3"/>
  <c r="K16" i="3"/>
  <c r="AQ81" i="3"/>
  <c r="AF81" i="3"/>
  <c r="AG81" i="3"/>
  <c r="AI81" i="3"/>
  <c r="AL81" i="3"/>
  <c r="AN81" i="3"/>
  <c r="AT81" i="3"/>
  <c r="AH81" i="3"/>
  <c r="AJ81" i="3"/>
  <c r="AI85" i="3"/>
  <c r="AG85" i="3"/>
  <c r="AN85" i="3"/>
  <c r="AQ85" i="3"/>
  <c r="AH85" i="3"/>
  <c r="AL85" i="3"/>
  <c r="AJ85" i="3"/>
  <c r="AT85" i="3"/>
  <c r="AF85" i="3"/>
  <c r="P42" i="3"/>
  <c r="K42" i="3"/>
  <c r="K17" i="3"/>
  <c r="P17" i="3"/>
  <c r="K15" i="3"/>
  <c r="P15" i="3"/>
  <c r="K18" i="3"/>
  <c r="P18" i="3"/>
  <c r="AJ92" i="3" l="1"/>
  <c r="AF92" i="3"/>
  <c r="AN92" i="3"/>
  <c r="AI92" i="3"/>
  <c r="AL92" i="3"/>
  <c r="AH92" i="3"/>
  <c r="AG92" i="3"/>
  <c r="AS92" i="3"/>
  <c r="AM81" i="3" l="1"/>
  <c r="AM85" i="3"/>
  <c r="AM82" i="3"/>
  <c r="AM84" i="3"/>
  <c r="AM88" i="3"/>
  <c r="AM80" i="3"/>
  <c r="AM86" i="3"/>
  <c r="AM89" i="3"/>
  <c r="AM91" i="3"/>
  <c r="AM90" i="3"/>
  <c r="AM87" i="3"/>
  <c r="AM83" i="3"/>
  <c r="AM92" i="3" l="1"/>
  <c r="AP85" i="3" l="1"/>
  <c r="AP88" i="3"/>
  <c r="AP80" i="3"/>
  <c r="AP86" i="3"/>
  <c r="AP87" i="3"/>
  <c r="AP84" i="3"/>
  <c r="AP91" i="3"/>
  <c r="AP89" i="3"/>
  <c r="AP82" i="3"/>
  <c r="AP83" i="3"/>
  <c r="AP81" i="3"/>
  <c r="AP90" i="3"/>
  <c r="AD90" i="3" l="1"/>
  <c r="AS90" i="3" s="1"/>
  <c r="AD81" i="3"/>
  <c r="AS81" i="3" s="1"/>
  <c r="AD83" i="3"/>
  <c r="AS83" i="3" s="1"/>
  <c r="AD84" i="3"/>
  <c r="AS84" i="3" s="1"/>
  <c r="AD80" i="3"/>
  <c r="AD82" i="3"/>
  <c r="AS82" i="3" s="1"/>
  <c r="AD91" i="3"/>
  <c r="AS91" i="3" s="1"/>
  <c r="AD88" i="3"/>
  <c r="AS88" i="3" s="1"/>
  <c r="AD89" i="3"/>
  <c r="AS89" i="3" s="1"/>
  <c r="AD87" i="3"/>
  <c r="AS87" i="3" s="1"/>
  <c r="AD86" i="3"/>
  <c r="AS86" i="3" s="1"/>
  <c r="AD85" i="3"/>
  <c r="AS85" i="3" s="1"/>
  <c r="AR80" i="3" l="1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O84" i="3"/>
  <c r="J88" i="3"/>
  <c r="J90" i="3"/>
  <c r="J86" i="3"/>
  <c r="O85" i="3"/>
  <c r="L84" i="3"/>
  <c r="N92" i="3"/>
  <c r="M81" i="3"/>
  <c r="AS80" i="3"/>
  <c r="O89" i="3"/>
  <c r="M85" i="3"/>
  <c r="L85" i="3"/>
  <c r="L81" i="3"/>
  <c r="L86" i="3"/>
  <c r="O81" i="3"/>
  <c r="O92" i="3"/>
  <c r="J89" i="3"/>
  <c r="J82" i="3"/>
  <c r="N82" i="3"/>
  <c r="L88" i="3"/>
  <c r="M90" i="3"/>
  <c r="L87" i="3"/>
  <c r="O90" i="3"/>
  <c r="N91" i="3"/>
  <c r="O87" i="3"/>
  <c r="O91" i="3"/>
  <c r="N84" i="3"/>
  <c r="L91" i="3"/>
  <c r="J83" i="3"/>
  <c r="O83" i="3"/>
  <c r="M83" i="3"/>
  <c r="L89" i="3"/>
  <c r="N81" i="3"/>
  <c r="M91" i="3"/>
  <c r="M86" i="3"/>
  <c r="N86" i="3"/>
  <c r="O88" i="3"/>
  <c r="O82" i="3"/>
  <c r="N87" i="3"/>
  <c r="J81" i="3"/>
  <c r="J84" i="3"/>
  <c r="M82" i="3"/>
  <c r="N90" i="3"/>
  <c r="L92" i="3"/>
  <c r="L83" i="3"/>
  <c r="O86" i="3"/>
  <c r="M89" i="3"/>
  <c r="N83" i="3"/>
  <c r="N89" i="3"/>
  <c r="N85" i="3"/>
  <c r="N88" i="3"/>
  <c r="J91" i="3"/>
  <c r="M84" i="3"/>
  <c r="J85" i="3"/>
  <c r="J87" i="3"/>
  <c r="M87" i="3"/>
  <c r="M92" i="3"/>
  <c r="J92" i="3"/>
  <c r="L82" i="3"/>
  <c r="M88" i="3"/>
  <c r="L90" i="3"/>
  <c r="P85" i="3" l="1"/>
  <c r="K88" i="3"/>
  <c r="P88" i="3"/>
  <c r="P92" i="3"/>
  <c r="K92" i="3"/>
  <c r="P82" i="3"/>
  <c r="K82" i="3"/>
  <c r="P86" i="3"/>
  <c r="K86" i="3"/>
  <c r="P90" i="3"/>
  <c r="K90" i="3"/>
  <c r="K89" i="3"/>
  <c r="P89" i="3"/>
  <c r="K87" i="3"/>
  <c r="P87" i="3"/>
  <c r="K81" i="3"/>
  <c r="P81" i="3"/>
  <c r="K84" i="3"/>
  <c r="P84" i="3"/>
  <c r="P91" i="3"/>
  <c r="K91" i="3"/>
  <c r="K85" i="3"/>
  <c r="K83" i="3"/>
  <c r="P83" i="3"/>
  <c r="F3" i="4"/>
  <c r="BL35" i="3" s="1"/>
  <c r="K3" i="4"/>
  <c r="BL55" i="3" s="1"/>
  <c r="D3" i="4"/>
  <c r="BL51" i="3" s="1"/>
  <c r="G3" i="4"/>
  <c r="BL11" i="3" s="1"/>
  <c r="J3" i="4"/>
  <c r="BL71" i="3" s="1"/>
  <c r="I3" i="4"/>
  <c r="BL15" i="3" s="1"/>
  <c r="E3" i="4"/>
  <c r="BL67" i="3" s="1"/>
  <c r="B3" i="4"/>
  <c r="H3" i="4"/>
  <c r="BL39" i="3" s="1"/>
  <c r="S84" i="3" l="1"/>
  <c r="T84" i="3" s="1" a="1"/>
  <c r="BS1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<sst xmlns="http://schemas.openxmlformats.org/spreadsheetml/2006/main" count="9786" uniqueCount="3698">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</sst>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M5" zoomScaleNormal="100" workbookViewId="0">
      <selection activeCell="CA18" sqref="CA18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5" style="3" bestFit="1" customWidth="1"/>
    <col min="4" max="4" width="9" style="4" customWidth="1"/>
    <col min="5" max="5" width="22.5" style="5" customWidth="1"/>
    <col min="6" max="7" width="4.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5" style="9" customWidth="1"/>
    <col min="16" max="16" width="6.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5" style="125" hidden="1" customWidth="1"/>
    <col min="46" max="50" width="4.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5" style="2" customWidth="1"/>
    <col min="64" max="64" width="19.5" style="2" customWidth="1"/>
    <col min="65" max="67" width="3" style="2" customWidth="1"/>
    <col min="68" max="69" width="2" style="111" customWidth="1"/>
    <col min="70" max="70" width="3.5" style="2" customWidth="1"/>
    <col min="71" max="71" width="19.5" style="2" customWidth="1"/>
    <col min="72" max="74" width="3" style="2" customWidth="1"/>
    <col min="75" max="76" width="2" style="111" customWidth="1"/>
    <col min="77" max="77" width="4" style="2" customWidth="1"/>
    <col min="78" max="78" width="19.5" style="2" customWidth="1"/>
    <col min="79" max="81" width="3" style="2" customWidth="1"/>
    <col min="82" max="83" width="2" style="111" customWidth="1"/>
    <col min="84" max="84" width="3.83203125" style="2" customWidth="1"/>
    <col min="85" max="85" width="19.5" style="2" customWidth="1"/>
    <col min="86" max="88" width="3" style="2" customWidth="1"/>
    <col min="89" max="90" width="2" style="111" customWidth="1"/>
    <col min="91" max="91" width="3.5" style="2" customWidth="1"/>
    <col min="92" max="92" width="19.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39" t="str" cm="1">
        <f t="array" ref="A1">INDEX(T,2,lang)</f>
        <v>2026 World Cup Final Tournament Schedule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40" t="str">
        <f>"Language: " &amp; Settings!C4</f>
        <v>Language: English</v>
      </c>
      <c r="P3" s="140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41" t="str" cm="1">
        <f t="array" ref="A5">INDEX(T,3,lang)</f>
        <v>Group Stage</v>
      </c>
      <c r="B5" s="142"/>
      <c r="C5" s="142"/>
      <c r="D5" s="142"/>
      <c r="E5" s="142"/>
      <c r="F5" s="142"/>
      <c r="G5" s="142"/>
      <c r="H5" s="143"/>
      <c r="J5" s="147" t="s">
        <v>3166</v>
      </c>
      <c r="K5" s="148"/>
      <c r="L5" s="148"/>
      <c r="M5" s="148"/>
      <c r="N5" s="148"/>
      <c r="O5" s="148"/>
      <c r="P5" s="149"/>
    </row>
    <row r="6" spans="1:95" ht="15" customHeight="1" x14ac:dyDescent="0.2">
      <c r="A6" s="144"/>
      <c r="B6" s="145"/>
      <c r="C6" s="145"/>
      <c r="D6" s="145"/>
      <c r="E6" s="145"/>
      <c r="F6" s="145"/>
      <c r="G6" s="145"/>
      <c r="H6" s="146"/>
      <c r="J6" s="150"/>
      <c r="K6" s="151"/>
      <c r="L6" s="151"/>
      <c r="M6" s="151"/>
      <c r="N6" s="151"/>
      <c r="O6" s="151"/>
      <c r="P6" s="152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33" t="s">
        <v>3179</v>
      </c>
      <c r="BL6" s="134"/>
      <c r="BM6" s="134"/>
      <c r="BN6" s="134"/>
      <c r="BO6" s="135"/>
      <c r="BR6" s="133" t="str" cm="1">
        <f t="array" ref="BR6">INDEX(T,4,lang)</f>
        <v>Round of 16</v>
      </c>
      <c r="BS6" s="134"/>
      <c r="BT6" s="134"/>
      <c r="BU6" s="134"/>
      <c r="BV6" s="135"/>
      <c r="BY6" s="133" t="str" cm="1">
        <f t="array" ref="BY6">INDEX(T,5,lang)</f>
        <v>Quarterfinals</v>
      </c>
      <c r="BZ6" s="134"/>
      <c r="CA6" s="134"/>
      <c r="CB6" s="134"/>
      <c r="CC6" s="135"/>
      <c r="CF6" s="133" t="str" cm="1">
        <f t="array" ref="CF6">INDEX(T,6,lang)</f>
        <v>Semi-Finals</v>
      </c>
      <c r="CG6" s="134"/>
      <c r="CH6" s="134"/>
      <c r="CI6" s="134"/>
      <c r="CJ6" s="135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36"/>
      <c r="BL7" s="137"/>
      <c r="BM7" s="137"/>
      <c r="BN7" s="137"/>
      <c r="BO7" s="138"/>
      <c r="BR7" s="136"/>
      <c r="BS7" s="137"/>
      <c r="BT7" s="137"/>
      <c r="BU7" s="137"/>
      <c r="BV7" s="138"/>
      <c r="BY7" s="136"/>
      <c r="BZ7" s="137"/>
      <c r="CA7" s="137"/>
      <c r="CB7" s="137"/>
      <c r="CC7" s="138"/>
      <c r="CF7" s="136"/>
      <c r="CG7" s="137"/>
      <c r="CH7" s="137"/>
      <c r="CI7" s="137"/>
      <c r="CJ7" s="138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3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6</v>
      </c>
      <c r="AJ8" s="123">
        <f>SUMIF($E$7:$E$78,$AE8,$G$7:$G$78) + SUMIF($H$7:$H$78,$AE8,$F$7:$F$78)</f>
        <v>0</v>
      </c>
      <c r="AL8" s="123">
        <f>AI8-AJ8</f>
        <v>6</v>
      </c>
      <c r="AM8" s="123">
        <f>AL8-AL12</f>
        <v>10</v>
      </c>
      <c r="AN8" s="123">
        <f>AF8*3+AG8</f>
        <v>9</v>
      </c>
      <c r="AO8" s="123">
        <f>AN8/AN12*10+BA8</f>
        <v>9</v>
      </c>
      <c r="AP8" s="123">
        <f>AO8*10000000+BI8*100+AM8/AM12*10+AI8/AI12*1++IF(AQ8=0,ROW(),AQ8)/2000000</f>
        <v>90000009.948892459</v>
      </c>
      <c r="AQ8" s="126">
        <f>VLOOKUP(AE8,db_fifarank,2,FALSE)</f>
        <v>1681.03</v>
      </c>
      <c r="AR8" s="125">
        <f>AP8/AP12</f>
        <v>0.99999998888889019</v>
      </c>
      <c r="AS8" s="125" t="str">
        <f>IF(SUM(AF8:AH11)=12,J9,"1A")</f>
        <v>Mexico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3</v>
      </c>
      <c r="L9" s="31">
        <f>VLOOKUP(1,AD8:AN11,3,FALSE)</f>
        <v>3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6 - 0</v>
      </c>
      <c r="P9" s="32">
        <f>L9*3+M9</f>
        <v>9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2</v>
      </c>
      <c r="AE9" s="124" t="str">
        <f>VLOOKUP("South Africa",T,lang,FALSE)</f>
        <v>South Africa</v>
      </c>
      <c r="AF9" s="123">
        <f>COUNTIF($S$7:$T$78,"=" &amp; AE9 &amp; "_win")</f>
        <v>1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2</v>
      </c>
      <c r="AJ9" s="123">
        <f>SUMIF($E$7:$E$78,$AE9,$G$7:$G$78) + SUMIF($H$7:$H$78,$AE9,$F$7:$F$78)</f>
        <v>3</v>
      </c>
      <c r="AL9" s="123">
        <f>AI9-AJ9</f>
        <v>-1</v>
      </c>
      <c r="AM9" s="123">
        <f>AL9-AL12</f>
        <v>3</v>
      </c>
      <c r="AN9" s="123">
        <f>AF9*3+AG9</f>
        <v>4</v>
      </c>
      <c r="AO9" s="123">
        <f>AN9/AN12*10+BA9</f>
        <v>4</v>
      </c>
      <c r="AP9" s="123">
        <f>AO9*10000000+BI9*100+AM9/AM12*10+AI9/AI12*1++IF(AQ9=0,ROW(),AQ9)/2000000</f>
        <v>40000003.013701878</v>
      </c>
      <c r="AQ9" s="126">
        <f>VLOOKUP(AE9,db_fifarank,2,FALSE)</f>
        <v>1429.73</v>
      </c>
      <c r="AR9" s="125">
        <f>AP9/AP12</f>
        <v>0.44444442386141864</v>
      </c>
      <c r="AS9" s="125" t="str">
        <f>IF(SUM(AF8:AH11)=12,J10,"2A")</f>
        <v>South Africa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South Africa</v>
      </c>
      <c r="K10" s="23">
        <f>L10+M10+N10</f>
        <v>3</v>
      </c>
      <c r="L10" s="23">
        <f>VLOOKUP(2,AD8:AN11,3,FALSE)</f>
        <v>1</v>
      </c>
      <c r="M10" s="23">
        <f>VLOOKUP(2,AD8:AN11,4,FALSE)</f>
        <v>1</v>
      </c>
      <c r="N10" s="23">
        <f>VLOOKUP(2,AD8:AN11,5,FALSE)</f>
        <v>1</v>
      </c>
      <c r="O10" s="23" t="str">
        <f>VLOOKUP(2,AD8:AN11,6,FALSE) &amp; " - " &amp; VLOOKUP(2,AD8:AN11,7,FALSE)</f>
        <v>2 - 3</v>
      </c>
      <c r="P10" s="34">
        <f>L10*3+M10</f>
        <v>4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3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2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3</v>
      </c>
      <c r="AL10" s="123">
        <f>AI10-AJ10</f>
        <v>-1</v>
      </c>
      <c r="AM10" s="123">
        <f>AL10-AL12</f>
        <v>3</v>
      </c>
      <c r="AN10" s="123">
        <f>AF10*3+AG10</f>
        <v>3</v>
      </c>
      <c r="AO10" s="123">
        <f>AN10/AN12*10+BA10</f>
        <v>3</v>
      </c>
      <c r="AP10" s="123">
        <f>AO10*10000000+BI10*100+AM10/AM12*10+AI10/AI12*1++IF(AQ10=0,ROW(),AQ10)/2000000</f>
        <v>30000003.013781343</v>
      </c>
      <c r="AQ10" s="126">
        <f>VLOOKUP(AE10,db_fifarank,2,FALSE)</f>
        <v>1588.66</v>
      </c>
      <c r="AR10" s="125">
        <f>AP10/AP12</f>
        <v>0.33333332626834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31">
        <v>74</v>
      </c>
      <c r="BL10" s="24" t="str">
        <f>AS32</f>
        <v>Germany</v>
      </c>
      <c r="BM10" s="61">
        <v>1</v>
      </c>
      <c r="BN10" s="63">
        <v>1</v>
      </c>
      <c r="BO10" s="25">
        <v>3</v>
      </c>
      <c r="BP10" s="112">
        <f>IF(OR(BM10="",BM11="",AND(BN10="",BN11&lt;&gt;""),AND(BN11="",BN10&lt;&gt;""),AND(BO10="",BO11&lt;&gt;""),AND(BO11="",BO10&lt;&gt;"")),"",BM10*1000+BN10*10+BO10)</f>
        <v>1013</v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Korea Republic</v>
      </c>
      <c r="K11" s="23">
        <f>L11+M11+N11</f>
        <v>3</v>
      </c>
      <c r="L11" s="23">
        <f>VLOOKUP(3,AD8:AN11,3,FALSE)</f>
        <v>1</v>
      </c>
      <c r="M11" s="23">
        <f>VLOOKUP(3,AD8:AN11,4,FALSE)</f>
        <v>0</v>
      </c>
      <c r="N11" s="23">
        <f>VLOOKUP(3,AD8:AN11,5,FALSE)</f>
        <v>2</v>
      </c>
      <c r="O11" s="23" t="str">
        <f>VLOOKUP(3,AD8:AN11,6,FALSE) &amp; " - " &amp; VLOOKUP(3,AD8:AN11,7,FALSE)</f>
        <v>2 - 3</v>
      </c>
      <c r="P11" s="34">
        <f>L11*3+M11</f>
        <v>3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4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2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6</v>
      </c>
      <c r="AL11" s="123">
        <f>AI11-AJ11</f>
        <v>-4</v>
      </c>
      <c r="AM11" s="123">
        <f>AL11-AL12</f>
        <v>0</v>
      </c>
      <c r="AN11" s="123">
        <f>AF11*3+AG11</f>
        <v>1</v>
      </c>
      <c r="AO11" s="123">
        <f>AN11/AN12*10+BA11</f>
        <v>1</v>
      </c>
      <c r="AP11" s="123">
        <f>AO11*10000000+BI11*100+AM11/AM12*10+AI11/AI12*1++IF(AQ11=0,ROW(),AQ11)/2000000</f>
        <v>10000000.286464976</v>
      </c>
      <c r="AQ11" s="126">
        <f>VLOOKUP(AE11,db_fifarank,2,FALSE)</f>
        <v>1501.38</v>
      </c>
      <c r="AR11" s="125">
        <f>AP11/AP12</f>
        <v>0.11111110077690536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32"/>
      <c r="BL11" s="26" t="str">
        <f>IF(group_round_completed,VLOOKUP('3rd places'!G3,AK80:AS91,9,FALSE),"3rd Group A/B/C/D/F")</f>
        <v>Paraguay</v>
      </c>
      <c r="BM11" s="62">
        <v>1</v>
      </c>
      <c r="BN11" s="64">
        <v>1</v>
      </c>
      <c r="BO11" s="27">
        <v>4</v>
      </c>
      <c r="BP11" s="113">
        <f>IF(BP10="","",BM11*1000+BN11*10+BO11)</f>
        <v>1014</v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Czech Republic</v>
      </c>
      <c r="K12" s="36">
        <f>L12+M12+N12</f>
        <v>3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2</v>
      </c>
      <c r="O12" s="36" t="str">
        <f>VLOOKUP(4,AD8:AN11,6,FALSE) &amp; " - " &amp; VLOOKUP(4,AD8:AN11,7,FALSE)</f>
        <v>2 - 6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4</v>
      </c>
      <c r="AG12" s="123">
        <f t="shared" si="12"/>
        <v>2</v>
      </c>
      <c r="AH12" s="123">
        <f t="shared" si="12"/>
        <v>3</v>
      </c>
      <c r="AI12" s="123">
        <f>MAX(AI8:AI11)+1</f>
        <v>7</v>
      </c>
      <c r="AL12" s="123">
        <f>MIN(AL8:AL11)</f>
        <v>-4</v>
      </c>
      <c r="AM12" s="123">
        <f>MAX(AM8:AM11)+1</f>
        <v>11</v>
      </c>
      <c r="AN12" s="123">
        <f>MAX(AN8:AN11)+1</f>
        <v>10</v>
      </c>
      <c r="AO12" s="123">
        <f>MAX(AO8:AO11)+1</f>
        <v>10</v>
      </c>
      <c r="AP12" s="123">
        <f>MAX(AP8:AP11)+1</f>
        <v>90000010.948892459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31">
        <v>89</v>
      </c>
      <c r="BS12" s="24" t="str">
        <f>IF(BP10&gt;BP11,BL10,IF(BP10&lt;BP11,BL11,""))</f>
        <v>Paraguay</v>
      </c>
      <c r="BT12" s="61">
        <v>0</v>
      </c>
      <c r="BU12" s="63"/>
      <c r="BV12" s="25"/>
      <c r="BW12" s="112">
        <f>IF(OR(BT12="",BT13="",AND(BU12="",BU13&lt;&gt;""),AND(BU13="",BU12&lt;&gt;""),AND(BV12="",BV13&lt;&gt;""),AND(BV13="",BV12&lt;&gt;"")),"",BT12*1000+BU12*10+BV12)</f>
        <v>0</v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32"/>
      <c r="BS13" s="26" t="str">
        <f>IF(BP14&gt;BP15,BL14,IF(BP14&lt;BP15,BL15,""))</f>
        <v>France</v>
      </c>
      <c r="BT13" s="62">
        <v>1</v>
      </c>
      <c r="BU13" s="64"/>
      <c r="BV13" s="27"/>
      <c r="BW13" s="113">
        <f>IF(BW12="","",BT13*1000+BU13*10+BV13)</f>
        <v>1000</v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1</v>
      </c>
      <c r="AI14" s="123">
        <f>SUMIF($E$7:$E$78,$AE14,$F$7:$F$78) + SUMIF($H$7:$H$78,$AE14,$G$7:$G$78)</f>
        <v>8</v>
      </c>
      <c r="AJ14" s="123">
        <f>SUMIF($E$7:$E$78,$AE14,$G$7:$G$78) + SUMIF($H$7:$H$78,$AE14,$F$7:$F$78)</f>
        <v>3</v>
      </c>
      <c r="AL14" s="123">
        <f>AI14-AJ14</f>
        <v>5</v>
      </c>
      <c r="AM14" s="123">
        <f>AL14-AL18</f>
        <v>13</v>
      </c>
      <c r="AN14" s="123">
        <f>AF14*3+AG14</f>
        <v>4</v>
      </c>
      <c r="AO14" s="123">
        <f>AN14/AN18*10+BA14</f>
        <v>5.9805825242718447</v>
      </c>
      <c r="AP14" s="123">
        <f>AO14*10000000+BI14*100+AM14/AM18*10+AI14/AI18*1++IF(AQ14=0,ROW(),AQ14)/2000000</f>
        <v>59805933.476352282</v>
      </c>
      <c r="AQ14" s="126">
        <f>VLOOKUP(AE14,db_fifarank,2,FALSE)</f>
        <v>1556.48</v>
      </c>
      <c r="AR14" s="125">
        <f>AP14/AP18</f>
        <v>0.68349630173879239</v>
      </c>
      <c r="AS14" s="125" t="str">
        <f>IF(SUM(AF14:AH17)=12,J15,"1B")</f>
        <v>Switzerland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50.5</v>
      </c>
      <c r="BA14" s="126">
        <f>AZ14/AZ18</f>
        <v>0.98058252427184467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50.5</v>
      </c>
      <c r="BI14" s="126">
        <f>BH14/BH18</f>
        <v>0.98058252427184467</v>
      </c>
      <c r="BK14" s="131">
        <v>77</v>
      </c>
      <c r="BL14" s="24" t="str">
        <f>AS56</f>
        <v>France</v>
      </c>
      <c r="BM14" s="61">
        <v>3</v>
      </c>
      <c r="BN14" s="63"/>
      <c r="BO14" s="25"/>
      <c r="BP14" s="116">
        <f>IF(OR(BM14="",BM15="",AND(BN14="",BN15&lt;&gt;""),AND(BN15="",BN14&lt;&gt;""),AND(BO14="",BO15&lt;&gt;""),AND(BO15="",BO14&lt;&gt;"")),"",BM14*1000+BN14*10+BO14)</f>
        <v>3000</v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3</v>
      </c>
      <c r="L15" s="31">
        <f>VLOOKUP(1,AD14:AN17,3,FALSE)</f>
        <v>2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7 - 3</v>
      </c>
      <c r="P15" s="32">
        <f>L15*3+M15</f>
        <v>7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1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5</v>
      </c>
      <c r="AJ15" s="123">
        <f>SUMIF($E$7:$E$78,$AE15,$G$7:$G$78) + SUMIF($H$7:$H$78,$AE15,$F$7:$F$78)</f>
        <v>6</v>
      </c>
      <c r="AL15" s="123">
        <f>AI15-AJ15</f>
        <v>-1</v>
      </c>
      <c r="AM15" s="123">
        <f>AL15-AL18</f>
        <v>7</v>
      </c>
      <c r="AN15" s="123">
        <f>AF15*3+AG15</f>
        <v>4</v>
      </c>
      <c r="AO15" s="123">
        <f>AN15/AN18*10+BA15</f>
        <v>5.9805825242718447</v>
      </c>
      <c r="AP15" s="123">
        <f>AO15*10000000+BI15*100+AM15/AM18*10+AI15/AI18*1++IF(AQ15=0,ROW(),AQ15)/2000000</f>
        <v>59805928.857219338</v>
      </c>
      <c r="AQ15" s="126">
        <f>VLOOKUP(AE15,db_fifarank,2,FALSE)</f>
        <v>1385.84</v>
      </c>
      <c r="AR15" s="125">
        <f>AP15/AP18</f>
        <v>0.68349624894870786</v>
      </c>
      <c r="AS15" s="125" t="str">
        <f>IF(SUM(AF14:AH17)=12,J16,"2B")</f>
        <v>Canada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50.5</v>
      </c>
      <c r="BA15" s="126">
        <f>AZ15/AZ18</f>
        <v>0.98058252427184467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50.5</v>
      </c>
      <c r="BI15" s="126">
        <f>BH15/BH18</f>
        <v>0.98058252427184467</v>
      </c>
      <c r="BK15" s="132"/>
      <c r="BL15" s="26" t="str">
        <f>IF(group_round_completed,VLOOKUP('3rd places'!I3,AK80:AS91,9,FALSE),"3rd Group C/D/F/G/H")</f>
        <v>Sweden</v>
      </c>
      <c r="BM15" s="62">
        <v>0</v>
      </c>
      <c r="BN15" s="64"/>
      <c r="BO15" s="27"/>
      <c r="BP15" s="112">
        <f>IF(BP14="","",BM15*1000+BN15*10+BO15)</f>
        <v>0</v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3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1</v>
      </c>
      <c r="O16" s="23" t="str">
        <f>VLOOKUP(2,AD14:AN17,6,FALSE) &amp; " - " &amp; VLOOKUP(2,AD14:AN17,7,FALSE)</f>
        <v>8 - 3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2</v>
      </c>
      <c r="AI16" s="123">
        <f>SUMIF($E$7:$E$78,$AE16,$F$7:$F$78) + SUMIF($H$7:$H$78,$AE16,$G$7:$G$78)</f>
        <v>2</v>
      </c>
      <c r="AJ16" s="123">
        <f>SUMIF($E$7:$E$78,$AE16,$G$7:$G$78) + SUMIF($H$7:$H$78,$AE16,$F$7:$F$78)</f>
        <v>10</v>
      </c>
      <c r="AL16" s="123">
        <f>AI16-AJ16</f>
        <v>-8</v>
      </c>
      <c r="AM16" s="123">
        <f>AL16-AL18</f>
        <v>0</v>
      </c>
      <c r="AN16" s="123">
        <f>AF16*3+AG16</f>
        <v>1</v>
      </c>
      <c r="AO16" s="123">
        <f>AN16/AN18*10+BA16</f>
        <v>1.25</v>
      </c>
      <c r="AP16" s="123">
        <f>AO16*10000000+BI16*100+AM16/AM18*10+AI16/AI18*1++IF(AQ16=0,ROW(),AQ16)/2000000</f>
        <v>12500000.222949702</v>
      </c>
      <c r="AQ16" s="126">
        <f>VLOOKUP(AE16,db_fifarank,2,FALSE)</f>
        <v>1454.96</v>
      </c>
      <c r="AR16" s="125">
        <f>AP16/AP18</f>
        <v>0.14285712850713128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31">
        <v>97</v>
      </c>
      <c r="BZ16" s="24" t="str">
        <f>IF(BW12&gt;BW13,BS12,IF(BW12&lt;BW13,BS13,""))</f>
        <v>France</v>
      </c>
      <c r="CA16" s="61">
        <v>2</v>
      </c>
      <c r="CB16" s="63"/>
      <c r="CC16" s="25"/>
      <c r="CD16" s="112">
        <f>IF(OR(CA16="",CA17="",AND(CB16="",CB17&lt;&gt;""),AND(CB17="",CB16&lt;&gt;""),AND(CC16="",CC17&lt;&gt;""),AND(CC17="",CC16&lt;&gt;"")),"",CA16*1000+CB16*10+CC16)</f>
        <v>2000</v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3</v>
      </c>
      <c r="L17" s="23">
        <f>VLOOKUP(3,AD14:AN17,3,FALSE)</f>
        <v>1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5 - 6</v>
      </c>
      <c r="P17" s="34">
        <f>L17*3+M17</f>
        <v>4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2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7</v>
      </c>
      <c r="AJ17" s="123">
        <f>SUMIF($E$7:$E$78,$AE17,$G$7:$G$78) + SUMIF($H$7:$H$78,$AE17,$F$7:$F$78)</f>
        <v>3</v>
      </c>
      <c r="AL17" s="123">
        <f>AI17-AJ17</f>
        <v>4</v>
      </c>
      <c r="AM17" s="123">
        <f>AL17-AL18</f>
        <v>12</v>
      </c>
      <c r="AN17" s="123">
        <f>AF17*3+AG17</f>
        <v>7</v>
      </c>
      <c r="AO17" s="123">
        <f>AN17/AN18*10+BA17</f>
        <v>8.75</v>
      </c>
      <c r="AP17" s="123">
        <f>AO17*10000000+BI17*100+AM17/AM18*10+AI17/AI18*1++IF(AQ17=0,ROW(),AQ17)/2000000</f>
        <v>87500009.350031048</v>
      </c>
      <c r="AQ17" s="126">
        <f>VLOOKUP(AE17,db_fifarank,2,FALSE)</f>
        <v>1649.4</v>
      </c>
      <c r="AR17" s="125">
        <f>AP17/AP18</f>
        <v>0.99999998857142991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32"/>
      <c r="BZ17" s="26" t="str">
        <f>IF(BW20&gt;BW21,BS20,IF(BW20&lt;BW21,BS21,""))</f>
        <v>Morocco</v>
      </c>
      <c r="CA17" s="62">
        <v>0</v>
      </c>
      <c r="CB17" s="64"/>
      <c r="CC17" s="27"/>
      <c r="CD17" s="113">
        <f>IF(CD16="","",CA17*1000+CB17*10+CC17)</f>
        <v>0</v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3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2</v>
      </c>
      <c r="O18" s="36" t="str">
        <f>VLOOKUP(4,AD14:AN17,6,FALSE) &amp; " - " &amp; VLOOKUP(4,AD14:AN17,7,FALSE)</f>
        <v>2 - 10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3</v>
      </c>
      <c r="AG18" s="123">
        <f t="shared" si="13"/>
        <v>1</v>
      </c>
      <c r="AH18" s="123">
        <f t="shared" si="13"/>
        <v>3</v>
      </c>
      <c r="AI18" s="123">
        <f>MAX(AI14:AI17)+1</f>
        <v>9</v>
      </c>
      <c r="AL18" s="123">
        <f>MIN(AL14:AL17)</f>
        <v>-8</v>
      </c>
      <c r="AM18" s="123">
        <f>MAX(AM14:AM17)+1</f>
        <v>14</v>
      </c>
      <c r="AN18" s="123">
        <f>MAX(AN14:AN17)+1</f>
        <v>8</v>
      </c>
      <c r="AO18" s="123">
        <f>MAX(AO14:AO17)+1</f>
        <v>9.75</v>
      </c>
      <c r="AP18" s="123">
        <f>MAX(AP14:AP17)+1</f>
        <v>87500010.350031048</v>
      </c>
      <c r="AT18" s="126">
        <f>MAX(AT14:AT17)-MIN(AT14:AT17)+1</f>
        <v>1</v>
      </c>
      <c r="AU18" s="126">
        <f>MAX(AU14:AU17)-MIN(AU14:AU17)+1</f>
        <v>2</v>
      </c>
      <c r="AV18" s="126">
        <f>MAX(AV14:AV17)-MIN(AV14:AV17)+1</f>
        <v>2</v>
      </c>
      <c r="AW18" s="126">
        <f>MAX(AW14:AW17)-MIN(AW14:AW17)+1</f>
        <v>2</v>
      </c>
      <c r="AY18" s="126">
        <f>MAX(AY14:AY17)-MIN(AY14:AY17)+1</f>
        <v>1</v>
      </c>
      <c r="AZ18" s="126">
        <f>MAX(AZ14:AZ17)+1</f>
        <v>51.5</v>
      </c>
      <c r="BB18" s="126">
        <f>MAX(BB14:BB17)-MIN(BB14:BB17)+1</f>
        <v>1</v>
      </c>
      <c r="BC18" s="126">
        <f>MAX(BC14:BC17)-MIN(BC14:BC17)+1</f>
        <v>2</v>
      </c>
      <c r="BD18" s="126">
        <f>MAX(BD14:BD17)-MIN(BD14:BD17)+1</f>
        <v>2</v>
      </c>
      <c r="BE18" s="126">
        <f>MAX(BE14:BE17)-MIN(BE14:BE17)+1</f>
        <v>2</v>
      </c>
      <c r="BG18" s="126">
        <f>MAX(BG14:BG17)-MIN(BG14:BG17)+1</f>
        <v>1</v>
      </c>
      <c r="BH18" s="126">
        <f>MAX(BH14:BH17)+1</f>
        <v>51.5</v>
      </c>
      <c r="BK18" s="131">
        <v>73</v>
      </c>
      <c r="BL18" s="24" t="str">
        <f>AS9</f>
        <v>South Africa</v>
      </c>
      <c r="BM18" s="61">
        <v>0</v>
      </c>
      <c r="BN18" s="63"/>
      <c r="BO18" s="25"/>
      <c r="BP18" s="112">
        <f>IF(OR(BM18="",BM19="",AND(BN18="",BN19&lt;&gt;""),AND(BN19="",BN18&lt;&gt;""),AND(BO18="",BO19&lt;&gt;""),AND(BO19="",BO18&lt;&gt;"")),"",BM18*1000+BN18*10+BO18)</f>
        <v>0</v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32"/>
      <c r="BL19" s="26" t="str">
        <f>AS15</f>
        <v>Canada</v>
      </c>
      <c r="BM19" s="62">
        <v>1</v>
      </c>
      <c r="BN19" s="64"/>
      <c r="BO19" s="27"/>
      <c r="BP19" s="113">
        <f>IF(BP18="","",BM19*1000+BN19*10+BO19)</f>
        <v>1000</v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2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7</v>
      </c>
      <c r="AJ20" s="123">
        <f>SUMIF($E$7:$E$78,$AE20,$G$7:$G$78) + SUMIF($H$7:$H$78,$AE20,$F$7:$F$78)</f>
        <v>1</v>
      </c>
      <c r="AL20" s="123">
        <f>AI20-AJ20</f>
        <v>6</v>
      </c>
      <c r="AM20" s="123">
        <f>AL20-AL24</f>
        <v>12</v>
      </c>
      <c r="AN20" s="123">
        <f>AF20*3+AG20</f>
        <v>7</v>
      </c>
      <c r="AO20" s="123">
        <f>AN20/AN24*10+BA20</f>
        <v>9.7305825242718456</v>
      </c>
      <c r="AP20" s="123">
        <f>AO20*10000000+BI20*100+AM20/AM24*10+AI20/AI24*1++IF(AQ20=0,ROW(),AQ20)/2000000</f>
        <v>97305933.407620698</v>
      </c>
      <c r="AQ20" s="126">
        <f>VLOOKUP(AE20,db_fifarank,2,FALSE)</f>
        <v>1761.16</v>
      </c>
      <c r="AR20" s="125">
        <f>AP20/AP24</f>
        <v>0.99999998972313453</v>
      </c>
      <c r="AS20" s="125" t="str">
        <f>IF(SUM(AF20:AH23)=12,J21,"1C")</f>
        <v>Brazil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31">
        <v>90</v>
      </c>
      <c r="BS20" s="24" t="str">
        <f>IF(BP18&gt;BP19,BL18,IF(BP18&lt;BP19,BL19,""))</f>
        <v>Canada</v>
      </c>
      <c r="BT20" s="61">
        <v>0</v>
      </c>
      <c r="BU20" s="63"/>
      <c r="BV20" s="25"/>
      <c r="BW20" s="116">
        <f>IF(OR(BT20="",BT21="",AND(BU20="",BU21&lt;&gt;""),AND(BU21="",BU20&lt;&gt;""),AND(BV20="",BV21&lt;&gt;""),AND(BV21="",BV20&lt;&gt;"")),"",BT20*1000+BU20*10+BV20)</f>
        <v>0</v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3</v>
      </c>
      <c r="L21" s="31">
        <f>VLOOKUP(1,AD20:AN23,3,FALSE)</f>
        <v>2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7 - 1</v>
      </c>
      <c r="P21" s="32">
        <f>L21*3+M21</f>
        <v>7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2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6</v>
      </c>
      <c r="AJ21" s="123">
        <f>SUMIF($E$7:$E$78,$AE21,$G$7:$G$78) + SUMIF($H$7:$H$78,$AE21,$F$7:$F$78)</f>
        <v>3</v>
      </c>
      <c r="AL21" s="123">
        <f>AI21-AJ21</f>
        <v>3</v>
      </c>
      <c r="AM21" s="123">
        <f>AL21-AL24</f>
        <v>9</v>
      </c>
      <c r="AN21" s="123">
        <f>AF21*3+AG21</f>
        <v>7</v>
      </c>
      <c r="AO21" s="123">
        <f>AN21/AN24*10+BA21</f>
        <v>9.7305825242718456</v>
      </c>
      <c r="AP21" s="123">
        <f>AO21*10000000+BI21*100+AM21/AM24*10+AI21/AI24*1++IF(AQ21=0,ROW(),AQ21)/2000000</f>
        <v>97305930.974925742</v>
      </c>
      <c r="AQ21" s="126">
        <f>VLOOKUP(AE21,db_fifarank,2,FALSE)</f>
        <v>1755.87</v>
      </c>
      <c r="AR21" s="125">
        <f>AP21/AP24</f>
        <v>0.99999996472265562</v>
      </c>
      <c r="AS21" s="125" t="str">
        <f>IF(SUM(AF20:AH23)=12,J22,"2C")</f>
        <v>Morocco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32"/>
      <c r="BS21" s="26" t="str">
        <f>IF(BP22&gt;BP23,BL22,IF(BP22&lt;BP23,BL23,""))</f>
        <v>Morocco</v>
      </c>
      <c r="BT21" s="62">
        <v>3</v>
      </c>
      <c r="BU21" s="64"/>
      <c r="BV21" s="27"/>
      <c r="BW21" s="112">
        <f>IF(BW20="","",BT21*1000+BU21*10+BV21)</f>
        <v>3000</v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3</v>
      </c>
      <c r="L22" s="23">
        <f>VLOOKUP(2,AD20:AN23,3,FALSE)</f>
        <v>2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6 - 3</v>
      </c>
      <c r="P22" s="34">
        <f>L22*3+M22</f>
        <v>7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3</v>
      </c>
      <c r="AI22" s="123">
        <f>SUMIF($E$7:$E$78,$AE22,$F$7:$F$78) + SUMIF($H$7:$H$78,$AE22,$G$7:$G$78)</f>
        <v>2</v>
      </c>
      <c r="AJ22" s="123">
        <f>SUMIF($E$7:$E$78,$AE22,$G$7:$G$78) + SUMIF($H$7:$H$78,$AE22,$F$7:$F$78)</f>
        <v>8</v>
      </c>
      <c r="AL22" s="123">
        <f>AI22-AJ22</f>
        <v>-6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0.25064585499999997</v>
      </c>
      <c r="AQ22" s="126">
        <f>VLOOKUP(AE22,db_fifarank,2,FALSE)</f>
        <v>1291.71</v>
      </c>
      <c r="AR22" s="125">
        <f>AP22/AP24</f>
        <v>2.5758537393005105E-9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31">
        <v>75</v>
      </c>
      <c r="BL22" s="24" t="str">
        <f>AS38</f>
        <v>Netherlands</v>
      </c>
      <c r="BM22" s="61">
        <v>1</v>
      </c>
      <c r="BN22" s="63">
        <v>1</v>
      </c>
      <c r="BO22" s="25">
        <v>2</v>
      </c>
      <c r="BP22" s="116">
        <f>IF(OR(BM22="",BM23="",AND(BN22="",BN23&lt;&gt;""),AND(BN23="",BN22&lt;&gt;""),AND(BO22="",BO23&lt;&gt;""),AND(BO23="",BO22&lt;&gt;"")),"",BM22*1000+BN22*10+BO22)</f>
        <v>1012</v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3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2</v>
      </c>
      <c r="O23" s="23" t="str">
        <f>VLOOKUP(3,AD20:AN23,6,FALSE) &amp; " - " &amp; VLOOKUP(3,AD20:AN23,7,FALSE)</f>
        <v>1 - 4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2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4</v>
      </c>
      <c r="AL23" s="123">
        <f>AI23-AJ23</f>
        <v>-3</v>
      </c>
      <c r="AM23" s="123">
        <f>AL23-AL24</f>
        <v>3</v>
      </c>
      <c r="AN23" s="123">
        <f>AF23*3+AG23</f>
        <v>3</v>
      </c>
      <c r="AO23" s="123">
        <f>AN23/AN24*10+BA23</f>
        <v>3.75</v>
      </c>
      <c r="AP23" s="123">
        <f>AO23*10000000+BI23*100+AM23/AM24*10+AI23/AI24*1++IF(AQ23=0,ROW(),AQ23)/2000000</f>
        <v>37500002.433441482</v>
      </c>
      <c r="AQ23" s="126">
        <f>VLOOKUP(AE23,db_fifarank,2,FALSE)</f>
        <v>1498.35</v>
      </c>
      <c r="AR23" s="125">
        <f>AP23/AP24</f>
        <v>0.38538248115835982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32"/>
      <c r="BL23" s="26" t="str">
        <f>AS21</f>
        <v>Morocco</v>
      </c>
      <c r="BM23" s="62">
        <v>1</v>
      </c>
      <c r="BN23" s="64">
        <v>1</v>
      </c>
      <c r="BO23" s="27">
        <v>3</v>
      </c>
      <c r="BP23" s="112">
        <f>IF(BP22="","",BM23*1000+BN23*10+BO23)</f>
        <v>1013</v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31">
        <v>101</v>
      </c>
      <c r="CG23" s="24" t="str">
        <f>IF(CD16&gt;CD17,BZ16,IF(CD16&lt;CD17,BZ17,""))</f>
        <v>France</v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3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3</v>
      </c>
      <c r="O24" s="36" t="str">
        <f>VLOOKUP(4,AD20:AN23,6,FALSE) &amp; " - " &amp; VLOOKUP(4,AD20:AN23,7,FALSE)</f>
        <v>2 - 8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3</v>
      </c>
      <c r="AG24" s="123">
        <f t="shared" si="14"/>
        <v>2</v>
      </c>
      <c r="AH24" s="123">
        <f t="shared" si="14"/>
        <v>4</v>
      </c>
      <c r="AI24" s="123">
        <f>MAX(AI20:AI23)+1</f>
        <v>8</v>
      </c>
      <c r="AL24" s="123">
        <f>MIN(AL20:AL23)</f>
        <v>-6</v>
      </c>
      <c r="AM24" s="123">
        <f>MAX(AM20:AM23)+1</f>
        <v>13</v>
      </c>
      <c r="AN24" s="123">
        <f>MAX(AN20:AN23)+1</f>
        <v>8</v>
      </c>
      <c r="AO24" s="123">
        <f>MAX(AO20:AO23)+1</f>
        <v>10.730582524271846</v>
      </c>
      <c r="AP24" s="123">
        <f>MAX(AP20:AP23)+1</f>
        <v>97305934.407620698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3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1</v>
      </c>
      <c r="AI26" s="123">
        <f>SUMIF($E$7:$E$78,$AE26,$F$7:$F$78) + SUMIF($H$7:$H$78,$AE26,$G$7:$G$78)</f>
        <v>8</v>
      </c>
      <c r="AJ26" s="123">
        <f>SUMIF($E$7:$E$78,$AE26,$G$7:$G$78) + SUMIF($H$7:$H$78,$AE26,$F$7:$F$78)</f>
        <v>4</v>
      </c>
      <c r="AL26" s="123">
        <f>AI26-AJ26</f>
        <v>4</v>
      </c>
      <c r="AM26" s="123">
        <f>AL26-AL30</f>
        <v>6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85714295.175439745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United States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31">
        <v>83</v>
      </c>
      <c r="BL26" s="24" t="str">
        <f>AS69</f>
        <v>Portugal</v>
      </c>
      <c r="BM26" s="61">
        <v>2</v>
      </c>
      <c r="BN26" s="63"/>
      <c r="BO26" s="25"/>
      <c r="BP26" s="112">
        <f>IF(OR(BM26="",BM27="",AND(BN26="",BN27&lt;&gt;""),AND(BN27="",BN26&lt;&gt;""),AND(BO26="",BO27&lt;&gt;""),AND(BO27="",BO26&lt;&gt;"")),"",BM26*1000+BN26*10+BO26)</f>
        <v>2000</v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3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1</v>
      </c>
      <c r="O27" s="31" t="str">
        <f>VLOOKUP(1,AD26:AN29,6,FALSE) &amp; " - " &amp; VLOOKUP(1,AD26:AN29,7,FALSE)</f>
        <v>8 - 4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1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0</v>
      </c>
      <c r="AN27" s="123">
        <f>AF27*3+AG27</f>
        <v>4</v>
      </c>
      <c r="AO27" s="123">
        <f>AN27/AN30*10+BA27</f>
        <v>6.6946778711484587</v>
      </c>
      <c r="AP27" s="123">
        <f>AO27*10000000+BI27*100+AM27/AM30*10+AI27/AI30*1++IF(AQ27=0,ROW(),AQ27)/2000000</f>
        <v>66946876.973674245</v>
      </c>
      <c r="AQ27" s="126">
        <f>VLOOKUP(AE27,db_fifarank,2,FALSE)</f>
        <v>1503.5</v>
      </c>
      <c r="AR27" s="125">
        <f>AP27/AP30</f>
        <v>0.78104680270193894</v>
      </c>
      <c r="AS27" s="125" t="str">
        <f>IF(SUM(AF26:AH29)=12,J28,"2D")</f>
        <v>Australia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1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50</v>
      </c>
      <c r="BA27" s="126">
        <f>AZ27/AZ30</f>
        <v>0.98039215686274506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1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50</v>
      </c>
      <c r="BI27" s="126">
        <f>BH27/BH30</f>
        <v>0.98039215686274506</v>
      </c>
      <c r="BK27" s="132"/>
      <c r="BL27" s="26" t="str">
        <f>AS75</f>
        <v>Croatia</v>
      </c>
      <c r="BM27" s="62">
        <v>1</v>
      </c>
      <c r="BN27" s="64"/>
      <c r="BO27" s="27"/>
      <c r="BP27" s="113">
        <f>IF(BP26="","",BM27*1000+BN27*10+BO27)</f>
        <v>1000</v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3</v>
      </c>
      <c r="L28" s="23">
        <f>VLOOKUP(2,AD26:AN29,3,FALSE)</f>
        <v>1</v>
      </c>
      <c r="M28" s="23">
        <f>VLOOKUP(2,AD26:AN29,4,FALSE)</f>
        <v>1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4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1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2</v>
      </c>
      <c r="AN28" s="123">
        <f>AF28*3+AG28</f>
        <v>4</v>
      </c>
      <c r="AO28" s="123">
        <f>AN28/AN30*10+BA28</f>
        <v>6.6946778711484587</v>
      </c>
      <c r="AP28" s="123">
        <f>AO28*10000000+BI28*100+AM28/AM30*10+AI28/AI30*1++IF(AQ28=0,ROW(),AQ28)/2000000</f>
        <v>66946879.83085569</v>
      </c>
      <c r="AQ28" s="126">
        <f>VLOOKUP(AE28,db_fifarank,2,FALSE)</f>
        <v>1580.67</v>
      </c>
      <c r="AR28" s="125">
        <f>AP28/AP30</f>
        <v>0.78104683603571834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1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50</v>
      </c>
      <c r="BA28" s="126">
        <f>AZ28/AZ30</f>
        <v>0.98039215686274506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1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50</v>
      </c>
      <c r="BI28" s="126">
        <f>BH28/BH30</f>
        <v>0.98039215686274506</v>
      </c>
      <c r="BK28" s="21"/>
      <c r="BL28" s="21"/>
      <c r="BM28" s="21"/>
      <c r="BN28" s="21"/>
      <c r="BO28" s="21"/>
      <c r="BP28" s="114"/>
      <c r="BQ28" s="112"/>
      <c r="BR28" s="131">
        <v>93</v>
      </c>
      <c r="BS28" s="24" t="str">
        <f>IF(BP26&gt;BP27,BL26,IF(BP26&lt;BP27,BL27,""))</f>
        <v>Portugal</v>
      </c>
      <c r="BT28" s="61">
        <v>0</v>
      </c>
      <c r="BU28" s="63"/>
      <c r="BV28" s="25"/>
      <c r="BW28" s="112">
        <f>IF(OR(BT28="",BT29="",AND(BU28="",BU29&lt;&gt;""),AND(BU29="",BU28&lt;&gt;""),AND(BV28="",BV29&lt;&gt;""),AND(BV29="",BV28&lt;&gt;"")),"",BT28*1000+BU28*10+BV28)</f>
        <v>0</v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3</v>
      </c>
      <c r="L29" s="23">
        <f>VLOOKUP(3,AD26:AN29,3,FALSE)</f>
        <v>1</v>
      </c>
      <c r="M29" s="23">
        <f>VLOOKUP(3,AD26:AN29,4,FALSE)</f>
        <v>1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4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1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3</v>
      </c>
      <c r="AJ29" s="123">
        <f>SUMIF($E$7:$E$78,$AE29,$G$7:$G$78) + SUMIF($H$7:$H$78,$AE29,$F$7:$F$78)</f>
        <v>5</v>
      </c>
      <c r="AL29" s="123">
        <f>AI29-AJ29</f>
        <v>-2</v>
      </c>
      <c r="AM29" s="123">
        <f>AL29-AL30</f>
        <v>0</v>
      </c>
      <c r="AN29" s="123">
        <f>AF29*3+AG29</f>
        <v>3</v>
      </c>
      <c r="AO29" s="123">
        <f>AN29/AN30*10+BA29</f>
        <v>4.2857142857142856</v>
      </c>
      <c r="AP29" s="123">
        <f>AO29*10000000+BI29*100+AM29/AM30*10+AI29/AI30*1++IF(AQ29=0,ROW(),AQ29)/2000000</f>
        <v>42857143.191275716</v>
      </c>
      <c r="AQ29" s="126">
        <f>VLOOKUP(AE29,db_fifarank,2,FALSE)</f>
        <v>1599.04</v>
      </c>
      <c r="AR29" s="125">
        <f>AP29/AP30</f>
        <v>0.49999994287482513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32"/>
      <c r="BS29" s="26" t="str">
        <f>IF(BP30&gt;BP31,BL30,IF(BP30&lt;BP31,BL31,""))</f>
        <v>Spain</v>
      </c>
      <c r="BT29" s="62">
        <v>1</v>
      </c>
      <c r="BU29" s="64"/>
      <c r="BV29" s="27"/>
      <c r="BW29" s="113">
        <f>IF(BW28="","",BT29*1000+BU29*10+BV29)</f>
        <v>1000</v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3</v>
      </c>
      <c r="L30" s="36">
        <f>VLOOKUP(4,AD26:AN29,3,FALSE)</f>
        <v>1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3 - 5</v>
      </c>
      <c r="P30" s="37">
        <f>L30*3+M30</f>
        <v>3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2</v>
      </c>
      <c r="AG30" s="123">
        <f t="shared" si="15"/>
        <v>2</v>
      </c>
      <c r="AH30" s="123">
        <f t="shared" si="15"/>
        <v>2</v>
      </c>
      <c r="AI30" s="123">
        <f>MAX(AI26:AI29)+1</f>
        <v>9</v>
      </c>
      <c r="AL30" s="123">
        <f>MIN(AL26:AL29)</f>
        <v>-2</v>
      </c>
      <c r="AM30" s="123">
        <f>MAX(AM26:AM29)+1</f>
        <v>7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85714296.175439745</v>
      </c>
      <c r="AT30" s="126">
        <f>MAX(AT26:AT29)-MIN(AT26:AT29)+1</f>
        <v>1</v>
      </c>
      <c r="AU30" s="126">
        <f>MAX(AU26:AU29)-MIN(AU26:AU29)+1</f>
        <v>2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51</v>
      </c>
      <c r="BB30" s="126">
        <f>MAX(BB26:BB29)-MIN(BB26:BB29)+1</f>
        <v>1</v>
      </c>
      <c r="BC30" s="126">
        <f>MAX(BC26:BC29)-MIN(BC26:BC29)+1</f>
        <v>2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51</v>
      </c>
      <c r="BK30" s="131">
        <v>84</v>
      </c>
      <c r="BL30" s="24" t="str">
        <f>AS50</f>
        <v>Spain</v>
      </c>
      <c r="BM30" s="61">
        <v>3</v>
      </c>
      <c r="BN30" s="63"/>
      <c r="BO30" s="25"/>
      <c r="BP30" s="116">
        <f>IF(OR(BM30="",BM31="",AND(BN30="",BN31&lt;&gt;""),AND(BN31="",BN30&lt;&gt;""),AND(BO30="",BO31&lt;&gt;""),AND(BO31="",BO30&lt;&gt;"")),"",BM30*1000+BN30*10+BO30)</f>
        <v>3000</v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>
        <f t="shared" si="6"/>
        <v>0</v>
      </c>
      <c r="BK31" s="132"/>
      <c r="BL31" s="26" t="str">
        <f>AS63</f>
        <v>Austria</v>
      </c>
      <c r="BM31" s="62">
        <v>0</v>
      </c>
      <c r="BN31" s="64"/>
      <c r="BO31" s="27"/>
      <c r="BP31" s="112">
        <f>IF(BP30="","",BM31*1000+BN31*10+BO31)</f>
        <v>0</v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1</v>
      </c>
      <c r="AI32" s="123">
        <f>SUMIF($E$7:$E$78,$AE32,$F$7:$F$78) + SUMIF($H$7:$H$78,$AE32,$G$7:$G$78)</f>
        <v>10</v>
      </c>
      <c r="AJ32" s="123">
        <f>SUMIF($E$7:$E$78,$AE32,$G$7:$G$78) + SUMIF($H$7:$H$78,$AE32,$F$7:$F$78)</f>
        <v>4</v>
      </c>
      <c r="AL32" s="123">
        <f>AI32-AJ32</f>
        <v>6</v>
      </c>
      <c r="AM32" s="123">
        <f>AL32-AL36</f>
        <v>14</v>
      </c>
      <c r="AN32" s="123">
        <f>AF32*3+AG32</f>
        <v>6</v>
      </c>
      <c r="AO32" s="123">
        <f>AN32/AN36*10+BA32</f>
        <v>9.5694613583138164</v>
      </c>
      <c r="AP32" s="123">
        <f>AO32*10000000+BI32*100+AM32/AM36*10+AI32/AI36*1++IF(AQ32=0,ROW(),AQ32)/2000000</f>
        <v>95694623.826427594</v>
      </c>
      <c r="AQ32" s="126">
        <f>VLOOKUP(AE32,db_fifarank,2,FALSE)</f>
        <v>1730.37</v>
      </c>
      <c r="AR32" s="125">
        <f>AP32/AP36</f>
        <v>0.99999998955009228</v>
      </c>
      <c r="AS32" s="125" t="str">
        <f>IF(SUM(AF32:AH35)=12,J33,"1E")</f>
        <v>Germany</v>
      </c>
      <c r="AT32" s="126" cm="1">
        <f t="array" ref="AT32">SUMPRODUCT(($S$7:$S$78=AE32&amp;"_win")*($U$7:$U$78))+SUMPRODUCT(($T$7:$T$78=AE32&amp;"_win")*($U$7:$U$78))</f>
        <v>1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2</v>
      </c>
      <c r="AW32" s="126" cm="1">
        <f t="array" ref="AW32">SUMPRODUCT(($E$7:$E$78=AE32)*($U$7:$U$78)*($G$7:$G$78))+SUMPRODUCT(($H$7:$H$78=AE32)*($U$7:$U$78)*($F$7:$F$78))</f>
        <v>1</v>
      </c>
      <c r="AX32" s="126">
        <f>AV32-AW32</f>
        <v>1</v>
      </c>
      <c r="AY32" s="126">
        <f>AX32-MIN(AX32:AX35)</f>
        <v>2</v>
      </c>
      <c r="AZ32" s="126">
        <f>AT32/AT36*1000+AU32/AU36*100+AY32/AY36*10+AV32/AV36</f>
        <v>507.33333333333337</v>
      </c>
      <c r="BA32" s="126">
        <f>AZ32/AZ36</f>
        <v>0.99803278688524588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31">
        <v>98</v>
      </c>
      <c r="BZ32" s="24" t="str">
        <f>IF(BW28&gt;BW29,BS28,IF(BW28&lt;BW29,BS29,""))</f>
        <v>Spain</v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3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1</v>
      </c>
      <c r="O33" s="31" t="str">
        <f>VLOOKUP(1,AD32:AN35,6,FALSE) &amp; " - " &amp; VLOOKUP(1,AD32:AN35,7,FALSE)</f>
        <v>10 - 4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2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9</v>
      </c>
      <c r="AL33" s="123">
        <f>AI33-AJ33</f>
        <v>-8</v>
      </c>
      <c r="AM33" s="123">
        <f>AL33-AL36</f>
        <v>0</v>
      </c>
      <c r="AN33" s="123">
        <f>AF33*3+AG33</f>
        <v>1</v>
      </c>
      <c r="AO33" s="123">
        <f>AN33/AN36*10+BA33</f>
        <v>1.4351288056206086</v>
      </c>
      <c r="AP33" s="123">
        <f>AO33*10000000+BI33*100+AM33/AM36*10+AI33/AI36*1++IF(AQ33=0,ROW(),AQ33)/2000000</f>
        <v>14351288.147762503</v>
      </c>
      <c r="AQ33" s="126">
        <f>VLOOKUP(AE33,db_fifarank,2,FALSE)</f>
        <v>1294.6500000000001</v>
      </c>
      <c r="AR33" s="125">
        <f>AP33/AP36</f>
        <v>0.14996963699678112</v>
      </c>
      <c r="AS33" s="125" t="str">
        <f>IF(SUM(AF32:AH35)=12,J34,"2E")</f>
        <v>Ivory Coast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1</v>
      </c>
      <c r="AZ33" s="126">
        <f>AT33/AT36*1000+AU33/AU36*100+AY33/AY36*10+AV33/AV36</f>
        <v>3.333333333333333</v>
      </c>
      <c r="BA33" s="126">
        <f>AZ33/AZ36</f>
        <v>6.557377049180327E-3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32"/>
      <c r="BZ33" s="26" t="str">
        <f>IF(BW36&gt;BW37,BS36,IF(BW36&lt;BW37,BS37,""))</f>
        <v>Belgium</v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33" t="str" cm="1">
        <f t="array" ref="CM33">INDEX(T,8,lang)</f>
        <v>Final</v>
      </c>
      <c r="CN33" s="134"/>
      <c r="CO33" s="134"/>
      <c r="CP33" s="134"/>
      <c r="CQ33" s="135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3</v>
      </c>
      <c r="L34" s="23">
        <f>VLOOKUP(2,AD32:AN35,3,FALSE)</f>
        <v>2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4 - 2</v>
      </c>
      <c r="P34" s="34">
        <f>L34*3+M34</f>
        <v>6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2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4</v>
      </c>
      <c r="AJ34" s="123">
        <f>SUMIF($E$7:$E$78,$AE34,$G$7:$G$78) + SUMIF($H$7:$H$78,$AE34,$F$7:$F$78)</f>
        <v>2</v>
      </c>
      <c r="AL34" s="123">
        <f>AI34-AJ34</f>
        <v>2</v>
      </c>
      <c r="AM34" s="123">
        <f>AL34-AL36</f>
        <v>10</v>
      </c>
      <c r="AN34" s="123">
        <f>AF34*3+AG34</f>
        <v>6</v>
      </c>
      <c r="AO34" s="123">
        <f>AN34/AN36*10+BA34</f>
        <v>8.5720843091334888</v>
      </c>
      <c r="AP34" s="123">
        <f>AO34*10000000+BI34*100+AM34/AM36*10+AI34/AI36*1++IF(AQ34=0,ROW(),AQ34)/2000000</f>
        <v>85720850.122404411</v>
      </c>
      <c r="AQ34" s="126">
        <f>VLOOKUP(AE34,db_fifarank,2,FALSE)</f>
        <v>1532.98</v>
      </c>
      <c r="AR34" s="125">
        <f>AP34/AP36</f>
        <v>0.89577497459116673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1</v>
      </c>
      <c r="AW34" s="126" cm="1">
        <f t="array" ref="AW34">SUMPRODUCT(($E$7:$E$78=AE34)*($U$7:$U$78)*($G$7:$G$78))+SUMPRODUCT(($H$7:$H$78=AE34)*($U$7:$U$78)*($F$7:$F$78))</f>
        <v>2</v>
      </c>
      <c r="AX34" s="126">
        <f>AV34-AW34</f>
        <v>-1</v>
      </c>
      <c r="AY34" s="126">
        <f>AX34-MIN(AX32:AX35)</f>
        <v>0</v>
      </c>
      <c r="AZ34" s="126">
        <f>AT34/AT36*1000+AU34/AU36*100+AY34/AY36*10+AV34/AV36</f>
        <v>0.33333333333333331</v>
      </c>
      <c r="BA34" s="126">
        <f>AZ34/AZ36</f>
        <v>6.5573770491803268E-4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31">
        <v>81</v>
      </c>
      <c r="BL34" s="24" t="str">
        <f>AS26</f>
        <v>United States</v>
      </c>
      <c r="BM34" s="61">
        <v>2</v>
      </c>
      <c r="BN34" s="63"/>
      <c r="BO34" s="25"/>
      <c r="BP34" s="112">
        <f>IF(OR(BM34="",BM35="",AND(BN34="",BN35&lt;&gt;""),AND(BN35="",BN34&lt;&gt;""),AND(BO34="",BO35&lt;&gt;""),AND(BO35="",BO34&lt;&gt;"")),"",BM34*1000+BN34*10+BO34)</f>
        <v>2000</v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36"/>
      <c r="CN34" s="137"/>
      <c r="CO34" s="137"/>
      <c r="CP34" s="137"/>
      <c r="CQ34" s="138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3</v>
      </c>
      <c r="L35" s="23">
        <f>VLOOKUP(3,AD32:AN35,3,FALSE)</f>
        <v>1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2 - 2</v>
      </c>
      <c r="P35" s="34">
        <f>L35*3+M35</f>
        <v>4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1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2</v>
      </c>
      <c r="AJ35" s="123">
        <f>SUMIF($E$7:$E$78,$AE35,$G$7:$G$78) + SUMIF($H$7:$H$78,$AE35,$F$7:$F$78)</f>
        <v>2</v>
      </c>
      <c r="AL35" s="123">
        <f>AI35-AJ35</f>
        <v>0</v>
      </c>
      <c r="AM35" s="123">
        <f>AL35-AL36</f>
        <v>8</v>
      </c>
      <c r="AN35" s="123">
        <f>AF35*3+AG35</f>
        <v>4</v>
      </c>
      <c r="AO35" s="123">
        <f>AN35/AN36*10+BA35</f>
        <v>5.7208430913348938</v>
      </c>
      <c r="AP35" s="123">
        <f>AO35*10000000+BI35*100+AM35/AM36*10+AI35/AI36*1++IF(AQ35=0,ROW(),AQ35)/2000000</f>
        <v>57208436.429297842</v>
      </c>
      <c r="AQ35" s="126">
        <f>VLOOKUP(AE35,db_fifarank,2,FALSE)</f>
        <v>1594.78</v>
      </c>
      <c r="AR35" s="125">
        <f>AP35/AP36</f>
        <v>0.59782288224718372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1</v>
      </c>
      <c r="AZ35" s="126">
        <f>AT35/AT36*1000+AU35/AU36*100+AY35/AY36*10+AV35/AV36</f>
        <v>3.333333333333333</v>
      </c>
      <c r="BA35" s="126">
        <f>AZ35/AZ36</f>
        <v>6.557377049180327E-3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32"/>
      <c r="BL35" s="26" t="str">
        <f>IF(group_round_completed,VLOOKUP('3rd places'!F3,AK80:AS91,9,FALSE),"3rd Group B/E/F/I/J")</f>
        <v>Bosnia and Herzegovina</v>
      </c>
      <c r="BM35" s="62">
        <v>0</v>
      </c>
      <c r="BN35" s="64"/>
      <c r="BO35" s="27"/>
      <c r="BP35" s="113">
        <f>IF(BP34="","",BM35*1000+BN35*10+BO35)</f>
        <v>0</v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3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2</v>
      </c>
      <c r="O36" s="36" t="str">
        <f>VLOOKUP(4,AD32:AN35,6,FALSE) &amp; " - " &amp; VLOOKUP(4,AD32:AN35,7,FALSE)</f>
        <v>1 - 9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11</v>
      </c>
      <c r="AL36" s="123">
        <f>MIN(AL32:AL35)</f>
        <v>-8</v>
      </c>
      <c r="AM36" s="123">
        <f>MAX(AM32:AM35)+1</f>
        <v>15</v>
      </c>
      <c r="AN36" s="123">
        <f>MAX(AN32:AN35)+1</f>
        <v>7</v>
      </c>
      <c r="AO36" s="123">
        <f>MAX(AO32:AO35)+1</f>
        <v>10.569461358313816</v>
      </c>
      <c r="AP36" s="123">
        <f>MAX(AP32:AP35)+1</f>
        <v>95694624.826427594</v>
      </c>
      <c r="AT36" s="126">
        <f>MAX(AT32:AT35)-MIN(AT32:AT35)+1</f>
        <v>2</v>
      </c>
      <c r="AU36" s="126">
        <f>MAX(AU32:AU35)-MIN(AU32:AU35)+1</f>
        <v>1</v>
      </c>
      <c r="AV36" s="126">
        <f>MAX(AV32:AV35)-MIN(AV32:AV35)+1</f>
        <v>3</v>
      </c>
      <c r="AW36" s="126">
        <f>MAX(AW32:AW35)-MIN(AW32:AW35)+1</f>
        <v>3</v>
      </c>
      <c r="AY36" s="126">
        <f>MAX(AY32:AY35)-MIN(AY32:AY35)+1</f>
        <v>3</v>
      </c>
      <c r="AZ36" s="126">
        <f>MAX(AZ32:AZ35)+1</f>
        <v>508.33333333333337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31">
        <v>94</v>
      </c>
      <c r="BS36" s="24" t="str">
        <f>IF(BP34&gt;BP35,BL34,IF(BP34&lt;BP35,BL35,""))</f>
        <v>United States</v>
      </c>
      <c r="BT36" s="61">
        <v>1</v>
      </c>
      <c r="BU36" s="63"/>
      <c r="BV36" s="25"/>
      <c r="BW36" s="116">
        <f>IF(OR(BT36="",BT37="",AND(BU36="",BU37&lt;&gt;""),AND(BU37="",BU36&lt;&gt;""),AND(BV36="",BV37&lt;&gt;""),AND(BV37="",BV36&lt;&gt;"")),"",BT36*1000+BU36*10+BV36)</f>
        <v>1000</v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32"/>
      <c r="BS37" s="26" t="str">
        <f>IF(BP38&gt;BP39,BL38,IF(BP38&lt;BP39,BL39,""))</f>
        <v>Belgium</v>
      </c>
      <c r="BT37" s="62">
        <v>4</v>
      </c>
      <c r="BU37" s="64"/>
      <c r="BV37" s="27"/>
      <c r="BW37" s="112">
        <f>IF(BW36="","",BT37*1000+BU37*10+BV37)</f>
        <v>4000</v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3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2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10</v>
      </c>
      <c r="AJ38" s="123">
        <f>SUMIF($E$7:$E$78,$AE38,$G$7:$G$78) + SUMIF($H$7:$H$78,$AE38,$F$7:$F$78)</f>
        <v>4</v>
      </c>
      <c r="AL38" s="123">
        <f>AI38-AJ38</f>
        <v>6</v>
      </c>
      <c r="AM38" s="123">
        <f>AL38-AL42</f>
        <v>16</v>
      </c>
      <c r="AN38" s="123">
        <f>AF38*3+AG38</f>
        <v>7</v>
      </c>
      <c r="AO38" s="123">
        <f>AN38/AN42*10+BA38</f>
        <v>8.75</v>
      </c>
      <c r="AP38" s="123">
        <f>AO38*10000000+BI38*100+AM38/AM42*10+AI38/AI42*1++IF(AQ38=0,ROW(),AQ38)/2000000</f>
        <v>87500010.321734548</v>
      </c>
      <c r="AQ38" s="126">
        <f>VLOOKUP(AE38,db_fifarank,2,FALSE)</f>
        <v>1757.87</v>
      </c>
      <c r="AR38" s="125">
        <f>AP38/AP42</f>
        <v>0.99999998857143002</v>
      </c>
      <c r="AS38" s="125" t="str">
        <f>IF(SUM(AF38:AH41)=12,J39,"1F")</f>
        <v>Netherlands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31">
        <v>82</v>
      </c>
      <c r="BL38" s="24" t="str">
        <f>AS44</f>
        <v>Belgium</v>
      </c>
      <c r="BM38" s="61">
        <v>2</v>
      </c>
      <c r="BN38" s="63">
        <v>3</v>
      </c>
      <c r="BO38" s="25"/>
      <c r="BP38" s="116">
        <f>IF(OR(BM38="",BM39="",AND(BN38="",BN39&lt;&gt;""),AND(BN39="",BN38&lt;&gt;""),AND(BO38="",BO39&lt;&gt;""),AND(BO39="",BO38&lt;&gt;"")),"",BM38*1000+BN38*10+BO38)</f>
        <v>2030</v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3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3</v>
      </c>
      <c r="L39" s="31">
        <f>VLOOKUP(1,AD38:AN41,3,FALSE)</f>
        <v>2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10 - 4</v>
      </c>
      <c r="P39" s="32">
        <f>L39*3+M39</f>
        <v>7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1</v>
      </c>
      <c r="V39" s="123">
        <f t="shared" si="3"/>
        <v>2</v>
      </c>
      <c r="W39" s="123">
        <f t="shared" si="4"/>
        <v>1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2</v>
      </c>
      <c r="AH39" s="123">
        <f>COUNTIF($S$7:$T$78,"=" &amp; AE39 &amp; "_lose")</f>
        <v>0</v>
      </c>
      <c r="AI39" s="123">
        <f>SUMIF($E$7:$E$78,$AE39,$F$7:$F$78) + SUMIF($H$7:$H$78,$AE39,$G$7:$G$78)</f>
        <v>7</v>
      </c>
      <c r="AJ39" s="123">
        <f>SUMIF($E$7:$E$78,$AE39,$G$7:$G$78) + SUMIF($H$7:$H$78,$AE39,$F$7:$F$78)</f>
        <v>3</v>
      </c>
      <c r="AL39" s="123">
        <f>AI39-AJ39</f>
        <v>4</v>
      </c>
      <c r="AM39" s="123">
        <f>AL39-AL42</f>
        <v>14</v>
      </c>
      <c r="AN39" s="123">
        <f>AF39*3+AG39</f>
        <v>5</v>
      </c>
      <c r="AO39" s="123">
        <f>AN39/AN42*10+BA39</f>
        <v>6.25</v>
      </c>
      <c r="AP39" s="123">
        <f>AO39*10000000+BI39*100+AM39/AM42*10+AI39/AI42*1++IF(AQ39=0,ROW(),AQ39)/2000000</f>
        <v>62500008.87248797</v>
      </c>
      <c r="AQ39" s="126">
        <f>VLOOKUP(AE39,db_fifarank,2,FALSE)</f>
        <v>1660.43</v>
      </c>
      <c r="AR39" s="125">
        <f>AP39/AP42</f>
        <v>0.71428572326325279</v>
      </c>
      <c r="AS39" s="125" t="str">
        <f>IF(SUM(AF38:AH41)=12,J40,"2F")</f>
        <v>Japan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32"/>
      <c r="BL39" s="26" t="str">
        <f>IF(group_round_completed,VLOOKUP('3rd places'!H3,AK80:AS91,9,FALSE),"3rd Group A/E/H/I/J")</f>
        <v>Senegal</v>
      </c>
      <c r="BM39" s="62">
        <v>2</v>
      </c>
      <c r="BN39" s="64">
        <v>2</v>
      </c>
      <c r="BO39" s="27"/>
      <c r="BP39" s="112">
        <f>IF(BP38="","",BM39*1000+BN39*10+BO39)</f>
        <v>2020</v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3</v>
      </c>
      <c r="L40" s="23">
        <f>VLOOKUP(2,AD38:AN41,3,FALSE)</f>
        <v>1</v>
      </c>
      <c r="M40" s="23">
        <f>VLOOKUP(2,AD38:AN41,4,FALSE)</f>
        <v>2</v>
      </c>
      <c r="N40" s="23">
        <f>VLOOKUP(2,AD38:AN41,5,FALSE)</f>
        <v>0</v>
      </c>
      <c r="O40" s="23" t="str">
        <f>VLOOKUP(2,AD38:AN41,6,FALSE) &amp; " - " &amp; VLOOKUP(2,AD38:AN41,7,FALSE)</f>
        <v>7 - 3</v>
      </c>
      <c r="P40" s="34">
        <f>L40*3+M40</f>
        <v>5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1</v>
      </c>
      <c r="AH40" s="123">
        <f>COUNTIF($S$7:$T$78,"=" &amp; AE40 &amp; "_lose")</f>
        <v>1</v>
      </c>
      <c r="AI40" s="123">
        <f>SUMIF($E$7:$E$78,$AE40,$F$7:$F$78) + SUMIF($H$7:$H$78,$AE40,$G$7:$G$78)</f>
        <v>7</v>
      </c>
      <c r="AJ40" s="123">
        <f>SUMIF($E$7:$E$78,$AE40,$G$7:$G$78) + SUMIF($H$7:$H$78,$AE40,$F$7:$F$78)</f>
        <v>7</v>
      </c>
      <c r="AL40" s="123">
        <f>AI40-AJ40</f>
        <v>0</v>
      </c>
      <c r="AM40" s="123">
        <f>AL40-AL42</f>
        <v>10</v>
      </c>
      <c r="AN40" s="123">
        <f>AF40*3+AG40</f>
        <v>4</v>
      </c>
      <c r="AO40" s="123">
        <f>AN40/AN42*10+BA40</f>
        <v>5</v>
      </c>
      <c r="AP40" s="123">
        <f>AO40*10000000+BI40*100+AM40/AM42*10+AI40/AI42*1++IF(AQ40=0,ROW(),AQ40)/2000000</f>
        <v>50000006.519473955</v>
      </c>
      <c r="AQ40" s="126">
        <f>VLOOKUP(AE40,db_fifarank,2,FALSE)</f>
        <v>1514.77</v>
      </c>
      <c r="AR40" s="125">
        <f>AP40/AP42</f>
        <v>0.57142857199898689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3</v>
      </c>
      <c r="L41" s="23">
        <f>VLOOKUP(3,AD38:AN41,3,FALSE)</f>
        <v>1</v>
      </c>
      <c r="M41" s="23">
        <f>VLOOKUP(3,AD38:AN41,4,FALSE)</f>
        <v>1</v>
      </c>
      <c r="N41" s="23">
        <f>VLOOKUP(3,AD38:AN41,5,FALSE)</f>
        <v>1</v>
      </c>
      <c r="O41" s="23" t="str">
        <f>VLOOKUP(3,AD38:AN41,6,FALSE) &amp; " - " &amp; VLOOKUP(3,AD38:AN41,7,FALSE)</f>
        <v>7 - 7</v>
      </c>
      <c r="P41" s="34">
        <f>L41*3+M41</f>
        <v>4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3</v>
      </c>
      <c r="AI41" s="123">
        <f>SUMIF($E$7:$E$78,$AE41,$F$7:$F$78) + SUMIF($H$7:$H$78,$AE41,$G$7:$G$78)</f>
        <v>2</v>
      </c>
      <c r="AJ41" s="123">
        <f>SUMIF($E$7:$E$78,$AE41,$G$7:$G$78) + SUMIF($H$7:$H$78,$AE41,$F$7:$F$78)</f>
        <v>12</v>
      </c>
      <c r="AL41" s="123">
        <f>AI41-AJ41</f>
        <v>-10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0.18255970681818182</v>
      </c>
      <c r="AQ41" s="126">
        <f>VLOOKUP(AE41,db_fifarank,2,FALSE)</f>
        <v>1483.05</v>
      </c>
      <c r="AR41" s="125">
        <f>AP41/AP42</f>
        <v>2.0863963793892096E-9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3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3</v>
      </c>
      <c r="O42" s="36" t="str">
        <f>VLOOKUP(4,AD38:AN41,6,FALSE) &amp; " - " &amp; VLOOKUP(4,AD38:AN41,7,FALSE)</f>
        <v>2 - 12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3</v>
      </c>
      <c r="AG42" s="123">
        <f t="shared" si="18"/>
        <v>3</v>
      </c>
      <c r="AH42" s="123">
        <f t="shared" si="18"/>
        <v>4</v>
      </c>
      <c r="AI42" s="123">
        <f>MAX(AI38:AI41)+1</f>
        <v>11</v>
      </c>
      <c r="AL42" s="123">
        <f>MIN(AL38:AL41)</f>
        <v>-10</v>
      </c>
      <c r="AM42" s="123">
        <f>MAX(AM38:AM41)+1</f>
        <v>17</v>
      </c>
      <c r="AN42" s="123">
        <f>MAX(AN38:AN41)+1</f>
        <v>8</v>
      </c>
      <c r="AO42" s="123">
        <f>MAX(AO38:AO41)+1</f>
        <v>9.75</v>
      </c>
      <c r="AP42" s="123">
        <f>MAX(AP38:AP41)+1</f>
        <v>87500011.321734548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31">
        <v>76</v>
      </c>
      <c r="BL42" s="24" t="str">
        <f>AS20</f>
        <v>Brazil</v>
      </c>
      <c r="BM42" s="61">
        <v>2</v>
      </c>
      <c r="BN42" s="63"/>
      <c r="BO42" s="25"/>
      <c r="BP42" s="112">
        <f>IF(OR(BM42="",BM43="",AND(BN42="",BN43&lt;&gt;""),AND(BN43="",BN42&lt;&gt;""),AND(BO42="",BO43&lt;&gt;""),AND(BO43="",BO42&lt;&gt;"")),"",BM42*1000+BN42*10+BO42)</f>
        <v>2000</v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>
        <f t="shared" si="6"/>
        <v>0</v>
      </c>
      <c r="BK43" s="132"/>
      <c r="BL43" s="26" t="str">
        <f>AS39</f>
        <v>Japan</v>
      </c>
      <c r="BM43" s="62">
        <v>1</v>
      </c>
      <c r="BN43" s="64"/>
      <c r="BO43" s="27"/>
      <c r="BP43" s="113">
        <f>IF(BP42="","",BM43*1000+BN43*10+BO43)</f>
        <v>1000</v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1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6</v>
      </c>
      <c r="AJ44" s="123">
        <f>SUMIF($E$7:$E$78,$AE44,$G$7:$G$78) + SUMIF($H$7:$H$78,$AE44,$F$7:$F$78)</f>
        <v>2</v>
      </c>
      <c r="AL44" s="123">
        <f>AI44-AJ44</f>
        <v>4</v>
      </c>
      <c r="AM44" s="123">
        <f>AL44-AL48</f>
        <v>10</v>
      </c>
      <c r="AN44" s="123">
        <f>AF44*3+AG44</f>
        <v>5</v>
      </c>
      <c r="AO44" s="123">
        <f>AN44/AN48*10+BA44</f>
        <v>9.3139158576051777</v>
      </c>
      <c r="AP44" s="123">
        <f>AO44*10000000+BI44*100+AM44/AM48*10+AI44/AI48*1++IF(AQ44=0,ROW(),AQ44)/2000000</f>
        <v>93139266.583223492</v>
      </c>
      <c r="AQ44" s="126">
        <f>VLOOKUP(AE44,db_fifarank,2,FALSE)</f>
        <v>1734.71</v>
      </c>
      <c r="AR44" s="125">
        <f>AP44/AP48</f>
        <v>0.99999998926338995</v>
      </c>
      <c r="AS44" s="125" t="str">
        <f>IF(SUM(AF44:AH47)=12,J45,"1G")</f>
        <v>Belgium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50.5</v>
      </c>
      <c r="BA44" s="126">
        <f>AZ44/AZ48</f>
        <v>0.98058252427184467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50.5</v>
      </c>
      <c r="BI44" s="126">
        <f>BH44/BH48</f>
        <v>0.98058252427184467</v>
      </c>
      <c r="BK44" s="21"/>
      <c r="BL44" s="21"/>
      <c r="BM44" s="21"/>
      <c r="BN44" s="21"/>
      <c r="BO44" s="21"/>
      <c r="BP44" s="114"/>
      <c r="BQ44" s="112"/>
      <c r="BR44" s="131">
        <v>91</v>
      </c>
      <c r="BS44" s="24" t="str">
        <f>IF(BP42&gt;BP43,BL42,IF(BP42&lt;BP43,BL43,""))</f>
        <v>Brazil</v>
      </c>
      <c r="BT44" s="61">
        <v>1</v>
      </c>
      <c r="BU44" s="63"/>
      <c r="BV44" s="25"/>
      <c r="BW44" s="112">
        <f>IF(OR(BT44="",BT45="",AND(BU44="",BU45&lt;&gt;""),AND(BU45="",BU44&lt;&gt;""),AND(BV44="",BV45&lt;&gt;""),AND(BV45="",BV44&lt;&gt;"")),"",BT44*1000+BU44*10+BV44)</f>
        <v>1000</v>
      </c>
      <c r="CK44" s="114"/>
      <c r="CM44" s="133" t="str" cm="1">
        <f t="array" ref="CM44">INDEX(T,7,lang)</f>
        <v>Third-Place Play-Off</v>
      </c>
      <c r="CN44" s="134"/>
      <c r="CO44" s="134"/>
      <c r="CP44" s="134"/>
      <c r="CQ44" s="135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Belgium</v>
      </c>
      <c r="K45" s="31">
        <f>L45+M45+N45</f>
        <v>3</v>
      </c>
      <c r="L45" s="31">
        <f>VLOOKUP(1,AD44:AN47,3,FALSE)</f>
        <v>1</v>
      </c>
      <c r="M45" s="31">
        <f>VLOOKUP(1,AD44:AN47,4,FALSE)</f>
        <v>2</v>
      </c>
      <c r="N45" s="31">
        <f>VLOOKUP(1,AD44:AN47,5,FALSE)</f>
        <v>0</v>
      </c>
      <c r="O45" s="31" t="str">
        <f>VLOOKUP(1,AD44:AN47,6,FALSE) &amp; " - " &amp; VLOOKUP(1,AD44:AN47,7,FALSE)</f>
        <v>6 - 2</v>
      </c>
      <c r="P45" s="32">
        <f>L45*3+M45</f>
        <v>5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2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2</v>
      </c>
      <c r="AH45" s="123">
        <f>COUNTIF($S$7:$T$78,"=" &amp; AE45 &amp; "_lose")</f>
        <v>0</v>
      </c>
      <c r="AI45" s="123">
        <f>SUMIF($E$7:$E$78,$AE45,$F$7:$F$78) + SUMIF($H$7:$H$78,$AE45,$G$7:$G$78)</f>
        <v>5</v>
      </c>
      <c r="AJ45" s="123">
        <f>SUMIF($E$7:$E$78,$AE45,$G$7:$G$78) + SUMIF($H$7:$H$78,$AE45,$F$7:$F$78)</f>
        <v>3</v>
      </c>
      <c r="AL45" s="123">
        <f>AI45-AJ45</f>
        <v>2</v>
      </c>
      <c r="AM45" s="123">
        <f>AL45-AL48</f>
        <v>8</v>
      </c>
      <c r="AN45" s="123">
        <f>AF45*3+AG45</f>
        <v>5</v>
      </c>
      <c r="AO45" s="123">
        <f>AN45/AN48*10+BA45</f>
        <v>9.3139158576051777</v>
      </c>
      <c r="AP45" s="123">
        <f>AO45*10000000+BI45*100+AM45/AM48*10+AI45/AI48*1++IF(AQ45=0,ROW(),AQ45)/2000000</f>
        <v>93139264.622098804</v>
      </c>
      <c r="AQ45" s="126">
        <f>VLOOKUP(AE45,db_fifarank,2,FALSE)</f>
        <v>1563.24</v>
      </c>
      <c r="AR45" s="125">
        <f>AP45/AP48</f>
        <v>0.99999996820755876</v>
      </c>
      <c r="AS45" s="125" t="str">
        <f>IF(SUM(AF44:AH47)=12,J46,"2G")</f>
        <v>Egypt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50.5</v>
      </c>
      <c r="BA45" s="126">
        <f>AZ45/AZ48</f>
        <v>0.98058252427184467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50.5</v>
      </c>
      <c r="BI45" s="126">
        <f>BH45/BH48</f>
        <v>0.98058252427184467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32"/>
      <c r="BS45" s="26" t="str">
        <f>IF(BP46&gt;BP47,BL46,IF(BP46&lt;BP47,BL47,""))</f>
        <v>Norway</v>
      </c>
      <c r="BT45" s="62">
        <v>2</v>
      </c>
      <c r="BU45" s="64"/>
      <c r="BV45" s="27"/>
      <c r="BW45" s="113">
        <f>IF(BW44="","",BT45*1000+BU45*10+BV45)</f>
        <v>2000</v>
      </c>
      <c r="CK45" s="114"/>
      <c r="CM45" s="136"/>
      <c r="CN45" s="137"/>
      <c r="CO45" s="137"/>
      <c r="CP45" s="137"/>
      <c r="CQ45" s="138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Egypt</v>
      </c>
      <c r="K46" s="23">
        <f>L46+M46+N46</f>
        <v>3</v>
      </c>
      <c r="L46" s="23">
        <f>VLOOKUP(2,AD44:AN47,3,FALSE)</f>
        <v>1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5 - 3</v>
      </c>
      <c r="P46" s="34">
        <f>L46*3+M46</f>
        <v>5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3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3</v>
      </c>
      <c r="AH46" s="123">
        <f>COUNTIF($S$7:$T$78,"=" &amp; AE46 &amp; "_lose")</f>
        <v>0</v>
      </c>
      <c r="AI46" s="123">
        <f>SUMIF($E$7:$E$78,$AE46,$F$7:$F$78) + SUMIF($H$7:$H$78,$AE46,$G$7:$G$78)</f>
        <v>3</v>
      </c>
      <c r="AJ46" s="123">
        <f>SUMIF($E$7:$E$78,$AE46,$G$7:$G$78) + SUMIF($H$7:$H$78,$AE46,$F$7:$F$78)</f>
        <v>3</v>
      </c>
      <c r="AL46" s="123">
        <f>AI46-AJ46</f>
        <v>0</v>
      </c>
      <c r="AM46" s="123">
        <f>AL46-AL48</f>
        <v>6</v>
      </c>
      <c r="AN46" s="123">
        <f>AF46*3+AG46</f>
        <v>3</v>
      </c>
      <c r="AO46" s="123">
        <f>AN46/AN48*10+BA46</f>
        <v>5</v>
      </c>
      <c r="AP46" s="123">
        <f>AO46*10000000+BI46*100+AM46/AM48*10+AI46/AI48*1++IF(AQ46=0,ROW(),AQ46)/2000000</f>
        <v>50000005.883924529</v>
      </c>
      <c r="AQ46" s="126">
        <f>VLOOKUP(AE46,db_fifarank,2,FALSE)</f>
        <v>1615.3</v>
      </c>
      <c r="AR46" s="125">
        <f>AP46/AP48</f>
        <v>0.53683056761475623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31">
        <v>78</v>
      </c>
      <c r="BL46" s="24" t="str">
        <f>AS33</f>
        <v>Ivory Coast</v>
      </c>
      <c r="BM46" s="61">
        <v>1</v>
      </c>
      <c r="BN46" s="63"/>
      <c r="BO46" s="25"/>
      <c r="BP46" s="116">
        <f>IF(OR(BM46="",BM47="",AND(BN46="",BN47&lt;&gt;""),AND(BN47="",BN46&lt;&gt;""),AND(BO46="",BO47&lt;&gt;""),AND(BO47="",BO46&lt;&gt;"")),"",BM46*1000+BN46*10+BO46)</f>
        <v>1000</v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Iran</v>
      </c>
      <c r="K47" s="23">
        <f>L47+M47+N47</f>
        <v>3</v>
      </c>
      <c r="L47" s="23">
        <f>VLOOKUP(3,AD44:AN47,3,FALSE)</f>
        <v>0</v>
      </c>
      <c r="M47" s="23">
        <f>VLOOKUP(3,AD44:AN47,4,FALSE)</f>
        <v>3</v>
      </c>
      <c r="N47" s="23">
        <f>VLOOKUP(3,AD44:AN47,5,FALSE)</f>
        <v>0</v>
      </c>
      <c r="O47" s="23" t="str">
        <f>VLOOKUP(3,AD44:AN47,6,FALSE) &amp; " - " &amp; VLOOKUP(3,AD44:AN47,7,FALSE)</f>
        <v>3 - 3</v>
      </c>
      <c r="P47" s="34">
        <f>L47*3+M47</f>
        <v>3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2</v>
      </c>
      <c r="AI47" s="123">
        <f>SUMIF($E$7:$E$78,$AE47,$F$7:$F$78) + SUMIF($H$7:$H$78,$AE47,$G$7:$G$78)</f>
        <v>4</v>
      </c>
      <c r="AJ47" s="123">
        <f>SUMIF($E$7:$E$78,$AE47,$G$7:$G$78) + SUMIF($H$7:$H$78,$AE47,$F$7:$F$78)</f>
        <v>10</v>
      </c>
      <c r="AL47" s="123">
        <f>AI47-AJ47</f>
        <v>-6</v>
      </c>
      <c r="AM47" s="123">
        <f>AL47-AL48</f>
        <v>0</v>
      </c>
      <c r="AN47" s="123">
        <f>AF47*3+AG47</f>
        <v>1</v>
      </c>
      <c r="AO47" s="123">
        <f>AN47/AN48*10+BA47</f>
        <v>1.6666666666666665</v>
      </c>
      <c r="AP47" s="123">
        <f>AO47*10000000+BI47*100+AM47/AM48*10+AI47/AI48*1++IF(AQ47=0,ROW(),AQ47)/2000000</f>
        <v>16666667.238736022</v>
      </c>
      <c r="AQ47" s="126">
        <f>VLOOKUP(AE47,db_fifarank,2,FALSE)</f>
        <v>1281.57</v>
      </c>
      <c r="AR47" s="125">
        <f>AP47/AP48</f>
        <v>0.17894350762253652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32"/>
      <c r="BL47" s="26" t="str">
        <f>AS57</f>
        <v>Norway</v>
      </c>
      <c r="BM47" s="62">
        <v>2</v>
      </c>
      <c r="BN47" s="64"/>
      <c r="BO47" s="27"/>
      <c r="BP47" s="112">
        <f>IF(BP46="","",BM47*1000+BN47*10+BO47)</f>
        <v>2000</v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3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2</v>
      </c>
      <c r="O48" s="36" t="str">
        <f>VLOOKUP(4,AD44:AN47,6,FALSE) &amp; " - " &amp; VLOOKUP(4,AD44:AN47,7,FALSE)</f>
        <v>4 - 10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3</v>
      </c>
      <c r="AH48" s="123">
        <f t="shared" si="24"/>
        <v>3</v>
      </c>
      <c r="AI48" s="123">
        <f>MAX(AI44:AI47)+1</f>
        <v>7</v>
      </c>
      <c r="AL48" s="123">
        <f>MIN(AL44:AL47)</f>
        <v>-6</v>
      </c>
      <c r="AM48" s="123">
        <f>MAX(AM44:AM47)+1</f>
        <v>11</v>
      </c>
      <c r="AN48" s="123">
        <f>MAX(AN44:AN47)+1</f>
        <v>6</v>
      </c>
      <c r="AO48" s="123">
        <f>MAX(AO44:AO47)+1</f>
        <v>10.313915857605178</v>
      </c>
      <c r="AP48" s="123">
        <f>MAX(AP44:AP47)+1</f>
        <v>93139267.583223492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51.5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51.5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31">
        <v>99</v>
      </c>
      <c r="BZ48" s="24" t="str">
        <f>IF(BW44&gt;BW45,BS44,IF(BW44&lt;BW45,BS45,""))</f>
        <v>Norway</v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3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32"/>
      <c r="BZ49" s="26" t="str">
        <f>IF(BW52&gt;BW53,BS52,IF(BW52&lt;BW53,BS53,""))</f>
        <v>England</v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3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2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5</v>
      </c>
      <c r="AJ50" s="123">
        <f>SUMIF($E$7:$E$78,$AE50,$G$7:$G$78) + SUMIF($H$7:$H$78,$AE50,$F$7:$F$78)</f>
        <v>0</v>
      </c>
      <c r="AL50" s="123">
        <f>AI50-AJ50</f>
        <v>5</v>
      </c>
      <c r="AM50" s="123">
        <f>AL50-AL54</f>
        <v>9</v>
      </c>
      <c r="AN50" s="123">
        <f>AF50*3+AG50</f>
        <v>7</v>
      </c>
      <c r="AO50" s="123">
        <f>AN50/AN54*10+BA50</f>
        <v>8.75</v>
      </c>
      <c r="AP50" s="123">
        <f>AO50*10000000+BI50*100+AM50/AM54*10+AI50/AI54*1++IF(AQ50=0,ROW(),AQ50)/2000000</f>
        <v>87500009.834271535</v>
      </c>
      <c r="AQ50" s="126">
        <f>VLOOKUP(AE50,db_fifarank,2,FALSE)</f>
        <v>1876.4</v>
      </c>
      <c r="AR50" s="125">
        <f>AP50/AP54</f>
        <v>0.99999998857143002</v>
      </c>
      <c r="AS50" s="125" t="str">
        <f>IF(SUM(AF50:AH53)=12,J51,"1H")</f>
        <v>Spain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31">
        <v>79</v>
      </c>
      <c r="BL50" s="24" t="str">
        <f>AS8</f>
        <v>Mexico</v>
      </c>
      <c r="BM50" s="61">
        <v>2</v>
      </c>
      <c r="BN50" s="63"/>
      <c r="BO50" s="25"/>
      <c r="BP50" s="112">
        <f>IF(OR(BM50="",BM51="",AND(BN50="",BN51&lt;&gt;""),AND(BN51="",BN50&lt;&gt;""),AND(BO50="",BO51&lt;&gt;""),AND(BO51="",BO50&lt;&gt;"")),"",BM50*1000+BN50*10+BO50)</f>
        <v>2000</v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0</v>
      </c>
      <c r="G51" s="20">
        <v>0</v>
      </c>
      <c r="H51" s="80" t="str">
        <f>AE76</f>
        <v>Ghana</v>
      </c>
      <c r="J51" s="30" t="str">
        <f>VLOOKUP(1,AD50:AN53,2,FALSE)</f>
        <v>Spain</v>
      </c>
      <c r="K51" s="31">
        <f>L51+M51+N51</f>
        <v>3</v>
      </c>
      <c r="L51" s="31">
        <f>VLOOKUP(1,AD50:AN53,3,FALSE)</f>
        <v>2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5 - 0</v>
      </c>
      <c r="P51" s="32">
        <f>L51*3+M51</f>
        <v>7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2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3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3</v>
      </c>
      <c r="AO51" s="123">
        <f>AN51/AN54*10+BA51</f>
        <v>3.75</v>
      </c>
      <c r="AP51" s="123">
        <f>AO51*10000000+BI51*100+AM51/AM54*10+AI51/AI54*1++IF(AQ51=0,ROW(),AQ51)/2000000</f>
        <v>37500004.334016398</v>
      </c>
      <c r="AQ51" s="126">
        <f>VLOOKUP(AE51,db_fifarank,2,FALSE)</f>
        <v>1366.13</v>
      </c>
      <c r="AR51" s="125">
        <f>AP51/AP54</f>
        <v>0.42857142503722523</v>
      </c>
      <c r="AS51" s="125" t="str">
        <f>IF(SUM(AF50:AH53)=12,J52,"2H")</f>
        <v>Cape Verde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32"/>
      <c r="BL51" s="26" t="str">
        <f>IF(group_round_completed,VLOOKUP('3rd places'!D3,AK80:AS91,9,FALSE),"3rd Group C/E/F/H/I")</f>
        <v>Ecuador</v>
      </c>
      <c r="BM51" s="62">
        <v>0</v>
      </c>
      <c r="BN51" s="64"/>
      <c r="BO51" s="27"/>
      <c r="BP51" s="113">
        <f>IF(BP50="","",BM51*1000+BN51*10+BO51)</f>
        <v>0</v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1</v>
      </c>
      <c r="H52" s="80" t="str">
        <f>AE75</f>
        <v>Croatia</v>
      </c>
      <c r="J52" s="33" t="str">
        <f>VLOOKUP(2,AD50:AN53,2,FALSE)</f>
        <v>Cape Verde</v>
      </c>
      <c r="K52" s="23">
        <f>L52+M52+N52</f>
        <v>3</v>
      </c>
      <c r="L52" s="23">
        <f>VLOOKUP(2,AD50:AN53,3,FALSE)</f>
        <v>0</v>
      </c>
      <c r="M52" s="23">
        <f>VLOOKUP(2,AD50:AN53,4,FALSE)</f>
        <v>3</v>
      </c>
      <c r="N52" s="23">
        <f>VLOOKUP(2,AD50:AN53,5,FALSE)</f>
        <v>0</v>
      </c>
      <c r="O52" s="23" t="str">
        <f>VLOOKUP(2,AD50:AN53,6,FALSE) &amp; " - " &amp; VLOOKUP(2,AD50:AN53,7,FALSE)</f>
        <v>2 - 2</v>
      </c>
      <c r="P52" s="34">
        <f>L52*3+M52</f>
        <v>3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2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2</v>
      </c>
      <c r="AO52" s="123">
        <f>AN52/AN54*10+BA52</f>
        <v>3.4805825242718447</v>
      </c>
      <c r="AP52" s="123">
        <f>AO52*10000000+BI52*100+AM52/AM54*10+AI52/AI54*1++IF(AQ52=0,ROW(),AQ52)/2000000</f>
        <v>34805923.46834825</v>
      </c>
      <c r="AQ52" s="126">
        <f>VLOOKUP(AE52,db_fifarank,2,FALSE)</f>
        <v>1421.43</v>
      </c>
      <c r="AR52" s="125">
        <f>AP52/AP54</f>
        <v>0.39778193324195171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50.5</v>
      </c>
      <c r="BA52" s="126">
        <f>AZ52/AZ54</f>
        <v>0.98058252427184467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50.5</v>
      </c>
      <c r="BI52" s="126">
        <f>BH52/BH54</f>
        <v>0.98058252427184467</v>
      </c>
      <c r="BK52" s="21"/>
      <c r="BL52" s="21"/>
      <c r="BM52" s="21"/>
      <c r="BN52" s="21"/>
      <c r="BO52" s="21"/>
      <c r="BP52" s="114"/>
      <c r="BQ52" s="112"/>
      <c r="BR52" s="131">
        <v>92</v>
      </c>
      <c r="BS52" s="24" t="str">
        <f>IF(BP50&gt;BP51,BL50,IF(BP50&lt;BP51,BL51,""))</f>
        <v>Mexico</v>
      </c>
      <c r="BT52" s="61">
        <v>2</v>
      </c>
      <c r="BU52" s="63"/>
      <c r="BV52" s="25"/>
      <c r="BW52" s="116">
        <f>IF(OR(BT52="",BT53="",AND(BU52="",BU53&lt;&gt;""),AND(BU53="",BU52&lt;&gt;""),AND(BV52="",BV53&lt;&gt;""),AND(BV53="",BV52&lt;&gt;"")),"",BT52*1000+BU52*10+BV52)</f>
        <v>2000</v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Uruguay</v>
      </c>
      <c r="K53" s="23">
        <f>L53+M53+N53</f>
        <v>3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1</v>
      </c>
      <c r="O53" s="23" t="str">
        <f>VLOOKUP(3,AD50:AN53,6,FALSE) &amp; " - " &amp; VLOOKUP(3,AD50:AN53,7,FALSE)</f>
        <v>3 - 4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3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1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4</v>
      </c>
      <c r="AL53" s="123">
        <f>AI53-AJ53</f>
        <v>-1</v>
      </c>
      <c r="AM53" s="123">
        <f>AL53-AL54</f>
        <v>3</v>
      </c>
      <c r="AN53" s="123">
        <f>AF53*3+AG53</f>
        <v>2</v>
      </c>
      <c r="AO53" s="123">
        <f>AN53/AN54*10+BA53</f>
        <v>3.4805825242718447</v>
      </c>
      <c r="AP53" s="123">
        <f>AO53*10000000+BI53*100+AM53/AM54*10+AI53/AI54*1++IF(AQ53=0,ROW(),AQ53)/2000000</f>
        <v>34805926.801807404</v>
      </c>
      <c r="AQ53" s="126">
        <f>VLOOKUP(AE53,db_fifarank,2,FALSE)</f>
        <v>1673.07</v>
      </c>
      <c r="AR53" s="125">
        <f>AP53/AP54</f>
        <v>0.39778197133862303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50.5</v>
      </c>
      <c r="BA53" s="126">
        <f>AZ53/AZ54</f>
        <v>0.98058252427184467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50.5</v>
      </c>
      <c r="BI53" s="126">
        <f>BH53/BH54</f>
        <v>0.98058252427184467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32"/>
      <c r="BS53" s="26" t="str">
        <f>IF(BP54&gt;BP55,BL54,IF(BP54&lt;BP55,BL55,""))</f>
        <v>England</v>
      </c>
      <c r="BT53" s="62">
        <v>3</v>
      </c>
      <c r="BU53" s="64"/>
      <c r="BV53" s="27"/>
      <c r="BW53" s="112">
        <f>IF(BW52="","",BT53*1000+BU53*10+BV53)</f>
        <v>3000</v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1</v>
      </c>
      <c r="G54" s="20">
        <v>0</v>
      </c>
      <c r="H54" s="80" t="str">
        <f>AE69</f>
        <v>DR Congo</v>
      </c>
      <c r="J54" s="35" t="str">
        <f>VLOOKUP(4,AD50:AN53,2,FALSE)</f>
        <v>Saudi Arabia</v>
      </c>
      <c r="K54" s="36">
        <f>L54+M54+N54</f>
        <v>3</v>
      </c>
      <c r="L54" s="36">
        <f>VLOOKUP(4,AD50:AN53,3,FALSE)</f>
        <v>0</v>
      </c>
      <c r="M54" s="36">
        <f>VLOOKUP(4,AD50:AN53,4,FALSE)</f>
        <v>2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2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3</v>
      </c>
      <c r="AG54" s="123">
        <f t="shared" si="25"/>
        <v>3</v>
      </c>
      <c r="AH54" s="123">
        <f t="shared" si="25"/>
        <v>2</v>
      </c>
      <c r="AI54" s="123">
        <f>MAX(AI50:AI53)+1</f>
        <v>6</v>
      </c>
      <c r="AL54" s="123">
        <f>MIN(AL50:AL53)</f>
        <v>-4</v>
      </c>
      <c r="AM54" s="123">
        <f>MAX(AM50:AM53)+1</f>
        <v>10</v>
      </c>
      <c r="AN54" s="123">
        <f>MAX(AN50:AN53)+1</f>
        <v>8</v>
      </c>
      <c r="AO54" s="123">
        <f>MAX(AO50:AO53)+1</f>
        <v>9.75</v>
      </c>
      <c r="AP54" s="123">
        <f>MAX(AP50:AP53)+1</f>
        <v>87500010.834271535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51.5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51.5</v>
      </c>
      <c r="BK54" s="131">
        <v>80</v>
      </c>
      <c r="BL54" s="24" t="str">
        <f>AS74</f>
        <v>England</v>
      </c>
      <c r="BM54" s="61">
        <v>2</v>
      </c>
      <c r="BN54" s="63"/>
      <c r="BO54" s="25"/>
      <c r="BP54" s="116">
        <f>IF(OR(BM54="",BM55="",AND(BN54="",BN55&lt;&gt;""),AND(BN55="",BN54&lt;&gt;""),AND(BO54="",BO55&lt;&gt;""),AND(BO55="",BO54&lt;&gt;"")),"",BM54*1000+BN54*10+BO54)</f>
        <v>2000</v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>
        <v>0</v>
      </c>
      <c r="G55" s="20">
        <v>3</v>
      </c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>Scotland_lose</v>
      </c>
      <c r="T55" s="127" t="str">
        <f t="shared" si="20"/>
        <v>Brazil_win</v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>
        <f t="shared" si="23"/>
        <v>-1</v>
      </c>
      <c r="BK55" s="132"/>
      <c r="BL55" s="26" t="str">
        <f>IF(group_round_completed,VLOOKUP('3rd places'!K3,AK80:AS91,9,FALSE),"3rd Group E/H/I/J/K")</f>
        <v>DR Congo</v>
      </c>
      <c r="BM55" s="62">
        <v>1</v>
      </c>
      <c r="BN55" s="64"/>
      <c r="BO55" s="27"/>
      <c r="BP55" s="112">
        <f>IF(BP54="","",BM55*1000+BN55*10+BO55)</f>
        <v>1000</v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3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>
        <v>4</v>
      </c>
      <c r="G56" s="20">
        <v>2</v>
      </c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>Morocco_win</v>
      </c>
      <c r="T56" s="127" t="str">
        <f t="shared" si="20"/>
        <v>Haiti_lose</v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>
        <f t="shared" si="23"/>
        <v>1</v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3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10</v>
      </c>
      <c r="AJ56" s="123">
        <f>SUMIF($E$7:$E$78,$AE56,$G$7:$G$78) + SUMIF($H$7:$H$78,$AE56,$F$7:$F$78)</f>
        <v>2</v>
      </c>
      <c r="AL56" s="123">
        <f>AI56-AJ56</f>
        <v>8</v>
      </c>
      <c r="AM56" s="123">
        <f>AL56-AL60</f>
        <v>19</v>
      </c>
      <c r="AN56" s="123">
        <f>AF56*3+AG56</f>
        <v>9</v>
      </c>
      <c r="AO56" s="123">
        <f>AN56/AN60*10+BA56</f>
        <v>9</v>
      </c>
      <c r="AP56" s="123">
        <f>AO56*10000000+BI56*100+AM56/AM60*10+AI56/AI60*1++IF(AQ56=0,ROW(),AQ56)/2000000</f>
        <v>90000010.41002956</v>
      </c>
      <c r="AQ56" s="126">
        <f>VLOOKUP(AE56,db_fifarank,2,FALSE)</f>
        <v>1877.32</v>
      </c>
      <c r="AR56" s="125">
        <f>AP56/AP60</f>
        <v>0.9999999888888903</v>
      </c>
      <c r="AS56" s="125" t="str">
        <f>IF(SUM(AF56:AH59)=12,J57,"1I")</f>
        <v>France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3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>
        <v>2</v>
      </c>
      <c r="G57" s="20">
        <v>1</v>
      </c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3</v>
      </c>
      <c r="L57" s="31">
        <f>VLOOKUP(1,AD56:AN59,3,FALSE)</f>
        <v>3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10 - 2</v>
      </c>
      <c r="P57" s="32">
        <f>L57*3+M57</f>
        <v>9</v>
      </c>
      <c r="R57" s="123">
        <f>DATE(2026,6,24)+TIME(8,0,0)+gmt_delta</f>
        <v>46197.791666666672</v>
      </c>
      <c r="S57" s="127" t="str">
        <f t="shared" si="19"/>
        <v>Switzerland_win</v>
      </c>
      <c r="T57" s="127" t="str">
        <f t="shared" si="20"/>
        <v>Canada_lose</v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>
        <f t="shared" si="23"/>
        <v>1</v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1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8</v>
      </c>
      <c r="AJ57" s="123">
        <f>SUMIF($E$7:$E$78,$AE57,$G$7:$G$78) + SUMIF($H$7:$H$78,$AE57,$F$7:$F$78)</f>
        <v>6</v>
      </c>
      <c r="AL57" s="123">
        <f>AI57-AJ57</f>
        <v>2</v>
      </c>
      <c r="AM57" s="123">
        <f>AL57-AL60</f>
        <v>13</v>
      </c>
      <c r="AN57" s="123">
        <f>AF57*3+AG57</f>
        <v>3</v>
      </c>
      <c r="AO57" s="123">
        <f>AN57/AN60*10+BA57</f>
        <v>3</v>
      </c>
      <c r="AP57" s="123">
        <f>AO57*10000000+BI57*100+AM57/AM60*10+AI57/AI60*1++IF(AQ57=0,ROW(),AQ57)/2000000</f>
        <v>30000007.22811722</v>
      </c>
      <c r="AQ57" s="126">
        <f>VLOOKUP(AE57,db_fifarank,2,FALSE)</f>
        <v>1688.99</v>
      </c>
      <c r="AR57" s="125">
        <f>AP57/AP60</f>
        <v>0.33333337138637331</v>
      </c>
      <c r="AS57" s="125" t="str">
        <f>IF(SUM(AF56:AH59)=12,J58,"2I")</f>
        <v>Norway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>
        <v>3</v>
      </c>
      <c r="G58" s="20">
        <v>1</v>
      </c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3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1</v>
      </c>
      <c r="O58" s="23" t="str">
        <f>VLOOKUP(2,AD56:AN59,6,FALSE) &amp; " - " &amp; VLOOKUP(2,AD56:AN59,7,FALSE)</f>
        <v>8 - 7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>Bosnia and Herzegovina_win</v>
      </c>
      <c r="T58" s="127" t="str">
        <f t="shared" si="20"/>
        <v>Qatar_lose</v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>
        <f t="shared" si="23"/>
        <v>1</v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3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12</v>
      </c>
      <c r="AL58" s="123">
        <f>AI58-AJ58</f>
        <v>-11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9.1632660909090918E-2</v>
      </c>
      <c r="AQ58" s="126">
        <f>VLOOKUP(AE58,db_fifarank,2,FALSE)</f>
        <v>1447.14</v>
      </c>
      <c r="AR58" s="125">
        <f>AP58/AP60</f>
        <v>1.0181405476897463E-9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31">
        <v>86</v>
      </c>
      <c r="BL58" s="24" t="str">
        <f>AS62</f>
        <v>Argentina</v>
      </c>
      <c r="BM58" s="61">
        <v>2</v>
      </c>
      <c r="BN58" s="63">
        <v>3</v>
      </c>
      <c r="BO58" s="25"/>
      <c r="BP58" s="112">
        <f>IF(OR(BM58="",BM59="",AND(BN58="",BN59&lt;&gt;""),AND(BN59="",BN58&lt;&gt;""),AND(BO58="",BO59&lt;&gt;""),AND(BO59="",BO58&lt;&gt;"")),"",BM58*1000+BN58*10+BO58)</f>
        <v>2030</v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>
        <v>0</v>
      </c>
      <c r="G59" s="20">
        <v>3</v>
      </c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3</v>
      </c>
      <c r="L59" s="23">
        <f>VLOOKUP(3,AD56:AN59,3,FALSE)</f>
        <v>1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8 - 6</v>
      </c>
      <c r="P59" s="34">
        <f>L59*3+M59</f>
        <v>3</v>
      </c>
      <c r="R59" s="123">
        <f>DATE(2026,6,24)+TIME(14,0,0)+gmt_delta</f>
        <v>46198.041666666672</v>
      </c>
      <c r="S59" s="127" t="str">
        <f t="shared" si="19"/>
        <v>Czech Republic_lose</v>
      </c>
      <c r="T59" s="127" t="str">
        <f t="shared" si="20"/>
        <v>Mexico_win</v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>
        <f t="shared" si="23"/>
        <v>-1</v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1</v>
      </c>
      <c r="AI59" s="123">
        <f>SUMIF($E$7:$E$78,$AE59,$F$7:$F$78) + SUMIF($H$7:$H$78,$AE59,$G$7:$G$78)</f>
        <v>8</v>
      </c>
      <c r="AJ59" s="123">
        <f>SUMIF($E$7:$E$78,$AE59,$G$7:$G$78) + SUMIF($H$7:$H$78,$AE59,$F$7:$F$78)</f>
        <v>7</v>
      </c>
      <c r="AL59" s="123">
        <f>AI59-AJ59</f>
        <v>1</v>
      </c>
      <c r="AM59" s="123">
        <f>AL59-AL60</f>
        <v>12</v>
      </c>
      <c r="AN59" s="123">
        <f>AF59*3+AG59</f>
        <v>6</v>
      </c>
      <c r="AO59" s="123">
        <f>AN59/AN60*10+BA59</f>
        <v>6</v>
      </c>
      <c r="AP59" s="123">
        <f>AO59*10000000+BI59*100+AM59/AM60*10+AI59/AI60*1++IF(AQ59=0,ROW(),AQ59)/2000000</f>
        <v>60000006.728048198</v>
      </c>
      <c r="AQ59" s="126">
        <f>VLOOKUP(AE59,db_fifarank,2,FALSE)</f>
        <v>1550.94</v>
      </c>
      <c r="AR59" s="125">
        <f>AP59/AP60</f>
        <v>0.66666665690402149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32"/>
      <c r="BL59" s="26" t="str">
        <f>AS51</f>
        <v>Cape Verde</v>
      </c>
      <c r="BM59" s="62">
        <v>2</v>
      </c>
      <c r="BN59" s="64">
        <v>2</v>
      </c>
      <c r="BO59" s="27"/>
      <c r="BP59" s="113">
        <f>IF(BP58="","",BM59*1000+BN59*10+BO59)</f>
        <v>2020</v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>
        <v>1</v>
      </c>
      <c r="G60" s="20">
        <v>0</v>
      </c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3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3</v>
      </c>
      <c r="O60" s="36" t="str">
        <f>VLOOKUP(4,AD56:AN59,6,FALSE) &amp; " - " &amp; VLOOKUP(4,AD56:AN59,7,FALSE)</f>
        <v>1 - 12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>South Africa_win</v>
      </c>
      <c r="T60" s="127" t="str">
        <f t="shared" si="20"/>
        <v>Korea Republic_lose</v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>
        <f t="shared" si="23"/>
        <v>1</v>
      </c>
      <c r="AF60" s="123">
        <f t="shared" ref="AF60:AH60" si="27">MAX(AF56:AF59)-MIN(AF56:AF59)+1</f>
        <v>4</v>
      </c>
      <c r="AG60" s="123">
        <f t="shared" si="27"/>
        <v>1</v>
      </c>
      <c r="AH60" s="123">
        <f t="shared" si="27"/>
        <v>4</v>
      </c>
      <c r="AI60" s="123">
        <f>MAX(AI56:AI59)+1</f>
        <v>11</v>
      </c>
      <c r="AL60" s="123">
        <f>MIN(AL56:AL59)</f>
        <v>-11</v>
      </c>
      <c r="AM60" s="123">
        <f>MAX(AM56:AM59)+1</f>
        <v>20</v>
      </c>
      <c r="AN60" s="123">
        <f>MAX(AN56:AN59)+1</f>
        <v>10</v>
      </c>
      <c r="AO60" s="123">
        <f>MAX(AO56:AO59)+1</f>
        <v>10</v>
      </c>
      <c r="AP60" s="123">
        <f>MAX(AP56:AP59)+1</f>
        <v>90000011.41002956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31">
        <v>95</v>
      </c>
      <c r="BS60" s="24" t="str">
        <f>IF(BP58&gt;BP59,BL58,IF(BP58&lt;BP59,BL59,""))</f>
        <v>Argentina</v>
      </c>
      <c r="BT60" s="61">
        <v>3</v>
      </c>
      <c r="BU60" s="63"/>
      <c r="BV60" s="25"/>
      <c r="BW60" s="112">
        <f>IF(OR(BT60="",BT61="",AND(BU60="",BU61&lt;&gt;""),AND(BU61="",BU60&lt;&gt;""),AND(BV60="",BV61&lt;&gt;""),AND(BV61="",BV60&lt;&gt;"")),"",BT60*1000+BU60*10+BV60)</f>
        <v>3000</v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>
        <v>0</v>
      </c>
      <c r="G61" s="20">
        <v>2</v>
      </c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>Curaçao_lose</v>
      </c>
      <c r="T61" s="127" t="str">
        <f t="shared" si="20"/>
        <v>Ivory Coast_win</v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>
        <f t="shared" si="23"/>
        <v>-1</v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32"/>
      <c r="BS61" s="26" t="str">
        <f>IF(BP62&gt;BP63,BL62,IF(BP62&lt;BP63,BL63,""))</f>
        <v>Egypt</v>
      </c>
      <c r="BT61" s="62">
        <v>2</v>
      </c>
      <c r="BU61" s="64"/>
      <c r="BV61" s="27"/>
      <c r="BW61" s="113">
        <f>IF(BW60="","",BT61*1000+BU61*10+BV61)</f>
        <v>2000</v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>
        <v>2</v>
      </c>
      <c r="G62" s="20">
        <v>1</v>
      </c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>Ecuador_win</v>
      </c>
      <c r="T62" s="127" t="str">
        <f t="shared" si="20"/>
        <v>Germany_lose</v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>
        <f t="shared" si="23"/>
        <v>1</v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3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8</v>
      </c>
      <c r="AJ62" s="123">
        <f>SUMIF($E$7:$E$78,$AE62,$G$7:$G$78) + SUMIF($H$7:$H$78,$AE62,$F$7:$F$78)</f>
        <v>1</v>
      </c>
      <c r="AL62" s="123">
        <f>AI62-AJ62</f>
        <v>7</v>
      </c>
      <c r="AM62" s="123">
        <f>AL62-AL66</f>
        <v>12</v>
      </c>
      <c r="AN62" s="123">
        <f>AF62*3+AG62</f>
        <v>9</v>
      </c>
      <c r="AO62" s="123">
        <f>AN62/AN66*10+BA62</f>
        <v>9</v>
      </c>
      <c r="AP62" s="123">
        <f>AO62*10000000+BI62*100+AM62/AM66*10+AI62/AI66*1++IF(AQ62=0,ROW(),AQ62)/2000000</f>
        <v>90000010.120595545</v>
      </c>
      <c r="AQ62" s="126">
        <f>VLOOKUP(AE62,db_fifarank,2,FALSE)</f>
        <v>1874.82</v>
      </c>
      <c r="AR62" s="125">
        <f>AP62/AP66</f>
        <v>0.9999999888888903</v>
      </c>
      <c r="AS62" s="125" t="str">
        <f>IF(SUM(AF62:AH65)=12,J63,"1J")</f>
        <v>Argentina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31">
        <v>88</v>
      </c>
      <c r="BL62" s="24" t="str">
        <f>AS27</f>
        <v>Australia</v>
      </c>
      <c r="BM62" s="61">
        <v>1</v>
      </c>
      <c r="BN62" s="63">
        <v>1</v>
      </c>
      <c r="BO62" s="25">
        <v>2</v>
      </c>
      <c r="BP62" s="116">
        <f>IF(OR(BM62="",BM63="",AND(BN62="",BN63&lt;&gt;""),AND(BN63="",BN62&lt;&gt;""),AND(BO62="",BO63&lt;&gt;""),AND(BO63="",BO62&lt;&gt;"")),"",BM62*1000+BN62*10+BO62)</f>
        <v>1012</v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>
        <v>1</v>
      </c>
      <c r="G63" s="20">
        <v>1</v>
      </c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3</v>
      </c>
      <c r="L63" s="31">
        <f>VLOOKUP(1,AD62:AN65,3,FALSE)</f>
        <v>3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8 - 1</v>
      </c>
      <c r="P63" s="32">
        <f>L63*3+M63</f>
        <v>9</v>
      </c>
      <c r="R63" s="123">
        <f>DATE(2026,6,25)+TIME(12,0,0)+gmt_delta</f>
        <v>46198.958333333336</v>
      </c>
      <c r="S63" s="127" t="str">
        <f t="shared" si="19"/>
        <v>Japan_draw</v>
      </c>
      <c r="T63" s="127" t="str">
        <f t="shared" si="20"/>
        <v>Sweden_draw</v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>
        <f t="shared" si="23"/>
        <v>0</v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1</v>
      </c>
      <c r="AH63" s="123">
        <f>COUNTIF($S$7:$T$78,"=" &amp; AE63 &amp; "_lose")</f>
        <v>1</v>
      </c>
      <c r="AI63" s="123">
        <f>SUMIF($E$7:$E$78,$AE63,$F$7:$F$78) + SUMIF($H$7:$H$78,$AE63,$G$7:$G$78)</f>
        <v>5</v>
      </c>
      <c r="AJ63" s="123">
        <f>SUMIF($E$7:$E$78,$AE63,$G$7:$G$78) + SUMIF($H$7:$H$78,$AE63,$F$7:$F$78)</f>
        <v>7</v>
      </c>
      <c r="AL63" s="123">
        <f>AI63-AJ63</f>
        <v>-2</v>
      </c>
      <c r="AM63" s="123">
        <f>AL63-AL66</f>
        <v>3</v>
      </c>
      <c r="AN63" s="123">
        <f>AF63*3+AG63</f>
        <v>4</v>
      </c>
      <c r="AO63" s="123">
        <f>AN63/AN66*10+BA63</f>
        <v>4.9806763285024154</v>
      </c>
      <c r="AP63" s="123">
        <f>AO63*10000000+BI63*100+AM63/AM66*10+AI63/AI66*1++IF(AQ63=0,ROW(),AQ63)/2000000</f>
        <v>49806864.216686986</v>
      </c>
      <c r="AQ63" s="126">
        <f>VLOOKUP(AE63,db_fifarank,2,FALSE)</f>
        <v>1564.26</v>
      </c>
      <c r="AR63" s="125">
        <f>AP63/AP66</f>
        <v>0.55340953402714876</v>
      </c>
      <c r="AS63" s="125" t="str">
        <f>IF(SUM(AF62:AH65)=12,J64,"2J")</f>
        <v>Austria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1</v>
      </c>
      <c r="AV63" s="126" cm="1">
        <f t="array" ref="AV63">SUMPRODUCT(($E$7:$E$78=AE63)*($U$7:$U$78)*($F$7:$F$78))+SUMPRODUCT(($H$7:$H$78=AE63)*($U$7:$U$78)*($G$7:$G$78))</f>
        <v>3</v>
      </c>
      <c r="AW63" s="126" cm="1">
        <f t="array" ref="AW63">SUMPRODUCT(($E$7:$E$78=AE63)*($U$7:$U$78)*($G$7:$G$78))+SUMPRODUCT(($H$7:$H$78=AE63)*($U$7:$U$78)*($F$7:$F$78))</f>
        <v>3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50.75</v>
      </c>
      <c r="BA63" s="126">
        <f>AZ63/AZ66</f>
        <v>0.98067632850241548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1</v>
      </c>
      <c r="BD63" s="126" cm="1">
        <f t="array" ref="BD63">SUMPRODUCT(($E$7:$E$78=AE63)*($X$7:$X$78)*($F$7:$F$78))+SUMPRODUCT(($H$7:$H$78=AE63)*($X$7:$X$78)*($G$7:$G$78))</f>
        <v>3</v>
      </c>
      <c r="BE63" s="126" cm="1">
        <f t="array" ref="BE63">SUMPRODUCT(($E$7:$E$78=AE63)*($X$7:$X$78)*($G$7:$G$78))+SUMPRODUCT(($H$7:$H$78=AE63)*($X$7:$X$78)*($F$7:$F$78))</f>
        <v>3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50.75</v>
      </c>
      <c r="BI63" s="126">
        <f>BH63/BH66</f>
        <v>0.98067632850241548</v>
      </c>
      <c r="BK63" s="132"/>
      <c r="BL63" s="26" t="str">
        <f>AS45</f>
        <v>Egypt</v>
      </c>
      <c r="BM63" s="62">
        <v>1</v>
      </c>
      <c r="BN63" s="64">
        <v>1</v>
      </c>
      <c r="BO63" s="27">
        <v>4</v>
      </c>
      <c r="BP63" s="112">
        <f>IF(BP62="","",BM63*1000+BN63*10+BO63)</f>
        <v>1014</v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>
        <v>1</v>
      </c>
      <c r="G64" s="20">
        <v>3</v>
      </c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3</v>
      </c>
      <c r="L64" s="23">
        <f>VLOOKUP(2,AD62:AN65,3,FALSE)</f>
        <v>1</v>
      </c>
      <c r="M64" s="23">
        <f>VLOOKUP(2,AD62:AN65,4,FALSE)</f>
        <v>1</v>
      </c>
      <c r="N64" s="23">
        <f>VLOOKUP(2,AD62:AN65,5,FALSE)</f>
        <v>1</v>
      </c>
      <c r="O64" s="23" t="str">
        <f>VLOOKUP(2,AD62:AN65,6,FALSE) &amp; " - " &amp; VLOOKUP(2,AD62:AN65,7,FALSE)</f>
        <v>6 - 6</v>
      </c>
      <c r="P64" s="34">
        <f>L64*3+M64</f>
        <v>4</v>
      </c>
      <c r="R64" s="123">
        <f>DATE(2026,6,25)+TIME(12,0,0)+gmt_delta</f>
        <v>46198.958333333336</v>
      </c>
      <c r="S64" s="127" t="str">
        <f t="shared" si="19"/>
        <v>Tunisia_lose</v>
      </c>
      <c r="T64" s="127" t="str">
        <f t="shared" si="20"/>
        <v>Netherlands_win</v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>
        <f t="shared" si="23"/>
        <v>-1</v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1</v>
      </c>
      <c r="AH64" s="123">
        <f>COUNTIF($S$7:$T$78,"=" &amp; AE64 &amp; "_lose")</f>
        <v>1</v>
      </c>
      <c r="AI64" s="123">
        <f>SUMIF($E$7:$E$78,$AE64,$F$7:$F$78) + SUMIF($H$7:$H$78,$AE64,$G$7:$G$78)</f>
        <v>6</v>
      </c>
      <c r="AJ64" s="123">
        <f>SUMIF($E$7:$E$78,$AE64,$G$7:$G$78) + SUMIF($H$7:$H$78,$AE64,$F$7:$F$78)</f>
        <v>6</v>
      </c>
      <c r="AL64" s="123">
        <f>AI64-AJ64</f>
        <v>0</v>
      </c>
      <c r="AM64" s="123">
        <f>AL64-AL66</f>
        <v>5</v>
      </c>
      <c r="AN64" s="123">
        <f>AF64*3+AG64</f>
        <v>4</v>
      </c>
      <c r="AO64" s="123">
        <f>AN64/AN66*10+BA64</f>
        <v>4.9806763285024154</v>
      </c>
      <c r="AP64" s="123">
        <f>AO64*10000000+BI64*100+AM64/AM66*10+AI64/AI66*1++IF(AQ64=0,ROW(),AQ64)/2000000</f>
        <v>49806865.866274238</v>
      </c>
      <c r="AQ64" s="126">
        <f>VLOOKUP(AE64,db_fifarank,2,FALSE)</f>
        <v>1593.45</v>
      </c>
      <c r="AR64" s="125">
        <f>AP64/AP66</f>
        <v>0.55340955235589373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1</v>
      </c>
      <c r="AV64" s="126" cm="1">
        <f t="array" ref="AV64">SUMPRODUCT(($E$7:$E$78=AE64)*($U$7:$U$78)*($F$7:$F$78))+SUMPRODUCT(($H$7:$H$78=AE64)*($U$7:$U$78)*($G$7:$G$78))</f>
        <v>3</v>
      </c>
      <c r="AW64" s="126" cm="1">
        <f t="array" ref="AW64">SUMPRODUCT(($E$7:$E$78=AE64)*($U$7:$U$78)*($G$7:$G$78))+SUMPRODUCT(($H$7:$H$78=AE64)*($U$7:$U$78)*($F$7:$F$78))</f>
        <v>3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50.75</v>
      </c>
      <c r="BA64" s="126">
        <f>AZ64/AZ66</f>
        <v>0.98067632850241548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1</v>
      </c>
      <c r="BD64" s="126" cm="1">
        <f t="array" ref="BD64">SUMPRODUCT(($E$7:$E$78=AE64)*($X$7:$X$78)*($F$7:$F$78))+SUMPRODUCT(($H$7:$H$78=AE64)*($X$7:$X$78)*($G$7:$G$78))</f>
        <v>3</v>
      </c>
      <c r="BE64" s="126" cm="1">
        <f t="array" ref="BE64">SUMPRODUCT(($E$7:$E$78=AE64)*($X$7:$X$78)*($G$7:$G$78))+SUMPRODUCT(($H$7:$H$78=AE64)*($X$7:$X$78)*($F$7:$F$78))</f>
        <v>3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50.75</v>
      </c>
      <c r="BI64" s="126">
        <f>BH64/BH66</f>
        <v>0.98067632850241548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31">
        <v>100</v>
      </c>
      <c r="BZ64" s="24" t="str">
        <f>IF(BW60&gt;BW61,BS60,IF(BW60&lt;BW61,BS61,""))</f>
        <v>Argentina</v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>
        <v>3</v>
      </c>
      <c r="G65" s="20">
        <v>2</v>
      </c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3</v>
      </c>
      <c r="L65" s="23">
        <f>VLOOKUP(3,AD62:AN65,3,FALSE)</f>
        <v>1</v>
      </c>
      <c r="M65" s="23">
        <f>VLOOKUP(3,AD62:AN65,4,FALSE)</f>
        <v>1</v>
      </c>
      <c r="N65" s="23">
        <f>VLOOKUP(3,AD62:AN65,5,FALSE)</f>
        <v>1</v>
      </c>
      <c r="O65" s="23" t="str">
        <f>VLOOKUP(3,AD62:AN65,6,FALSE) &amp; " - " &amp; VLOOKUP(3,AD62:AN65,7,FALSE)</f>
        <v>5 - 7</v>
      </c>
      <c r="P65" s="34">
        <f>L65*3+M65</f>
        <v>4</v>
      </c>
      <c r="R65" s="123">
        <f>DATE(2026,6,25)+TIME(15,0,0)+gmt_delta</f>
        <v>46199.083333333336</v>
      </c>
      <c r="S65" s="127" t="str">
        <f t="shared" si="19"/>
        <v>Turkey_win</v>
      </c>
      <c r="T65" s="127" t="str">
        <f t="shared" si="20"/>
        <v>United States_lose</v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>
        <f t="shared" si="23"/>
        <v>1</v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3</v>
      </c>
      <c r="AI65" s="123">
        <f>SUMIF($E$7:$E$78,$AE65,$F$7:$F$78) + SUMIF($H$7:$H$78,$AE65,$G$7:$G$78)</f>
        <v>3</v>
      </c>
      <c r="AJ65" s="123">
        <f>SUMIF($E$7:$E$78,$AE65,$G$7:$G$78) + SUMIF($H$7:$H$78,$AE65,$F$7:$F$78)</f>
        <v>8</v>
      </c>
      <c r="AL65" s="123">
        <f>AI65-AJ65</f>
        <v>-5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3.7114335228886911E-9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32"/>
      <c r="BZ65" s="26" t="str">
        <f>IF(BW68&gt;BW69,BS68,IF(BW68&lt;BW69,BS69,""))</f>
        <v>Switzerland</v>
      </c>
      <c r="CA65" s="62"/>
      <c r="CB65" s="64"/>
      <c r="CC65" s="27"/>
      <c r="CD65" s="112" t="str">
        <f>IF(CD64="","",CA65*1000+CB65*10+CC65)</f>
        <v/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>
        <v>0</v>
      </c>
      <c r="G66" s="20">
        <v>0</v>
      </c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3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3</v>
      </c>
      <c r="O66" s="36" t="str">
        <f>VLOOKUP(4,AD62:AN65,6,FALSE) &amp; " - " &amp; VLOOKUP(4,AD62:AN65,7,FALSE)</f>
        <v>3 - 8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>Paraguay_draw</v>
      </c>
      <c r="T66" s="127" t="str">
        <f t="shared" si="20"/>
        <v>Australia_draw</v>
      </c>
      <c r="U66" s="123">
        <f t="shared" si="8"/>
        <v>1</v>
      </c>
      <c r="V66" s="123">
        <f t="shared" si="21"/>
        <v>0</v>
      </c>
      <c r="W66" s="123">
        <f t="shared" si="22"/>
        <v>0</v>
      </c>
      <c r="X66" s="123">
        <f t="shared" si="9"/>
        <v>1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>
        <f t="shared" si="23"/>
        <v>0</v>
      </c>
      <c r="AF66" s="123">
        <f t="shared" ref="AF66:AH66" si="28">MAX(AF62:AF65)-MIN(AF62:AF65)+1</f>
        <v>4</v>
      </c>
      <c r="AG66" s="123">
        <f t="shared" si="28"/>
        <v>2</v>
      </c>
      <c r="AH66" s="123">
        <f t="shared" si="28"/>
        <v>4</v>
      </c>
      <c r="AI66" s="123">
        <f>MAX(AI62:AI65)+1</f>
        <v>9</v>
      </c>
      <c r="AL66" s="123">
        <f>MIN(AL62:AL65)</f>
        <v>-5</v>
      </c>
      <c r="AM66" s="123">
        <f>MAX(AM62:AM65)+1</f>
        <v>13</v>
      </c>
      <c r="AN66" s="123">
        <f>MAX(AN62:AN65)+1</f>
        <v>10</v>
      </c>
      <c r="AO66" s="123">
        <f>MAX(AO62:AO65)+1</f>
        <v>10</v>
      </c>
      <c r="AP66" s="123">
        <f>MAX(AP62:AP65)+1</f>
        <v>90000011.120595545</v>
      </c>
      <c r="AT66" s="126">
        <f>MAX(AT62:AT65)-MIN(AT62:AT65)+1</f>
        <v>1</v>
      </c>
      <c r="AU66" s="126">
        <f>MAX(AU62:AU65)-MIN(AU62:AU65)+1</f>
        <v>2</v>
      </c>
      <c r="AV66" s="126">
        <f>MAX(AV62:AV65)-MIN(AV62:AV65)+1</f>
        <v>4</v>
      </c>
      <c r="AW66" s="126">
        <f>MAX(AW62:AW65)-MIN(AW62:AW65)+1</f>
        <v>4</v>
      </c>
      <c r="AY66" s="126">
        <f>MAX(AY62:AY65)-MIN(AY62:AY65)+1</f>
        <v>1</v>
      </c>
      <c r="AZ66" s="126">
        <f>MAX(AZ62:AZ65)+1</f>
        <v>51.75</v>
      </c>
      <c r="BB66" s="126">
        <f>MAX(BB62:BB65)-MIN(BB62:BB65)+1</f>
        <v>1</v>
      </c>
      <c r="BC66" s="126">
        <f>MAX(BC62:BC65)-MIN(BC62:BC65)+1</f>
        <v>2</v>
      </c>
      <c r="BD66" s="126">
        <f>MAX(BD62:BD65)-MIN(BD62:BD65)+1</f>
        <v>4</v>
      </c>
      <c r="BE66" s="126">
        <f>MAX(BE62:BE65)-MIN(BE62:BE65)+1</f>
        <v>4</v>
      </c>
      <c r="BG66" s="126">
        <f>MAX(BG62:BG65)-MIN(BG62:BG65)+1</f>
        <v>1</v>
      </c>
      <c r="BH66" s="126">
        <f>MAX(BH62:BH65)+1</f>
        <v>51.75</v>
      </c>
      <c r="BK66" s="131">
        <v>85</v>
      </c>
      <c r="BL66" s="24" t="str">
        <f>AS14</f>
        <v>Switzerland</v>
      </c>
      <c r="BM66" s="61">
        <v>2</v>
      </c>
      <c r="BN66" s="63"/>
      <c r="BO66" s="25"/>
      <c r="BP66" s="112">
        <f>IF(OR(BM66="",BM67="",AND(BN66="",BN67&lt;&gt;""),AND(BN67="",BN66&lt;&gt;""),AND(BO66="",BO67&lt;&gt;""),AND(BO67="",BO66&lt;&gt;"")),"",BM66*1000+BN66*10+BO66)</f>
        <v>2000</v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>
        <v>1</v>
      </c>
      <c r="G67" s="20">
        <v>4</v>
      </c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>Norway_lose</v>
      </c>
      <c r="T67" s="127" t="str">
        <f t="shared" si="20"/>
        <v>France_win</v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>
        <f t="shared" si="23"/>
        <v>-1</v>
      </c>
      <c r="BK67" s="132"/>
      <c r="BL67" s="26" t="str">
        <f>IF(group_round_completed,VLOOKUP('3rd places'!E3,AK80:AS91,9,FALSE),"3rd Group E/F/G/I/J")</f>
        <v>Algeria</v>
      </c>
      <c r="BM67" s="62">
        <v>0</v>
      </c>
      <c r="BN67" s="64"/>
      <c r="BO67" s="27"/>
      <c r="BP67" s="113">
        <f>IF(BP66="","",BM67*1000+BN67*10+BO67)</f>
        <v>0</v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>
        <v>5</v>
      </c>
      <c r="G68" s="20">
        <v>0</v>
      </c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>Senegal_win</v>
      </c>
      <c r="T68" s="127" t="str">
        <f t="shared" si="20"/>
        <v>Iraq_lose</v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>
        <f t="shared" si="23"/>
        <v>1</v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2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14</v>
      </c>
      <c r="AN68" s="123">
        <f>AF68*3+AG68</f>
        <v>5</v>
      </c>
      <c r="AO68" s="123">
        <f>AN68/AN72*10+BA68</f>
        <v>6.25</v>
      </c>
      <c r="AP68" s="123">
        <f>AO68*10000000+BI68*100+AM68/AM72*10+AI68/AI72*1++IF(AQ68=0,ROW(),AQ68)/2000000</f>
        <v>62500010.191358112</v>
      </c>
      <c r="AQ68" s="126">
        <f>VLOOKUP(AE68,db_fifarank,2,FALSE)</f>
        <v>1763.83</v>
      </c>
      <c r="AR68" s="125">
        <f>AP68/AP72</f>
        <v>0.71428575261735283</v>
      </c>
      <c r="AS68" s="125" t="str">
        <f>IF(SUM(AF68:AH71)=12,J69,"1K")</f>
        <v>Colombia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31">
        <v>96</v>
      </c>
      <c r="BS68" s="24" t="str">
        <f>IF(BP66&gt;BP67,BL66,IF(BP66&lt;BP67,BL67,""))</f>
        <v>Switzerland</v>
      </c>
      <c r="BT68" s="61">
        <v>0</v>
      </c>
      <c r="BU68" s="63">
        <v>0</v>
      </c>
      <c r="BV68" s="25">
        <v>4</v>
      </c>
      <c r="BW68" s="116">
        <f>IF(OR(BT68="",BT69="",AND(BU68="",BU69&lt;&gt;""),AND(BU69="",BU68&lt;&gt;""),AND(BV68="",BV69&lt;&gt;""),AND(BV69="",BV68&lt;&gt;"")),"",BT68*1000+BU68*10+BV68)</f>
        <v>4</v>
      </c>
      <c r="CE68" s="163" t="str">
        <f>INDEX(T,144,lang)</f>
        <v>World Champion 2026</v>
      </c>
      <c r="CF68" s="163"/>
      <c r="CG68" s="163"/>
      <c r="CH68" s="163"/>
      <c r="CI68" s="163"/>
      <c r="CJ68" s="163"/>
      <c r="CK68" s="153" t="str">
        <f>IF(CR37&gt;CR38,CN37,IF(CR37&lt;CR38,CN38,""))</f>
        <v/>
      </c>
      <c r="CL68" s="153"/>
      <c r="CM68" s="153"/>
      <c r="CN68" s="153"/>
      <c r="CO68" s="153"/>
      <c r="CP68" s="153"/>
      <c r="CQ68" s="153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>
        <v>1</v>
      </c>
      <c r="G69" s="20">
        <v>1</v>
      </c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3</v>
      </c>
      <c r="L69" s="31">
        <f>VLOOKUP(1,AD68:AN71,3,FALSE)</f>
        <v>2</v>
      </c>
      <c r="M69" s="31">
        <f>VLOOKUP(1,AD68:AN71,4,FALSE)</f>
        <v>1</v>
      </c>
      <c r="N69" s="31">
        <f>VLOOKUP(1,AD68:AN71,5,FALSE)</f>
        <v>0</v>
      </c>
      <c r="O69" s="31" t="str">
        <f>VLOOKUP(1,AD68:AN71,6,FALSE) &amp; " - " &amp; VLOOKUP(1,AD68:AN71,7,FALSE)</f>
        <v>4 - 1</v>
      </c>
      <c r="P69" s="32">
        <f>L69*3+M69</f>
        <v>7</v>
      </c>
      <c r="R69" s="123">
        <f>DATE(2026,6,26)+TIME(16,0,0)+gmt_delta</f>
        <v>46200.125</v>
      </c>
      <c r="S69" s="127" t="str">
        <f t="shared" si="19"/>
        <v>Egypt_draw</v>
      </c>
      <c r="T69" s="127" t="str">
        <f t="shared" si="20"/>
        <v>Iran_draw</v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>
        <f t="shared" si="23"/>
        <v>0</v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1</v>
      </c>
      <c r="AG69" s="123">
        <f>COUNTIF($S$7:$T$78,"=" &amp; AE69 &amp; "_draw")</f>
        <v>1</v>
      </c>
      <c r="AH69" s="123">
        <f>COUNTIF($S$7:$T$78,"=" &amp; AE69 &amp; "_lose")</f>
        <v>1</v>
      </c>
      <c r="AI69" s="123">
        <f>SUMIF($E$7:$E$78,$AE69,$F$7:$F$78) + SUMIF($H$7:$H$78,$AE69,$G$7:$G$78)</f>
        <v>4</v>
      </c>
      <c r="AJ69" s="123">
        <f>SUMIF($E$7:$E$78,$AE69,$G$7:$G$78) + SUMIF($H$7:$H$78,$AE69,$F$7:$F$78)</f>
        <v>3</v>
      </c>
      <c r="AL69" s="123">
        <f>AI69-AJ69</f>
        <v>1</v>
      </c>
      <c r="AM69" s="123">
        <f>AL69-AL72</f>
        <v>10</v>
      </c>
      <c r="AN69" s="123">
        <f>AF69*3+AG69</f>
        <v>4</v>
      </c>
      <c r="AO69" s="123">
        <f>AN69/AN72*10+BA69</f>
        <v>5</v>
      </c>
      <c r="AP69" s="123">
        <f>AO69*10000000+BI69*100+AM69/AM72*10+AI69/AI72*1++IF(AQ69=0,ROW(),AQ69)/2000000</f>
        <v>50000007.238834411</v>
      </c>
      <c r="AQ69" s="126">
        <f>VLOOKUP(AE69,db_fifarank,2,FALSE)</f>
        <v>1478.35</v>
      </c>
      <c r="AR69" s="125">
        <f>AP69/AP72</f>
        <v>0.57142859164528825</v>
      </c>
      <c r="AS69" s="125" t="str">
        <f>IF(SUM(AF68:AH71)=12,J70,"2K")</f>
        <v>Portugal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32"/>
      <c r="BS69" s="26" t="str">
        <f>IF(BP70&gt;BP71,BL70,IF(BP70&lt;BP71,BL71,""))</f>
        <v>Colombia</v>
      </c>
      <c r="BT69" s="62">
        <v>0</v>
      </c>
      <c r="BU69" s="64">
        <v>0</v>
      </c>
      <c r="BV69" s="27">
        <v>3</v>
      </c>
      <c r="BW69" s="112">
        <f>IF(BW68="","",BT69*1000+BU69*10+BV69)</f>
        <v>3</v>
      </c>
      <c r="CE69" s="163"/>
      <c r="CF69" s="163"/>
      <c r="CG69" s="163"/>
      <c r="CH69" s="163"/>
      <c r="CI69" s="163"/>
      <c r="CJ69" s="163"/>
      <c r="CK69" s="153"/>
      <c r="CL69" s="153"/>
      <c r="CM69" s="153"/>
      <c r="CN69" s="153"/>
      <c r="CO69" s="153"/>
      <c r="CP69" s="153"/>
      <c r="CQ69" s="153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>
        <v>1</v>
      </c>
      <c r="G70" s="20">
        <v>5</v>
      </c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3</v>
      </c>
      <c r="L70" s="23">
        <f>VLOOKUP(2,AD68:AN71,3,FALSE)</f>
        <v>1</v>
      </c>
      <c r="M70" s="23">
        <f>VLOOKUP(2,AD68:AN71,4,FALSE)</f>
        <v>2</v>
      </c>
      <c r="N70" s="23">
        <f>VLOOKUP(2,AD68:AN71,5,FALSE)</f>
        <v>0</v>
      </c>
      <c r="O70" s="23" t="str">
        <f>VLOOKUP(2,AD68:AN71,6,FALSE) &amp; " - " &amp; VLOOKUP(2,AD68:AN71,7,FALSE)</f>
        <v>6 - 1</v>
      </c>
      <c r="P70" s="34">
        <f>L70*3+M70</f>
        <v>5</v>
      </c>
      <c r="R70" s="123">
        <f>DATE(2026,6,26)+TIME(16,0,0)+gmt_delta</f>
        <v>46200.125</v>
      </c>
      <c r="S70" s="127" t="str">
        <f t="shared" si="19"/>
        <v>New Zealand_lose</v>
      </c>
      <c r="T70" s="127" t="str">
        <f t="shared" si="20"/>
        <v>Belgium_win</v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>
        <f t="shared" si="23"/>
        <v>-1</v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3</v>
      </c>
      <c r="AI70" s="123">
        <f>SUMIF($E$7:$E$78,$AE70,$F$7:$F$78) + SUMIF($H$7:$H$78,$AE70,$G$7:$G$78)</f>
        <v>2</v>
      </c>
      <c r="AJ70" s="123">
        <f>SUMIF($E$7:$E$78,$AE70,$G$7:$G$78) + SUMIF($H$7:$H$78,$AE70,$F$7:$F$78)</f>
        <v>11</v>
      </c>
      <c r="AL70" s="123">
        <f>AI70-AJ70</f>
        <v>-9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0.28644695571428569</v>
      </c>
      <c r="AQ70" s="126">
        <f>VLOOKUP(AE70,db_fifarank,2,FALSE)</f>
        <v>1465.34</v>
      </c>
      <c r="AR70" s="125">
        <f>AP70/AP72</f>
        <v>3.2736791357454669E-9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31">
        <v>87</v>
      </c>
      <c r="BL70" s="24" t="str">
        <f>AS68</f>
        <v>Colombia</v>
      </c>
      <c r="BM70" s="61">
        <v>1</v>
      </c>
      <c r="BN70" s="63"/>
      <c r="BO70" s="25"/>
      <c r="BP70" s="116">
        <f>IF(OR(BM70="",BM71="",AND(BN70="",BN71&lt;&gt;""),AND(BN71="",BN70&lt;&gt;""),AND(BO70="",BO71&lt;&gt;""),AND(BO71="",BO70&lt;&gt;"")),"",BM70*1000+BN70*10+BO70)</f>
        <v>1000</v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>
        <v>0</v>
      </c>
      <c r="G71" s="20">
        <v>0</v>
      </c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3</v>
      </c>
      <c r="L71" s="23">
        <f>VLOOKUP(3,AD68:AN71,3,FALSE)</f>
        <v>1</v>
      </c>
      <c r="M71" s="23">
        <f>VLOOKUP(3,AD68:AN71,4,FALSE)</f>
        <v>1</v>
      </c>
      <c r="N71" s="23">
        <f>VLOOKUP(3,AD68:AN71,5,FALSE)</f>
        <v>1</v>
      </c>
      <c r="O71" s="23" t="str">
        <f>VLOOKUP(3,AD68:AN71,6,FALSE) &amp; " - " &amp; VLOOKUP(3,AD68:AN71,7,FALSE)</f>
        <v>4 - 3</v>
      </c>
      <c r="P71" s="34">
        <f>L71*3+M71</f>
        <v>4</v>
      </c>
      <c r="R71" s="123">
        <f>DATE(2026,6,26)+TIME(13,0,0)+gmt_delta</f>
        <v>46200</v>
      </c>
      <c r="S71" s="127" t="str">
        <f t="shared" si="19"/>
        <v>Cape Verde_draw</v>
      </c>
      <c r="T71" s="127" t="str">
        <f t="shared" si="20"/>
        <v>Saudi Arabia_draw</v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>
        <f t="shared" si="23"/>
        <v>0</v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1</v>
      </c>
      <c r="AH71" s="123">
        <f>COUNTIF($S$7:$T$78,"=" &amp; AE71 &amp; "_lose")</f>
        <v>0</v>
      </c>
      <c r="AI71" s="123">
        <f>SUMIF($E$7:$E$78,$AE71,$F$7:$F$78) + SUMIF($H$7:$H$78,$AE71,$G$7:$G$78)</f>
        <v>4</v>
      </c>
      <c r="AJ71" s="123">
        <f>SUMIF($E$7:$E$78,$AE71,$G$7:$G$78) + SUMIF($H$7:$H$78,$AE71,$F$7:$F$78)</f>
        <v>1</v>
      </c>
      <c r="AL71" s="123">
        <f>AI71-AJ71</f>
        <v>3</v>
      </c>
      <c r="AM71" s="123">
        <f>AL71-AL72</f>
        <v>12</v>
      </c>
      <c r="AN71" s="123">
        <f>AF71*3+AG71</f>
        <v>7</v>
      </c>
      <c r="AO71" s="123">
        <f>AN71/AN72*10+BA71</f>
        <v>8.75</v>
      </c>
      <c r="AP71" s="123">
        <f>AO71*10000000+BI71*100+AM71/AM72*10+AI71/AI72*1++IF(AQ71=0,ROW(),AQ71)/2000000</f>
        <v>87500008.572275117</v>
      </c>
      <c r="AQ71" s="126">
        <f>VLOOKUP(AE71,db_fifarank,2,FALSE)</f>
        <v>1693.09</v>
      </c>
      <c r="AR71" s="125">
        <f>AP71/AP72</f>
        <v>0.9999999885714298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32"/>
      <c r="BL71" s="26" t="str">
        <f>IF(group_round_completed,VLOOKUP('3rd places'!J3,AK80:AS91,9,FALSE),"3rd Group D/E/I/J/L")</f>
        <v>Ghana</v>
      </c>
      <c r="BM71" s="62">
        <v>0</v>
      </c>
      <c r="BN71" s="64"/>
      <c r="BO71" s="27"/>
      <c r="BP71" s="112">
        <f>IF(BP70="","",BM71*1000+BN71*10+BO71)</f>
        <v>0</v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>
        <v>0</v>
      </c>
      <c r="G72" s="20">
        <v>1</v>
      </c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3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3</v>
      </c>
      <c r="O72" s="36" t="str">
        <f>VLOOKUP(4,AD68:AN71,6,FALSE) &amp; " - " &amp; VLOOKUP(4,AD68:AN71,7,FALSE)</f>
        <v>2 - 11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>Uruguay_lose</v>
      </c>
      <c r="T72" s="127" t="str">
        <f t="shared" si="20"/>
        <v>Spain_win</v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>
        <f t="shared" si="23"/>
        <v>-1</v>
      </c>
      <c r="AF72" s="123">
        <f t="shared" ref="AF72:AH72" si="35">MAX(AF68:AF71)-MIN(AF68:AF71)+1</f>
        <v>3</v>
      </c>
      <c r="AG72" s="123">
        <f t="shared" si="35"/>
        <v>3</v>
      </c>
      <c r="AH72" s="123">
        <f t="shared" si="35"/>
        <v>4</v>
      </c>
      <c r="AI72" s="123">
        <f>MAX(AI68:AI71)+1</f>
        <v>7</v>
      </c>
      <c r="AL72" s="123">
        <f>MIN(AL68:AL71)</f>
        <v>-9</v>
      </c>
      <c r="AM72" s="123">
        <f>MAX(AM68:AM71)+1</f>
        <v>15</v>
      </c>
      <c r="AN72" s="123">
        <f>MAX(AN68:AN71)+1</f>
        <v>8</v>
      </c>
      <c r="AO72" s="123">
        <f>MAX(AO68:AO71)+1</f>
        <v>9.75</v>
      </c>
      <c r="AP72" s="123">
        <f>MAX(AP68:AP71)+1</f>
        <v>87500009.572275117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>
        <v>0</v>
      </c>
      <c r="G73" s="20">
        <v>2</v>
      </c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>Panama_lose</v>
      </c>
      <c r="T73" s="127" t="str">
        <f t="shared" si="20"/>
        <v>England_win</v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>
        <f t="shared" si="23"/>
        <v>-1</v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>
        <v>2</v>
      </c>
      <c r="G74" s="20">
        <v>1</v>
      </c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>Croatia_win</v>
      </c>
      <c r="T74" s="127" t="str">
        <f t="shared" si="20"/>
        <v>Ghana_lose</v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>
        <f t="shared" si="23"/>
        <v>1</v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2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6</v>
      </c>
      <c r="AJ74" s="123">
        <f>SUMIF($E$7:$E$78,$AE74,$G$7:$G$78) + SUMIF($H$7:$H$78,$AE74,$F$7:$F$78)</f>
        <v>2</v>
      </c>
      <c r="AL74" s="123">
        <f>AI74-AJ74</f>
        <v>4</v>
      </c>
      <c r="AM74" s="123">
        <f>AL74-AL78</f>
        <v>8</v>
      </c>
      <c r="AN74" s="123">
        <f>AF74*3+AG74</f>
        <v>7</v>
      </c>
      <c r="AO74" s="123">
        <f>AN74/AN78*10+BA74</f>
        <v>8.75</v>
      </c>
      <c r="AP74" s="123">
        <f>AO74*10000000+BI74*100+AM74/AM78*10+AI74/AI78*1++IF(AQ74=0,ROW(),AQ74)/2000000</f>
        <v>87500009.746944726</v>
      </c>
      <c r="AQ74" s="126">
        <f>VLOOKUP(AE74,db_fifarank,2,FALSE)</f>
        <v>1825.97</v>
      </c>
      <c r="AR74" s="125">
        <f>AP74/AP78</f>
        <v>0.99999998857143002</v>
      </c>
      <c r="AS74" s="125" t="str">
        <f>IF(SUM(AF74:AH77)=12,J75,"1L")</f>
        <v>England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>
        <v>3</v>
      </c>
      <c r="G75" s="20">
        <v>3</v>
      </c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3</v>
      </c>
      <c r="L75" s="31">
        <f>VLOOKUP(1,AD74:AN77,3,FALSE)</f>
        <v>2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6 - 2</v>
      </c>
      <c r="P75" s="32">
        <f>L75*3+M75</f>
        <v>7</v>
      </c>
      <c r="R75" s="123">
        <f>DATE(2026,6,27)+TIME(15,0,0)+gmt_delta</f>
        <v>46201.083333333336</v>
      </c>
      <c r="S75" s="127" t="str">
        <f t="shared" si="19"/>
        <v>Algeria_draw</v>
      </c>
      <c r="T75" s="127" t="str">
        <f t="shared" si="20"/>
        <v>Austria_draw</v>
      </c>
      <c r="U75" s="123">
        <f t="shared" si="31"/>
        <v>1</v>
      </c>
      <c r="V75" s="123">
        <f t="shared" si="21"/>
        <v>3</v>
      </c>
      <c r="W75" s="123">
        <f t="shared" si="22"/>
        <v>3</v>
      </c>
      <c r="X75" s="123">
        <f t="shared" si="32"/>
        <v>1</v>
      </c>
      <c r="Y75" s="123">
        <f t="shared" si="33"/>
        <v>3</v>
      </c>
      <c r="Z75" s="123">
        <f t="shared" si="34"/>
        <v>3</v>
      </c>
      <c r="AA75" s="123">
        <f t="shared" si="29"/>
        <v>1</v>
      </c>
      <c r="AB75" s="123">
        <f t="shared" si="23"/>
        <v>0</v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2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5</v>
      </c>
      <c r="AJ75" s="123">
        <f>SUMIF($E$7:$E$78,$AE75,$G$7:$G$78) + SUMIF($H$7:$H$78,$AE75,$F$7:$F$78)</f>
        <v>5</v>
      </c>
      <c r="AL75" s="123">
        <f>AI75-AJ75</f>
        <v>0</v>
      </c>
      <c r="AM75" s="123">
        <f>AL75-AL78</f>
        <v>4</v>
      </c>
      <c r="AN75" s="123">
        <f>AF75*3+AG75</f>
        <v>6</v>
      </c>
      <c r="AO75" s="123">
        <f>AN75/AN78*10+BA75</f>
        <v>7.5</v>
      </c>
      <c r="AP75" s="123">
        <f>AO75*10000000+BI75*100+AM75/AM78*10+AI75/AI78*1++IF(AQ75=0,ROW(),AQ75)/2000000</f>
        <v>75000005.159588695</v>
      </c>
      <c r="AQ75" s="126">
        <f>VLOOKUP(AE75,db_fifarank,2,FALSE)</f>
        <v>1717.07</v>
      </c>
      <c r="AR75" s="125">
        <f>AP75/AP78</f>
        <v>0.85714281083339749</v>
      </c>
      <c r="AS75" s="125" t="str">
        <f>IF(SUM(AF74:AH77)=12,J76,"2L")</f>
        <v>Croatia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>
        <v>1</v>
      </c>
      <c r="G76" s="20">
        <v>3</v>
      </c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3</v>
      </c>
      <c r="L76" s="23">
        <f>VLOOKUP(2,AD74:AN77,3,FALSE)</f>
        <v>2</v>
      </c>
      <c r="M76" s="23">
        <f>VLOOKUP(2,AD74:AN77,4,FALSE)</f>
        <v>0</v>
      </c>
      <c r="N76" s="23">
        <f>VLOOKUP(2,AD74:AN77,5,FALSE)</f>
        <v>1</v>
      </c>
      <c r="O76" s="23" t="str">
        <f>VLOOKUP(2,AD74:AN77,6,FALSE) &amp; " - " &amp; VLOOKUP(2,AD74:AN77,7,FALSE)</f>
        <v>5 - 5</v>
      </c>
      <c r="P76" s="34">
        <f>L76*3+M76</f>
        <v>6</v>
      </c>
      <c r="R76" s="123">
        <f>DATE(2026,6,27)+TIME(15,0,0)+gmt_delta</f>
        <v>46201.083333333336</v>
      </c>
      <c r="S76" s="127" t="str">
        <f t="shared" si="19"/>
        <v>Jordan_lose</v>
      </c>
      <c r="T76" s="127" t="str">
        <f t="shared" si="20"/>
        <v>Argentina_win</v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>
        <f t="shared" si="23"/>
        <v>-1</v>
      </c>
      <c r="AD76" s="123">
        <f>COUNTIF(AR74:AR77,CONCATENATE("&gt;=",AR76))</f>
        <v>3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1</v>
      </c>
      <c r="AI76" s="123">
        <f>SUMIF($E$7:$E$78,$AE76,$F$7:$F$78) + SUMIF($H$7:$H$78,$AE76,$G$7:$G$78)</f>
        <v>2</v>
      </c>
      <c r="AJ76" s="123">
        <f>SUMIF($E$7:$E$78,$AE76,$G$7:$G$78) + SUMIF($H$7:$H$78,$AE76,$F$7:$F$78)</f>
        <v>2</v>
      </c>
      <c r="AL76" s="123">
        <f>AI76-AJ76</f>
        <v>0</v>
      </c>
      <c r="AM76" s="123">
        <f>AL76-AL78</f>
        <v>4</v>
      </c>
      <c r="AN76" s="123">
        <f>AF76*3+AG76</f>
        <v>4</v>
      </c>
      <c r="AO76" s="123">
        <f>AN76/AN78*10+BA76</f>
        <v>5</v>
      </c>
      <c r="AP76" s="123">
        <f>AO76*10000000+BI76*100+AM76/AM78*10+AI76/AI78*1++IF(AQ76=0,ROW(),AQ76)/2000000</f>
        <v>50000004.730831884</v>
      </c>
      <c r="AQ76" s="126">
        <f>VLOOKUP(AE76,db_fifarank,2,FALSE)</f>
        <v>1346.31</v>
      </c>
      <c r="AR76" s="125">
        <f>AP76/AP78</f>
        <v>0.57142855531109471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>
        <v>0</v>
      </c>
      <c r="G77" s="20">
        <v>0</v>
      </c>
      <c r="H77" s="80" t="str">
        <f>AE68</f>
        <v>Portugal</v>
      </c>
      <c r="I77" s="69"/>
      <c r="J77" s="33" t="str">
        <f>VLOOKUP(3,AD74:AN77,2,FALSE)</f>
        <v>Ghana</v>
      </c>
      <c r="K77" s="23">
        <f>L77+M77+N77</f>
        <v>3</v>
      </c>
      <c r="L77" s="23">
        <f>VLOOKUP(3,AD74:AN77,3,FALSE)</f>
        <v>1</v>
      </c>
      <c r="M77" s="23">
        <f>VLOOKUP(3,AD74:AN77,4,FALSE)</f>
        <v>1</v>
      </c>
      <c r="N77" s="23">
        <f>VLOOKUP(3,AD74:AN77,5,FALSE)</f>
        <v>1</v>
      </c>
      <c r="O77" s="23" t="str">
        <f>VLOOKUP(3,AD74:AN77,6,FALSE) &amp; " - " &amp; VLOOKUP(3,AD74:AN77,7,FALSE)</f>
        <v>2 - 2</v>
      </c>
      <c r="P77" s="34">
        <f>L77*3+M77</f>
        <v>4</v>
      </c>
      <c r="R77" s="123">
        <f>DATE(2026,6,27)+TIME(12,30,0)+gmt_delta</f>
        <v>46200.979166666672</v>
      </c>
      <c r="S77" s="127" t="str">
        <f t="shared" si="19"/>
        <v>Colombia_draw</v>
      </c>
      <c r="T77" s="127" t="str">
        <f t="shared" si="20"/>
        <v>Portugal_draw</v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>
        <f t="shared" si="23"/>
        <v>0</v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3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4</v>
      </c>
      <c r="AL77" s="123">
        <f>AI77-AJ77</f>
        <v>-4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8.8036560615725139E-12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>
        <v>3</v>
      </c>
      <c r="G78" s="20">
        <v>1</v>
      </c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3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3</v>
      </c>
      <c r="O78" s="36" t="str">
        <f>VLOOKUP(4,AD74:AN77,6,FALSE) &amp; " - " &amp; VLOOKUP(4,AD74:AN77,7,FALSE)</f>
        <v>0 - 4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>DR Congo_win</v>
      </c>
      <c r="T78" s="127" t="str">
        <f t="shared" si="20"/>
        <v>Uzbekistan_lose</v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>
        <f t="shared" si="23"/>
        <v>1</v>
      </c>
      <c r="AF78" s="123">
        <f t="shared" ref="AF78:AH78" si="36">MAX(AF74:AF77)-MIN(AF74:AF77)+1</f>
        <v>3</v>
      </c>
      <c r="AG78" s="123">
        <f t="shared" si="36"/>
        <v>2</v>
      </c>
      <c r="AH78" s="123">
        <f t="shared" si="36"/>
        <v>4</v>
      </c>
      <c r="AI78" s="123">
        <f>MAX(AI74:AI77)+1</f>
        <v>7</v>
      </c>
      <c r="AL78" s="123">
        <f>MIN(AL74:AL77)</f>
        <v>-4</v>
      </c>
      <c r="AM78" s="123">
        <f>MAX(AM74:AM77)+1</f>
        <v>9</v>
      </c>
      <c r="AN78" s="123">
        <f>MAX(AN74:AN77)+1</f>
        <v>8</v>
      </c>
      <c r="AO78" s="123">
        <f>MAX(AO74:AO77)+1</f>
        <v>9.75</v>
      </c>
      <c r="AP78" s="123">
        <f>MAX(AP74:AP77)+1</f>
        <v>87500010.746944726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10</v>
      </c>
      <c r="AE80" s="124" t="str">
        <f>J11</f>
        <v>Korea Republic</v>
      </c>
      <c r="AF80" s="123">
        <f>VLOOKUP($AE80,$AE$8:$AQ$78,2,FALSE)</f>
        <v>1</v>
      </c>
      <c r="AG80" s="123">
        <f>VLOOKUP($AE80,$AE$8:$AQ$78,3,FALSE)</f>
        <v>0</v>
      </c>
      <c r="AH80" s="123">
        <f>VLOOKUP($AE80,$AE$8:$AQ$78,4,FALSE)</f>
        <v>2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3</v>
      </c>
      <c r="AP80" s="123">
        <f>AN80/AN92*10000+AM80/AM92*1000+AI80/AI92*100+IF(AQ80=0,ROW(),AQ80)/2000000</f>
        <v>6355.5563498855554</v>
      </c>
      <c r="AQ80" s="126">
        <f t="shared" ref="AQ80:AQ91" si="37">VLOOKUP($AE80,$AE$8:$AQ$78,13,FALSE)</f>
        <v>1588.66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Korea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Ⓚ DR Congo</v>
      </c>
      <c r="K81" s="97">
        <f>L81+M81+N81</f>
        <v>3</v>
      </c>
      <c r="L81" s="97">
        <f>VLOOKUP(1,$AD$80:$AN$91,3,FALSE)</f>
        <v>1</v>
      </c>
      <c r="M81" s="97">
        <f>VLOOKUP(1,$AD$80:$AN$91,4,FALSE)</f>
        <v>1</v>
      </c>
      <c r="N81" s="97">
        <f>VLOOKUP(1,$AD$80:$AN$91,5,FALSE)</f>
        <v>1</v>
      </c>
      <c r="O81" s="97" t="str">
        <f>VLOOKUP(1,$AD$80:$AN$91,6,FALSE) &amp; " - " &amp; VLOOKUP(1,$AD$80:$AN$91,7,FALSE)</f>
        <v>4 - 3</v>
      </c>
      <c r="P81" s="98">
        <f>L81*3+M81</f>
        <v>4</v>
      </c>
      <c r="AD81" s="123">
        <f t="shared" ref="AD81:AD91" si="38">COUNTIF($AP$80:$AP$91,CONCATENATE("&gt;=",AP81))</f>
        <v>5</v>
      </c>
      <c r="AE81" s="124" t="str">
        <f>J17</f>
        <v>Bosnia and Herzegovina</v>
      </c>
      <c r="AF81" s="123">
        <f t="shared" ref="AF81:AF91" si="39">VLOOKUP($AE81,$AE$8:$AQ$78,2,FALSE)</f>
        <v>1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5</v>
      </c>
      <c r="AJ81" s="123">
        <f t="shared" ref="AJ81:AJ90" si="42">VLOOKUP($AE81,$AE$8:$AQ$78,6,FALSE)</f>
        <v>6</v>
      </c>
      <c r="AK81" s="123" t="s">
        <v>3181</v>
      </c>
      <c r="AL81" s="123">
        <f t="shared" ref="AL81:AL90" si="43">VLOOKUP($AE81,$AE$8:$AQ$78,8,FALSE)</f>
        <v>-1</v>
      </c>
      <c r="AM81" s="123">
        <f t="shared" ref="AM81:AM91" si="44">AL81-$AL$92</f>
        <v>2</v>
      </c>
      <c r="AN81" s="123">
        <f t="shared" ref="AN81:AN90" si="45">VLOOKUP($AE81,$AE$8:$AQ$78,10,FALSE)</f>
        <v>4</v>
      </c>
      <c r="AP81" s="123">
        <f>AN81/AN92*10000+AM81/AM92*1000+AI81/AI92*100+IF(AQ81=0,ROW(),AQ81)/2000000</f>
        <v>8388.8895818088895</v>
      </c>
      <c r="AQ81" s="126">
        <f t="shared" si="37"/>
        <v>1385.84</v>
      </c>
      <c r="AR81" s="125" t="str">
        <f>AR80&amp;IF(AD81&lt;=8,RIGHT(AK81,1),"")</f>
        <v>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Ⓕ Sweden</v>
      </c>
      <c r="K82" s="100">
        <f t="shared" ref="K82:K92" si="47">L82+M82+N82</f>
        <v>3</v>
      </c>
      <c r="L82" s="100">
        <f>VLOOKUP(2,$AD$80:$AN$91,3,FALSE)</f>
        <v>1</v>
      </c>
      <c r="M82" s="100">
        <f>VLOOKUP(2,$AD$80:$AN$91,4,FALSE)</f>
        <v>1</v>
      </c>
      <c r="N82" s="100">
        <f>VLOOKUP(2,$AD$80:$AN$91,5,FALSE)</f>
        <v>1</v>
      </c>
      <c r="O82" s="100" t="str">
        <f>VLOOKUP(2,$AD$80:$AN$91,6,FALSE) &amp; " - " &amp; VLOOKUP(2,$AD$80:$AN$91,7,FALSE)</f>
        <v>7 - 7</v>
      </c>
      <c r="P82" s="101">
        <f t="shared" ref="P82:P92" si="48">L82*3+M82</f>
        <v>4</v>
      </c>
      <c r="AD82" s="123">
        <f t="shared" si="38"/>
        <v>11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2</v>
      </c>
      <c r="AI82" s="123">
        <f t="shared" si="41"/>
        <v>1</v>
      </c>
      <c r="AJ82" s="123">
        <f t="shared" si="42"/>
        <v>4</v>
      </c>
      <c r="AK82" s="123" t="s">
        <v>3182</v>
      </c>
      <c r="AL82" s="123">
        <f t="shared" si="43"/>
        <v>-3</v>
      </c>
      <c r="AM82" s="123">
        <f t="shared" si="44"/>
        <v>0</v>
      </c>
      <c r="AN82" s="123">
        <f t="shared" si="45"/>
        <v>3</v>
      </c>
      <c r="AP82" s="123">
        <f>AN82/AN92*10000+AM82/AM92*1000+AI82/AI92*100+IF(AQ82=0,ROW(),AQ82)/2000000</f>
        <v>6011.1118602861116</v>
      </c>
      <c r="AQ82" s="126">
        <f t="shared" si="37"/>
        <v>1498.35</v>
      </c>
      <c r="AR82" s="125" t="str">
        <f t="shared" ref="AR82:AR91" si="50">AR81&amp;IF(AD82&lt;=8,RIGHT(AK82,1),"")</f>
        <v>B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2">
      <c r="A83" s="73"/>
      <c r="B83" s="73"/>
      <c r="C83" s="154" t="s">
        <v>3183</v>
      </c>
      <c r="D83" s="155"/>
      <c r="E83" s="155"/>
      <c r="F83" s="155"/>
      <c r="G83" s="156"/>
      <c r="H83" s="75"/>
      <c r="I83" s="69"/>
      <c r="J83" s="99" t="str">
        <f>VLOOKUP(3,$AD$80:$AT$91,17,FALSE)</f>
        <v>Ⓔ Ecuador</v>
      </c>
      <c r="K83" s="100">
        <f t="shared" si="47"/>
        <v>3</v>
      </c>
      <c r="L83" s="100">
        <f>VLOOKUP(3,$AD$80:$AN$91,3,FALSE)</f>
        <v>1</v>
      </c>
      <c r="M83" s="100">
        <f>VLOOKUP(3,$AD$80:$AN$91,4,FALSE)</f>
        <v>1</v>
      </c>
      <c r="N83" s="100">
        <f>VLOOKUP(3,$AD$80:$AN$91,5,FALSE)</f>
        <v>1</v>
      </c>
      <c r="O83" s="100" t="str">
        <f>VLOOKUP(3,$AD$80:$AN$91,6,FALSE) &amp; " - " &amp; VLOOKUP(3,$AD$80:$AN$91,7,FALSE)</f>
        <v>2 - 2</v>
      </c>
      <c r="P83" s="101">
        <f t="shared" si="48"/>
        <v>4</v>
      </c>
      <c r="AD83" s="123">
        <f t="shared" si="38"/>
        <v>7</v>
      </c>
      <c r="AE83" s="124" t="str">
        <f>J29</f>
        <v>Paraguay</v>
      </c>
      <c r="AF83" s="123">
        <f t="shared" si="39"/>
        <v>1</v>
      </c>
      <c r="AG83" s="123">
        <f t="shared" si="49"/>
        <v>1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4</v>
      </c>
      <c r="AP83" s="123">
        <f>AN83/AN92*10000+AM83/AM92*1000+AI83/AI92*100+IF(AQ83=0,ROW(),AQ83)/2000000</f>
        <v>8188.8896406388894</v>
      </c>
      <c r="AQ83" s="126">
        <f t="shared" si="37"/>
        <v>1503.5</v>
      </c>
      <c r="AR83" s="125" t="str">
        <f t="shared" si="50"/>
        <v>BD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">
      <c r="A84" s="73"/>
      <c r="B84" s="73"/>
      <c r="C84" s="157"/>
      <c r="D84" s="158"/>
      <c r="E84" s="158"/>
      <c r="F84" s="158"/>
      <c r="G84" s="159"/>
      <c r="H84" s="75"/>
      <c r="I84" s="69"/>
      <c r="J84" s="99" t="str">
        <f>VLOOKUP(4,$AD$80:$AT$91,17,FALSE)</f>
        <v>Ⓛ Ghana</v>
      </c>
      <c r="K84" s="100">
        <f t="shared" si="47"/>
        <v>3</v>
      </c>
      <c r="L84" s="100">
        <f>VLOOKUP(4,$AD$80:$AN$91,3,FALSE)</f>
        <v>1</v>
      </c>
      <c r="M84" s="100">
        <f>VLOOKUP(4,$AD$80:$AN$91,4,FALSE)</f>
        <v>1</v>
      </c>
      <c r="N84" s="100">
        <f>VLOOKUP(4,$AD$80:$AN$91,5,FALSE)</f>
        <v>1</v>
      </c>
      <c r="O84" s="100" t="str">
        <f>VLOOKUP(4,$AD$80:$AN$91,6,FALSE) &amp; " - " &amp; VLOOKUP(4,$AD$80:$AN$91,7,FALSE)</f>
        <v>2 - 2</v>
      </c>
      <c r="P84" s="101">
        <f t="shared" si="48"/>
        <v>4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127" t="str" cm="1">
        <f t="array" ref="T84">IF(OR(S84="",S84="draw"),INDEX(T,86,lang),S84)</f>
        <v>Paraguay</v>
      </c>
      <c r="AD84" s="123">
        <f t="shared" si="38"/>
        <v>3</v>
      </c>
      <c r="AE84" s="124" t="str">
        <f>J35</f>
        <v>Ecuador</v>
      </c>
      <c r="AF84" s="123">
        <f t="shared" si="39"/>
        <v>1</v>
      </c>
      <c r="AG84" s="123">
        <f t="shared" si="49"/>
        <v>1</v>
      </c>
      <c r="AH84" s="123">
        <f t="shared" si="40"/>
        <v>1</v>
      </c>
      <c r="AI84" s="123">
        <f t="shared" si="41"/>
        <v>2</v>
      </c>
      <c r="AJ84" s="123">
        <f t="shared" si="42"/>
        <v>2</v>
      </c>
      <c r="AK84" s="123" t="s">
        <v>3185</v>
      </c>
      <c r="AL84" s="123">
        <f t="shared" si="43"/>
        <v>0</v>
      </c>
      <c r="AM84" s="123">
        <f t="shared" si="44"/>
        <v>3</v>
      </c>
      <c r="AN84" s="123">
        <f t="shared" si="45"/>
        <v>4</v>
      </c>
      <c r="AP84" s="123">
        <f>AN84/AN92*10000+AM84/AM92*1000+AI84/AI92*100+IF(AQ84=0,ROW(),AQ84)/2000000</f>
        <v>8522.2230196122218</v>
      </c>
      <c r="AQ84" s="126">
        <f t="shared" si="37"/>
        <v>1594.78</v>
      </c>
      <c r="AR84" s="125" t="str">
        <f t="shared" si="50"/>
        <v>BDE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">
      <c r="A85" s="73"/>
      <c r="B85" s="73"/>
      <c r="C85" s="157"/>
      <c r="D85" s="158"/>
      <c r="E85" s="158"/>
      <c r="F85" s="158"/>
      <c r="G85" s="159"/>
      <c r="H85" s="75"/>
      <c r="I85" s="69"/>
      <c r="J85" s="99" t="str">
        <f>VLOOKUP(5,$AD$80:$AT$91,17,FALSE)</f>
        <v>Ⓑ Bosnia and Herzegovina</v>
      </c>
      <c r="K85" s="100">
        <f t="shared" si="47"/>
        <v>3</v>
      </c>
      <c r="L85" s="100">
        <f>VLOOKUP(5,$AD$80:$AN$91,3,FALSE)</f>
        <v>1</v>
      </c>
      <c r="M85" s="100">
        <f>VLOOKUP(5,$AD$80:$AN$91,4,FALSE)</f>
        <v>1</v>
      </c>
      <c r="N85" s="100">
        <f>VLOOKUP(5,$AD$80:$AN$91,5,FALSE)</f>
        <v>1</v>
      </c>
      <c r="O85" s="100" t="str">
        <f>VLOOKUP(5,$AD$80:$AN$91,6,FALSE) &amp; " - " &amp; VLOOKUP(5,$AD$80:$AN$91,7,FALSE)</f>
        <v>5 - 6</v>
      </c>
      <c r="P85" s="101">
        <f t="shared" si="48"/>
        <v>4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127" t="str" cm="1">
        <f t="array" ref="T85">IF(OR(S85="",S85="draw"),INDEX(T,87,lang),S85)</f>
        <v>France</v>
      </c>
      <c r="AD85" s="123">
        <f t="shared" si="38"/>
        <v>2</v>
      </c>
      <c r="AE85" s="124" t="str">
        <f>J41</f>
        <v>Sweden</v>
      </c>
      <c r="AF85" s="123">
        <f t="shared" si="39"/>
        <v>1</v>
      </c>
      <c r="AG85" s="123">
        <f t="shared" si="49"/>
        <v>1</v>
      </c>
      <c r="AH85" s="123">
        <f t="shared" si="40"/>
        <v>1</v>
      </c>
      <c r="AI85" s="123">
        <f t="shared" si="41"/>
        <v>7</v>
      </c>
      <c r="AJ85" s="123">
        <f t="shared" si="42"/>
        <v>7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4</v>
      </c>
      <c r="AP85" s="123">
        <f>AN85/AN92*10000+AM85/AM92*1000+AI85/AI92*100+IF(AQ85=0,ROW(),AQ85)/2000000</f>
        <v>8577.7785351627772</v>
      </c>
      <c r="AQ85" s="126">
        <f t="shared" si="37"/>
        <v>1514.77</v>
      </c>
      <c r="AR85" s="125" t="str">
        <f t="shared" si="50"/>
        <v>BDEF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">
      <c r="A86" s="73"/>
      <c r="B86" s="73"/>
      <c r="C86" s="157"/>
      <c r="D86" s="158"/>
      <c r="E86" s="158"/>
      <c r="F86" s="158"/>
      <c r="G86" s="159"/>
      <c r="H86" s="75"/>
      <c r="I86" s="69"/>
      <c r="J86" s="99" t="str">
        <f>VLOOKUP(6,$AD$80:$AT$91,17,FALSE)</f>
        <v>Ⓙ Algeria</v>
      </c>
      <c r="K86" s="100">
        <f t="shared" si="47"/>
        <v>3</v>
      </c>
      <c r="L86" s="100">
        <f>VLOOKUP(6,$AD$80:$AN$91,3,FALSE)</f>
        <v>1</v>
      </c>
      <c r="M86" s="100">
        <f>VLOOKUP(6,$AD$80:$AN$91,4,FALSE)</f>
        <v>1</v>
      </c>
      <c r="N86" s="100">
        <f>VLOOKUP(6,$AD$80:$AN$91,5,FALSE)</f>
        <v>1</v>
      </c>
      <c r="O86" s="100" t="str">
        <f>VLOOKUP(6,$AD$80:$AN$91,6,FALSE) &amp; " - " &amp; VLOOKUP(6,$AD$80:$AN$91,7,FALSE)</f>
        <v>5 - 7</v>
      </c>
      <c r="P86" s="101">
        <f t="shared" si="48"/>
        <v>4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>Portugal</v>
      </c>
      <c r="T86" s="127" t="str" cm="1">
        <f t="array" ref="T86">IF(OR(S86="",S86="draw"),INDEX(T,88,lang),S86)</f>
        <v>Portugal</v>
      </c>
      <c r="AD86" s="123">
        <f t="shared" si="38"/>
        <v>9</v>
      </c>
      <c r="AE86" s="124" t="str">
        <f>J47</f>
        <v>Iran</v>
      </c>
      <c r="AF86" s="123">
        <f t="shared" si="39"/>
        <v>0</v>
      </c>
      <c r="AG86" s="123">
        <f t="shared" si="49"/>
        <v>3</v>
      </c>
      <c r="AH86" s="123">
        <f t="shared" si="40"/>
        <v>0</v>
      </c>
      <c r="AI86" s="123">
        <f t="shared" si="41"/>
        <v>3</v>
      </c>
      <c r="AJ86" s="123">
        <f t="shared" si="42"/>
        <v>3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3</v>
      </c>
      <c r="AP86" s="123">
        <f>AN86/AN92*10000+AM86/AM92*1000+AI86/AI92*100+IF(AQ86=0,ROW(),AQ86)/2000000</f>
        <v>6533.3341409833329</v>
      </c>
      <c r="AQ86" s="126">
        <f t="shared" si="37"/>
        <v>1615.3</v>
      </c>
      <c r="AR86" s="125" t="str">
        <f t="shared" si="50"/>
        <v>BDEF</v>
      </c>
      <c r="AS86" s="129" t="str">
        <f t="shared" si="46"/>
        <v/>
      </c>
      <c r="AT86" s="130" t="str">
        <f>"Ⓖ "&amp;AE86</f>
        <v>Ⓖ Iran</v>
      </c>
    </row>
    <row r="87" spans="1:46" ht="15" customHeight="1" x14ac:dyDescent="0.2">
      <c r="A87" s="73"/>
      <c r="B87" s="73"/>
      <c r="C87" s="157"/>
      <c r="D87" s="158"/>
      <c r="E87" s="158"/>
      <c r="F87" s="158"/>
      <c r="G87" s="159"/>
      <c r="H87" s="75"/>
      <c r="I87" s="69"/>
      <c r="J87" s="99" t="str">
        <f>VLOOKUP(7,$AD$80:$AT$91,17,FALSE)</f>
        <v>Ⓓ Paraguay</v>
      </c>
      <c r="K87" s="100">
        <f t="shared" si="47"/>
        <v>3</v>
      </c>
      <c r="L87" s="100">
        <f>VLOOKUP(7,$AD$80:$AN$91,3,FALSE)</f>
        <v>1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2 - 4</v>
      </c>
      <c r="P87" s="101">
        <f t="shared" si="48"/>
        <v>4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>Spain</v>
      </c>
      <c r="T87" s="127" t="str" cm="1">
        <f t="array" ref="T87">IF(OR(S87="",S87="draw"),INDEX(T,89,lang),S87)</f>
        <v>Spain</v>
      </c>
      <c r="AD87" s="123">
        <f t="shared" si="38"/>
        <v>12</v>
      </c>
      <c r="AE87" s="124" t="str">
        <f>J53</f>
        <v>Uruguay</v>
      </c>
      <c r="AF87" s="123">
        <f t="shared" si="39"/>
        <v>0</v>
      </c>
      <c r="AG87" s="123">
        <f t="shared" si="49"/>
        <v>2</v>
      </c>
      <c r="AH87" s="123">
        <f t="shared" si="40"/>
        <v>1</v>
      </c>
      <c r="AI87" s="123">
        <f t="shared" si="41"/>
        <v>3</v>
      </c>
      <c r="AJ87" s="123">
        <f t="shared" si="42"/>
        <v>4</v>
      </c>
      <c r="AK87" s="123" t="s">
        <v>3188</v>
      </c>
      <c r="AL87" s="123">
        <f t="shared" si="43"/>
        <v>-1</v>
      </c>
      <c r="AM87" s="123">
        <f t="shared" si="44"/>
        <v>2</v>
      </c>
      <c r="AN87" s="123">
        <f t="shared" si="45"/>
        <v>2</v>
      </c>
      <c r="AP87" s="123">
        <f>AN87/AN92*10000+AM87/AM92*1000+AI87/AI92*100+IF(AQ87=0,ROW(),AQ87)/2000000</f>
        <v>4366.6675032016665</v>
      </c>
      <c r="AQ87" s="126">
        <f t="shared" si="37"/>
        <v>1673.07</v>
      </c>
      <c r="AR87" s="125" t="str">
        <f t="shared" si="50"/>
        <v>BDEF</v>
      </c>
      <c r="AS87" s="129" t="str">
        <f t="shared" si="46"/>
        <v/>
      </c>
      <c r="AT87" s="130" t="str">
        <f>"Ⓗ "&amp;AE87</f>
        <v>Ⓗ Uruguay</v>
      </c>
    </row>
    <row r="88" spans="1:46" ht="15" customHeight="1" x14ac:dyDescent="0.2">
      <c r="A88" s="73"/>
      <c r="B88" s="73"/>
      <c r="C88" s="160"/>
      <c r="D88" s="161"/>
      <c r="E88" s="161"/>
      <c r="F88" s="161"/>
      <c r="G88" s="162"/>
      <c r="H88" s="75"/>
      <c r="I88" s="69"/>
      <c r="J88" s="99" t="str">
        <f>VLOOKUP(8,$AD$80:$AT$91,17,FALSE)</f>
        <v>Ⓘ Senegal</v>
      </c>
      <c r="K88" s="100">
        <f t="shared" si="47"/>
        <v>3</v>
      </c>
      <c r="L88" s="100">
        <f>VLOOKUP(8,$AD$80:$AN$91,3,FALSE)</f>
        <v>1</v>
      </c>
      <c r="M88" s="100">
        <f>VLOOKUP(8,$AD$80:$AN$91,4,FALSE)</f>
        <v>0</v>
      </c>
      <c r="N88" s="100">
        <f>VLOOKUP(8,$AD$80:$AN$91,5,FALSE)</f>
        <v>2</v>
      </c>
      <c r="O88" s="100" t="str">
        <f>VLOOKUP(8,$AD$80:$AN$91,6,FALSE) &amp; " - " &amp; VLOOKUP(8,$AD$80:$AN$91,7,FALSE)</f>
        <v>8 - 6</v>
      </c>
      <c r="P88" s="101">
        <f t="shared" si="48"/>
        <v>3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127" t="str" cm="1">
        <f t="array" ref="T88">IF(OR(S88="",S88="draw"),INDEX(T,90,lang),S88)</f>
        <v>Canada</v>
      </c>
      <c r="AD88" s="123">
        <f t="shared" si="38"/>
        <v>8</v>
      </c>
      <c r="AE88" s="124" t="str">
        <f>J59</f>
        <v>Senegal</v>
      </c>
      <c r="AF88" s="123">
        <f t="shared" si="39"/>
        <v>1</v>
      </c>
      <c r="AG88" s="123">
        <f t="shared" si="49"/>
        <v>0</v>
      </c>
      <c r="AH88" s="123">
        <f t="shared" si="40"/>
        <v>2</v>
      </c>
      <c r="AI88" s="123">
        <f t="shared" si="41"/>
        <v>8</v>
      </c>
      <c r="AJ88" s="123">
        <f t="shared" si="42"/>
        <v>6</v>
      </c>
      <c r="AK88" s="123" t="s">
        <v>3189</v>
      </c>
      <c r="AL88" s="123">
        <f t="shared" si="43"/>
        <v>2</v>
      </c>
      <c r="AM88" s="123">
        <f t="shared" si="44"/>
        <v>5</v>
      </c>
      <c r="AN88" s="123">
        <f t="shared" si="45"/>
        <v>3</v>
      </c>
      <c r="AP88" s="123">
        <f>AN88/AN92*10000+AM88/AM92*1000+AI88/AI92*100+IF(AQ88=0,ROW(),AQ88)/2000000</f>
        <v>6922.2230667172216</v>
      </c>
      <c r="AQ88" s="126">
        <f t="shared" si="37"/>
        <v>1688.99</v>
      </c>
      <c r="AR88" s="125" t="str">
        <f t="shared" si="50"/>
        <v>BDEFI</v>
      </c>
      <c r="AS88" s="129" t="str">
        <f t="shared" si="46"/>
        <v>Senegal</v>
      </c>
      <c r="AT88" s="130" t="str">
        <f>"Ⓘ "&amp;AE88</f>
        <v>Ⓘ Senegal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Ⓖ Iran</v>
      </c>
      <c r="K89" s="103">
        <f t="shared" si="47"/>
        <v>3</v>
      </c>
      <c r="L89" s="103">
        <f>VLOOKUP(9,$AD$80:$AN$91,3,FALSE)</f>
        <v>0</v>
      </c>
      <c r="M89" s="103">
        <f>VLOOKUP(9,$AD$80:$AN$91,4,FALSE)</f>
        <v>3</v>
      </c>
      <c r="N89" s="103">
        <f>VLOOKUP(9,$AD$80:$AN$91,5,FALSE)</f>
        <v>0</v>
      </c>
      <c r="O89" s="103" t="str">
        <f>VLOOKUP(9,$AD$80:$AN$91,6,FALSE) &amp; " - " &amp; VLOOKUP(9,$AD$80:$AN$91,7,FALSE)</f>
        <v>3 - 3</v>
      </c>
      <c r="P89" s="104">
        <f t="shared" si="48"/>
        <v>3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127" t="str" cm="1">
        <f t="array" ref="T89">IF(OR(S89="",S89="draw"),INDEX(T,91,lang),S89)</f>
        <v>Morocco</v>
      </c>
      <c r="AD89" s="123">
        <f t="shared" si="38"/>
        <v>6</v>
      </c>
      <c r="AE89" s="124" t="str">
        <f>J65</f>
        <v>Algeria</v>
      </c>
      <c r="AF89" s="123">
        <f t="shared" si="39"/>
        <v>1</v>
      </c>
      <c r="AG89" s="123">
        <f t="shared" si="49"/>
        <v>1</v>
      </c>
      <c r="AH89" s="123">
        <f t="shared" si="40"/>
        <v>1</v>
      </c>
      <c r="AI89" s="123">
        <f t="shared" si="41"/>
        <v>5</v>
      </c>
      <c r="AJ89" s="123">
        <f t="shared" si="42"/>
        <v>7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4</v>
      </c>
      <c r="AP89" s="123">
        <f>AN89/AN92*10000+AM89/AM92*1000+AI89/AI92*100+IF(AQ89=0,ROW(),AQ89)/2000000</f>
        <v>8222.2230043522231</v>
      </c>
      <c r="AQ89" s="126">
        <f t="shared" si="37"/>
        <v>1564.26</v>
      </c>
      <c r="AR89" s="125" t="str">
        <f t="shared" si="50"/>
        <v>BDEFIJ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Ⓐ Korea Republic</v>
      </c>
      <c r="K90" s="103">
        <f t="shared" si="47"/>
        <v>3</v>
      </c>
      <c r="L90" s="103">
        <f>VLOOKUP(10,$AD$80:$AN$91,3,FALSE)</f>
        <v>1</v>
      </c>
      <c r="M90" s="103">
        <f>VLOOKUP(10,$AD$80:$AN$91,4,FALSE)</f>
        <v>0</v>
      </c>
      <c r="N90" s="103">
        <f>VLOOKUP(10,$AD$80:$AN$91,5,FALSE)</f>
        <v>2</v>
      </c>
      <c r="O90" s="103" t="str">
        <f>VLOOKUP(10,$AD$80:$AN$91,6,FALSE) &amp; " - " &amp; VLOOKUP(10,$AD$80:$AN$91,7,FALSE)</f>
        <v>2 - 3</v>
      </c>
      <c r="P90" s="104">
        <f t="shared" si="48"/>
        <v>3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>United States</v>
      </c>
      <c r="T90" s="127" t="str" cm="1">
        <f t="array" ref="T90">IF(OR(S90="",S90="draw"),INDEX(T,92,lang),S90)</f>
        <v>United States</v>
      </c>
      <c r="AD90" s="123">
        <f t="shared" si="38"/>
        <v>1</v>
      </c>
      <c r="AE90" s="124" t="str">
        <f>J71</f>
        <v>DR Congo</v>
      </c>
      <c r="AF90" s="123">
        <f t="shared" si="39"/>
        <v>1</v>
      </c>
      <c r="AG90" s="123">
        <f t="shared" si="49"/>
        <v>1</v>
      </c>
      <c r="AH90" s="123">
        <f t="shared" si="40"/>
        <v>1</v>
      </c>
      <c r="AI90" s="123">
        <f t="shared" si="41"/>
        <v>4</v>
      </c>
      <c r="AJ90" s="123">
        <f t="shared" si="42"/>
        <v>3</v>
      </c>
      <c r="AK90" s="123" t="s">
        <v>3191</v>
      </c>
      <c r="AL90" s="123">
        <f t="shared" si="43"/>
        <v>1</v>
      </c>
      <c r="AM90" s="123">
        <f t="shared" si="44"/>
        <v>4</v>
      </c>
      <c r="AN90" s="123">
        <f t="shared" si="45"/>
        <v>4</v>
      </c>
      <c r="AP90" s="123">
        <f>AN90/AN92*10000+AM90/AM92*1000+AI90/AI92*100+IF(AQ90=0,ROW(),AQ90)/2000000</f>
        <v>8711.1118502861118</v>
      </c>
      <c r="AQ90" s="126">
        <f t="shared" si="37"/>
        <v>1478.35</v>
      </c>
      <c r="AR90" s="125" t="str">
        <f t="shared" si="50"/>
        <v>BDEFIJK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Ⓒ Scotland</v>
      </c>
      <c r="K91" s="103">
        <f t="shared" si="47"/>
        <v>3</v>
      </c>
      <c r="L91" s="103">
        <f>VLOOKUP(11,$AD$80:$AN$91,3,FALSE)</f>
        <v>1</v>
      </c>
      <c r="M91" s="103">
        <f>VLOOKUP(11,$AD$80:$AN$91,4,FALSE)</f>
        <v>0</v>
      </c>
      <c r="N91" s="103">
        <f>VLOOKUP(11,$AD$80:$AN$91,5,FALSE)</f>
        <v>2</v>
      </c>
      <c r="O91" s="103" t="str">
        <f>VLOOKUP(11,$AD$80:$AN$91,6,FALSE) &amp; " - " &amp; VLOOKUP(11,$AD$80:$AN$91,7,FALSE)</f>
        <v>1 - 4</v>
      </c>
      <c r="P91" s="104">
        <f t="shared" si="48"/>
        <v>3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127" t="str" cm="1">
        <f t="array" ref="T91">IF(OR(S91="",S91="draw"),INDEX(T,93,lang),S91)</f>
        <v>Belgium</v>
      </c>
      <c r="AD91" s="123">
        <f t="shared" si="38"/>
        <v>4</v>
      </c>
      <c r="AE91" s="124" t="str">
        <f>J77</f>
        <v>Ghana</v>
      </c>
      <c r="AF91" s="123">
        <f t="shared" si="39"/>
        <v>1</v>
      </c>
      <c r="AG91" s="123">
        <f t="shared" si="49"/>
        <v>1</v>
      </c>
      <c r="AH91" s="123">
        <f>VLOOKUP($AE91,$AE$8:$AQ$78,4,FALSE)</f>
        <v>1</v>
      </c>
      <c r="AI91" s="123">
        <f>VLOOKUP($AE91,$AE$8:$AQ$78,5,FALSE)</f>
        <v>2</v>
      </c>
      <c r="AJ91" s="123">
        <f>VLOOKUP($AE91,$AE$8:$AQ$78,6,FALSE)</f>
        <v>2</v>
      </c>
      <c r="AK91" s="123" t="s">
        <v>3192</v>
      </c>
      <c r="AL91" s="123">
        <f>VLOOKUP($AE91,$AE$8:$AQ$78,8,FALSE)</f>
        <v>0</v>
      </c>
      <c r="AM91" s="123">
        <f t="shared" si="44"/>
        <v>3</v>
      </c>
      <c r="AN91" s="123">
        <f>VLOOKUP($AE91,$AE$8:$AQ$78,10,FALSE)</f>
        <v>4</v>
      </c>
      <c r="AP91" s="123">
        <f>AN91/AN92*10000+AM91/AM92*1000+AI91/AI92*100+IF(AQ91=0,ROW(),AQ91)/2000000</f>
        <v>8522.2228953772228</v>
      </c>
      <c r="AQ91" s="126">
        <f t="shared" si="37"/>
        <v>1346.31</v>
      </c>
      <c r="AR91" s="125" t="str">
        <f t="shared" si="50"/>
        <v>BDEFIJKL</v>
      </c>
      <c r="AS91" s="129" t="str">
        <f t="shared" si="46"/>
        <v>Ghana</v>
      </c>
      <c r="AT91" s="130" t="str">
        <f>"Ⓛ "&amp;AE91</f>
        <v>Ⓛ Ghana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Ⓗ Uruguay</v>
      </c>
      <c r="K92" s="106">
        <f t="shared" si="47"/>
        <v>3</v>
      </c>
      <c r="L92" s="106">
        <f>VLOOKUP(12,$AD$80:$AN$91,3,FALSE)</f>
        <v>0</v>
      </c>
      <c r="M92" s="106">
        <f>VLOOKUP(12,$AD$80:$AN$91,4,FALSE)</f>
        <v>2</v>
      </c>
      <c r="N92" s="106">
        <f>VLOOKUP(12,$AD$80:$AN$91,5,FALSE)</f>
        <v>1</v>
      </c>
      <c r="O92" s="106" t="str">
        <f>VLOOKUP(12,$AD$80:$AN$91,6,FALSE) &amp; " - " &amp; VLOOKUP(12,$AD$80:$AN$91,7,FALSE)</f>
        <v>3 - 4</v>
      </c>
      <c r="P92" s="107">
        <f t="shared" si="48"/>
        <v>2</v>
      </c>
      <c r="AF92" s="123">
        <f>MAX(AF80:AF91)+1</f>
        <v>2</v>
      </c>
      <c r="AG92" s="123">
        <f>MAX(AG80:AG91)+1</f>
        <v>4</v>
      </c>
      <c r="AH92" s="123">
        <f>MAX(AH80:AH91)+1</f>
        <v>3</v>
      </c>
      <c r="AI92" s="123">
        <f>MAX(AI80:AI91)+1</f>
        <v>9</v>
      </c>
      <c r="AJ92" s="123">
        <f>MAX(AJ80:AJ91)+1</f>
        <v>8</v>
      </c>
      <c r="AL92" s="123">
        <f>MIN(AL80:AL91)</f>
        <v>-3</v>
      </c>
      <c r="AM92" s="123">
        <f>MAX(AM80:AM91)+1</f>
        <v>6</v>
      </c>
      <c r="AN92" s="123">
        <f>MAX(AN80:AN91)+1</f>
        <v>5</v>
      </c>
      <c r="AS92" s="126" t="b">
        <f>SUM(K9:K78)=144</f>
        <v>1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>France</v>
      </c>
      <c r="T95" s="127" t="str" cm="1">
        <f t="array" ref="T95">IF(OR(S95="",S95="draw"),INDEX(T,94,lang),S95)</f>
        <v>France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>Morocco</v>
      </c>
      <c r="T96" s="127" t="str" cm="1">
        <f t="array" ref="T96">IF(OR(S96="",S96="draw"),INDEX(T,95,lang),S96)</f>
        <v>Morocco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>Spain</v>
      </c>
      <c r="T97" s="127" t="str" cm="1">
        <f t="array" ref="T97">IF(OR(S97="",S97="draw"),INDEX(T,96,lang),S97)</f>
        <v>Spain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>Belgium</v>
      </c>
      <c r="T98" s="127" t="str" cm="1">
        <f t="array" ref="T98">IF(OR(S98="",S98="draw"),INDEX(T,97,lang),S98)</f>
        <v>Belgium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>France</v>
      </c>
      <c r="T102" s="127" t="str" cm="1">
        <f t="array" ref="T102">IF(OR(S102="",S102="draw"),INDEX(T,98,lang),S102)</f>
        <v>France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>Morocco</v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t="str" cm="1">
        <f t="array" ref="AC102">IF(OR(U102="",U102="draw"),INDEX(T,100,lang),U102)</f>
        <v>Morocco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67</v>
      </c>
      <c r="C3" s="121" t="str">
        <f>'2026 World Cup'!AR91</f>
        <v>BDEFIJKL</v>
      </c>
      <c r="D3" s="121" t="str">
        <f>VLOOKUP($C3,$C$6:$K$500,2,FALSE)</f>
        <v>3E</v>
      </c>
      <c r="E3" s="121" t="str">
        <f>VLOOKUP($C3,$C$6:$K$500,3,FALSE)</f>
        <v>3J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3I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3K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2026-07-10T17:38:23Z</dcterms:modified>
  <cp:category>Sports</cp:category>
  <cp:contentStatus/>
</cp:coreProperties>
</file>
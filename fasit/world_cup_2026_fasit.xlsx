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58B15C72-C3C3-47BC-B6DB-7EFDD20ACB4F}" xr6:coauthVersionLast="47" xr6:coauthVersionMax="47" xr10:uidLastSave="{00000000-0000-0000-0000-000000000000}"/>
  <bookViews>
    <workbookView xWindow="-38520" yWindow="0" windowWidth="38640" windowHeight="2112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T49" i="3" s="1"/>
  <c r="S68" i="3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S17" i="3"/>
  <c r="T17" i="3" s="1"/>
  <c r="S41" i="3"/>
  <c r="T41" i="3" s="1"/>
  <c r="S15" i="3"/>
  <c r="S61" i="3"/>
  <c r="S16" i="3"/>
  <c r="S39" i="3"/>
  <c r="T39" i="3" s="1"/>
  <c r="S66" i="3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S47" i="3"/>
  <c r="S67" i="3"/>
  <c r="T68" i="3"/>
  <c r="T48" i="3"/>
  <c r="T43" i="3"/>
  <c r="S72" i="3"/>
  <c r="T20" i="3"/>
  <c r="S70" i="3"/>
  <c r="S42" i="3"/>
  <c r="S64" i="3"/>
  <c r="T63" i="3"/>
  <c r="S40" i="3"/>
  <c r="S62" i="3"/>
  <c r="T15" i="3"/>
  <c r="T61" i="3"/>
  <c r="T16" i="3"/>
  <c r="S38" i="3"/>
  <c r="S65" i="3"/>
  <c r="T66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<sst xmlns="http://schemas.openxmlformats.org/spreadsheetml/2006/main" count="9786" uniqueCount="3698">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</sst>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54" zoomScaleNormal="100" workbookViewId="0">
      <selection activeCell="G60" sqref="G60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41">
        <v>73</v>
      </c>
      <c r="BL18" s="24" t="str">
        <f>AS9</f>
        <v>South Africa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Canada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Morocco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1</v>
      </c>
      <c r="AO33" s="123">
        <f>AN33/AN36*10+BA33</f>
        <v>2.4089635854341735</v>
      </c>
      <c r="AP33" s="123">
        <f>AO33*10000000+BI33*100+AM33/AM36*10+AI33/AI36*1++IF(AQ33=0,ROW(),AQ33)/2000000</f>
        <v>24089733.994204748</v>
      </c>
      <c r="AQ33" s="126">
        <f>VLOOKUP(AE33,db_fifarank,2,FALSE)</f>
        <v>1294.6500000000001</v>
      </c>
      <c r="AR33" s="125">
        <f>AP33/AP36</f>
        <v>0.28104685991960332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1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50</v>
      </c>
      <c r="BA33" s="126">
        <f>AZ33/AZ36</f>
        <v>0.98039215686274506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1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50</v>
      </c>
      <c r="BI33" s="126">
        <f>BH33/BH36</f>
        <v>0.98039215686274506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2</v>
      </c>
      <c r="L35" s="23">
        <f>VLOOKUP(3,AD32:AN35,3,FALSE)</f>
        <v>0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1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1</v>
      </c>
      <c r="AO35" s="123">
        <f>AN35/AN36*10+BA35</f>
        <v>2.4089635854341735</v>
      </c>
      <c r="AP35" s="123">
        <f>AO35*10000000+BI35*100+AM35/AM36*10+AI35/AI36*1++IF(AQ35=0,ROW(),AQ35)/2000000</f>
        <v>24089737.465783384</v>
      </c>
      <c r="AQ35" s="126">
        <f>VLOOKUP(AE35,db_fifarank,2,FALSE)</f>
        <v>1594.78</v>
      </c>
      <c r="AR35" s="125">
        <f>AP35/AP36</f>
        <v>0.28104690042134878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</v>
      </c>
      <c r="BA35" s="126">
        <f>AZ35/AZ36</f>
        <v>0.98039215686274506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</v>
      </c>
      <c r="BI35" s="126">
        <f>BH35/BH36</f>
        <v>0.98039215686274506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51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51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12</v>
      </c>
      <c r="AN38" s="123">
        <f>AF38*3+AG38</f>
        <v>4</v>
      </c>
      <c r="AO38" s="123">
        <f>AN38/AN42*10+BA38</f>
        <v>8.9806451612903224</v>
      </c>
      <c r="AP38" s="123">
        <f>AO38*10000000+BI38*100+AM38/AM42*10+AI38/AI42*1++IF(AQ38=0,ROW(),AQ38)/2000000</f>
        <v>89806559.784067512</v>
      </c>
      <c r="AQ38" s="126">
        <f>VLOOKUP(AE38,db_fifarank,2,FALSE)</f>
        <v>1757.87</v>
      </c>
      <c r="AR38" s="125">
        <f>AP38/AP42</f>
        <v>0.99999998886495611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2</v>
      </c>
      <c r="AL39" s="123">
        <f>AI39-AJ39</f>
        <v>4</v>
      </c>
      <c r="AM39" s="123">
        <f>AL39-AL42</f>
        <v>12</v>
      </c>
      <c r="AN39" s="123">
        <f>AF39*3+AG39</f>
        <v>4</v>
      </c>
      <c r="AO39" s="123">
        <f>AN39/AN42*10+BA39</f>
        <v>8.9806451612903224</v>
      </c>
      <c r="AP39" s="123">
        <f>AO39*10000000+BI39*100+AM39/AM42*10+AI39/AI42*1++IF(AQ39=0,ROW(),AQ39)/2000000</f>
        <v>89806559.6590188</v>
      </c>
      <c r="AQ39" s="126">
        <f>VLOOKUP(AE39,db_fifarank,2,FALSE)</f>
        <v>1660.43</v>
      </c>
      <c r="AR39" s="125">
        <f>AP39/AP42</f>
        <v>0.99999998747253316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2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6 - 2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1</v>
      </c>
      <c r="V40" s="123">
        <f t="shared" si="3"/>
        <v>0</v>
      </c>
      <c r="W40" s="123">
        <f t="shared" si="4"/>
        <v>0</v>
      </c>
      <c r="X40" s="123">
        <f t="shared" si="9"/>
        <v>1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8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60000006.904603533</v>
      </c>
      <c r="AQ40" s="126">
        <f>VLOOKUP(AE40,db_fifarank,2,FALSE)</f>
        <v>1514.77</v>
      </c>
      <c r="AR40" s="125">
        <f>AP40/AP42</f>
        <v>0.66810271299519663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2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1</v>
      </c>
      <c r="O41" s="23" t="str">
        <f>VLOOKUP(3,AD38:AN41,6,FALSE) &amp; " - " &amp; VLOOKUP(3,AD38:AN41,7,FALSE)</f>
        <v>6 - 6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2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9</v>
      </c>
      <c r="AL41" s="123">
        <f>AI41-AJ41</f>
        <v>-8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1.4001374053543276E-9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2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1 - 9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3</v>
      </c>
      <c r="AI42" s="123">
        <f>MAX(AI38:AI41)+1</f>
        <v>8</v>
      </c>
      <c r="AL42" s="123">
        <f>MIN(AL38:AL41)</f>
        <v>-8</v>
      </c>
      <c r="AM42" s="123">
        <f>MAX(AM38:AM41)+1</f>
        <v>13</v>
      </c>
      <c r="AN42" s="123">
        <f>MAX(AN38:AN41)+1</f>
        <v>5</v>
      </c>
      <c r="AO42" s="123">
        <f>MAX(AO38:AO41)+1</f>
        <v>9.9806451612903224</v>
      </c>
      <c r="AP42" s="123">
        <f>MAX(AP38:AP41)+1</f>
        <v>89806560.784067512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41">
        <v>76</v>
      </c>
      <c r="BL42" s="24" t="str">
        <f>AS20</f>
        <v>Brazil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1</v>
      </c>
      <c r="V43" s="123">
        <f t="shared" si="3"/>
        <v>2</v>
      </c>
      <c r="W43" s="123">
        <f t="shared" si="4"/>
        <v>2</v>
      </c>
      <c r="X43" s="123">
        <f t="shared" si="9"/>
        <v>1</v>
      </c>
      <c r="Y43" s="123">
        <f t="shared" si="10"/>
        <v>2</v>
      </c>
      <c r="Z43" s="123">
        <f t="shared" si="11"/>
        <v>2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2</v>
      </c>
      <c r="AN44" s="123">
        <f>AF44*3+AG44</f>
        <v>2</v>
      </c>
      <c r="AO44" s="123">
        <f>AN44/AN48*10+BA44</f>
        <v>4.9803921568627452</v>
      </c>
      <c r="AP44" s="123">
        <f>AO44*10000000+BI44*100+AM44/AM48*10+AI44/AI48*1++IF(AQ44=0,ROW(),AQ44)/2000000</f>
        <v>49804023.808710493</v>
      </c>
      <c r="AQ44" s="126">
        <f>VLOOKUP(AE44,db_fifarank,2,FALSE)</f>
        <v>1734.71</v>
      </c>
      <c r="AR44" s="125">
        <f>AP44/AP48</f>
        <v>0.62255022134039661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Egypt</v>
      </c>
      <c r="K45" s="31">
        <f>L45+M45+N45</f>
        <v>2</v>
      </c>
      <c r="L45" s="31">
        <f>VLOOKUP(1,AD44:AN47,3,FALSE)</f>
        <v>1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4 - 2</v>
      </c>
      <c r="P45" s="32">
        <f>L45*3+M45</f>
        <v>4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1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4</v>
      </c>
      <c r="AJ45" s="123">
        <f>SUMIF($E$7:$E$78,$AE45,$G$7:$G$78) + SUMIF($H$7:$H$78,$AE45,$F$7:$F$78)</f>
        <v>2</v>
      </c>
      <c r="AL45" s="123">
        <f>AI45-AJ45</f>
        <v>2</v>
      </c>
      <c r="AM45" s="123">
        <f>AL45-AL48</f>
        <v>4</v>
      </c>
      <c r="AN45" s="123">
        <f>AF45*3+AG45</f>
        <v>4</v>
      </c>
      <c r="AO45" s="123">
        <f>AN45/AN48*10+BA45</f>
        <v>8</v>
      </c>
      <c r="AP45" s="123">
        <f>AO45*10000000+BI45*100+AM45/AM48*10+AI45/AI48*1++IF(AQ45=0,ROW(),AQ45)/2000000</f>
        <v>80000008.800781623</v>
      </c>
      <c r="AQ45" s="126">
        <f>VLOOKUP(AE45,db_fifarank,2,FALSE)</f>
        <v>1563.24</v>
      </c>
      <c r="AR45" s="125">
        <f>AP45/AP48</f>
        <v>0.99999998750000152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Iran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2</v>
      </c>
      <c r="AN46" s="123">
        <f>AF46*3+AG46</f>
        <v>2</v>
      </c>
      <c r="AO46" s="123">
        <f>AN46/AN48*10+BA46</f>
        <v>4.9803921568627452</v>
      </c>
      <c r="AP46" s="123">
        <f>AO46*10000000+BI46*100+AM46/AM48*10+AI46/AI48*1++IF(AQ46=0,ROW(),AQ46)/2000000</f>
        <v>49804024.008650787</v>
      </c>
      <c r="AQ46" s="126">
        <f>VLOOKUP(AE46,db_fifarank,2,FALSE)</f>
        <v>1615.3</v>
      </c>
      <c r="AR46" s="125">
        <f>AP46/AP48</f>
        <v>0.62255022383964997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Belgium</v>
      </c>
      <c r="K47" s="23">
        <f>L47+M47+N47</f>
        <v>2</v>
      </c>
      <c r="L47" s="23">
        <f>VLOOKUP(3,AD44:AN47,3,FALSE)</f>
        <v>0</v>
      </c>
      <c r="M47" s="23">
        <f>VLOOKUP(3,AD44:AN47,4,FALSE)</f>
        <v>2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2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1</v>
      </c>
      <c r="AI47" s="123">
        <f>SUMIF($E$7:$E$78,$AE47,$F$7:$F$78) + SUMIF($H$7:$H$78,$AE47,$G$7:$G$78)</f>
        <v>3</v>
      </c>
      <c r="AJ47" s="123">
        <f>SUMIF($E$7:$E$78,$AE47,$G$7:$G$78) + SUMIF($H$7:$H$78,$AE47,$F$7:$F$78)</f>
        <v>5</v>
      </c>
      <c r="AL47" s="123">
        <f>AI47-AJ47</f>
        <v>-2</v>
      </c>
      <c r="AM47" s="123">
        <f>AL47-AL48</f>
        <v>0</v>
      </c>
      <c r="AN47" s="123">
        <f>AF47*3+AG47</f>
        <v>1</v>
      </c>
      <c r="AO47" s="123">
        <f>AN47/AN48*10+BA47</f>
        <v>2</v>
      </c>
      <c r="AP47" s="123">
        <f>AO47*10000000+BI47*100+AM47/AM48*10+AI47/AI48*1++IF(AQ47=0,ROW(),AQ47)/2000000</f>
        <v>20000000.600640785</v>
      </c>
      <c r="AQ47" s="126">
        <f>VLOOKUP(AE47,db_fifarank,2,FALSE)</f>
        <v>1281.57</v>
      </c>
      <c r="AR47" s="125">
        <f>AP47/AP48</f>
        <v>0.24999997688057007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2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1</v>
      </c>
      <c r="O48" s="36" t="str">
        <f>VLOOKUP(4,AD44:AN47,6,FALSE) &amp; " - " &amp; VLOOKUP(4,AD44:AN47,7,FALSE)</f>
        <v>3 - 5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2</v>
      </c>
      <c r="AH48" s="123">
        <f t="shared" si="24"/>
        <v>2</v>
      </c>
      <c r="AI48" s="123">
        <f>MAX(AI44:AI47)+1</f>
        <v>5</v>
      </c>
      <c r="AL48" s="123">
        <f>MIN(AL44:AL47)</f>
        <v>-2</v>
      </c>
      <c r="AM48" s="123">
        <f>MAX(AM44:AM47)+1</f>
        <v>5</v>
      </c>
      <c r="AN48" s="123">
        <f>MAX(AN44:AN47)+1</f>
        <v>5</v>
      </c>
      <c r="AO48" s="123">
        <f>MAX(AO44:AO47)+1</f>
        <v>9</v>
      </c>
      <c r="AP48" s="123">
        <f>MAX(AP44:AP47)+1</f>
        <v>80000009.800781623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Mexico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1</v>
      </c>
      <c r="V51" s="123">
        <f t="shared" si="21"/>
        <v>0</v>
      </c>
      <c r="W51" s="123">
        <f t="shared" si="22"/>
        <v>0</v>
      </c>
      <c r="X51" s="123">
        <f t="shared" si="9"/>
        <v>1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3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2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2</v>
      </c>
      <c r="AO51" s="123">
        <f>AN51/AN54*10+BA51</f>
        <v>4.9806451612903224</v>
      </c>
      <c r="AP51" s="123">
        <f>AO51*10000000+BI51*100+AM51/AM54*10+AI51/AI54*1++IF(AQ51=0,ROW(),AQ51)/2000000</f>
        <v>49806554.522546858</v>
      </c>
      <c r="AQ51" s="126">
        <f>VLOOKUP(AE51,db_fifarank,2,FALSE)</f>
        <v>1366.13</v>
      </c>
      <c r="AR51" s="125">
        <f>AP51/AP54</f>
        <v>0.62258184834068175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2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50.666666666666664</v>
      </c>
      <c r="BA51" s="126">
        <f>AZ51/AZ54</f>
        <v>0.98064516129032253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2</v>
      </c>
      <c r="BE51" s="126" cm="1">
        <f t="array" ref="BE51">SUMPRODUCT(($E$7:$E$78=AE51)*($X$7:$X$78)*($G$7:$G$78))+SUMPRODUCT(($H$7:$H$78=AE51)*($X$7:$X$78)*($F$7:$F$78))</f>
        <v>2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50.666666666666664</v>
      </c>
      <c r="BI51" s="126">
        <f>BH51/BH54</f>
        <v>0.98064516129032253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0</v>
      </c>
      <c r="M52" s="23">
        <f>VLOOKUP(2,AD50:AN53,4,FALSE)</f>
        <v>2</v>
      </c>
      <c r="N52" s="23">
        <f>VLOOKUP(2,AD50:AN53,5,FALSE)</f>
        <v>0</v>
      </c>
      <c r="O52" s="23" t="str">
        <f>VLOOKUP(2,AD50:AN53,6,FALSE) &amp; " - " &amp; VLOOKUP(2,AD50:AN53,7,FALSE)</f>
        <v>3 - 3</v>
      </c>
      <c r="P52" s="34">
        <f>L52*3+M52</f>
        <v>2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</v>
      </c>
      <c r="AP52" s="123">
        <f>AO52*10000000+BI52*100+AM52/AM54*10+AI52/AI54*1++IF(AQ52=0,ROW(),AQ52)/2000000</f>
        <v>20000000.200710714</v>
      </c>
      <c r="AQ52" s="126">
        <f>VLOOKUP(AE52,db_fifarank,2,FALSE)</f>
        <v>1421.43</v>
      </c>
      <c r="AR52" s="125">
        <f>AP52/AP54</f>
        <v>0.24999996910317837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Cape Verde</v>
      </c>
      <c r="K53" s="23">
        <f>L53+M53+N53</f>
        <v>2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0</v>
      </c>
      <c r="O53" s="23" t="str">
        <f>VLOOKUP(3,AD50:AN53,6,FALSE) &amp; " - " &amp; VLOOKUP(3,AD50:AN53,7,FALSE)</f>
        <v>2 - 2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3</v>
      </c>
      <c r="AL53" s="123">
        <f>AI53-AJ53</f>
        <v>0</v>
      </c>
      <c r="AM53" s="123">
        <f>AL53-AL54</f>
        <v>4</v>
      </c>
      <c r="AN53" s="123">
        <f>AF53*3+AG53</f>
        <v>2</v>
      </c>
      <c r="AO53" s="123">
        <f>AN53/AN54*10+BA53</f>
        <v>4.9806451612903224</v>
      </c>
      <c r="AP53" s="123">
        <f>AO53*10000000+BI53*100+AM53/AM54*10+AI53/AI54*1++IF(AQ53=0,ROW(),AQ53)/2000000</f>
        <v>49806554.722700335</v>
      </c>
      <c r="AQ53" s="126">
        <f>VLOOKUP(AE53,db_fifarank,2,FALSE)</f>
        <v>1673.07</v>
      </c>
      <c r="AR53" s="125">
        <f>AP53/AP54</f>
        <v>0.62258185084259998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2</v>
      </c>
      <c r="AW53" s="126" cm="1">
        <f t="array" ref="AW53">SUMPRODUCT(($E$7:$E$78=AE53)*($U$7:$U$78)*($G$7:$G$78))+SUMPRODUCT(($H$7:$H$78=AE53)*($U$7:$U$78)*($F$7:$F$78))</f>
        <v>2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50.666666666666664</v>
      </c>
      <c r="BA53" s="126">
        <f>AZ53/AZ54</f>
        <v>0.98064516129032253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2</v>
      </c>
      <c r="BE53" s="126" cm="1">
        <f t="array" ref="BE53">SUMPRODUCT(($E$7:$E$78=AE53)*($X$7:$X$78)*($G$7:$G$78))+SUMPRODUCT(($H$7:$H$78=AE53)*($X$7:$X$78)*($F$7:$F$78))</f>
        <v>2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50.666666666666664</v>
      </c>
      <c r="BI53" s="126">
        <f>BH53/BH54</f>
        <v>0.98064516129032253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2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2</v>
      </c>
      <c r="AG54" s="123">
        <f t="shared" si="25"/>
        <v>2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3</v>
      </c>
      <c r="AW54" s="126">
        <f>MAX(AW50:AW53)-MIN(AW50:AW53)+1</f>
        <v>3</v>
      </c>
      <c r="AY54" s="126">
        <f>MAX(AY50:AY53)-MIN(AY50:AY53)+1</f>
        <v>1</v>
      </c>
      <c r="AZ54" s="126">
        <f>MAX(AZ50:AZ53)+1</f>
        <v>51.666666666666664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3</v>
      </c>
      <c r="BE54" s="126">
        <f>MAX(BE50:BE53)-MIN(BE50:BE53)+1</f>
        <v>3</v>
      </c>
      <c r="BG54" s="126">
        <f>MAX(BG50:BG53)-MIN(BG50:BG53)+1</f>
        <v>1</v>
      </c>
      <c r="BH54" s="126">
        <f>MAX(BH50:BH53)+1</f>
        <v>51.666666666666664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2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6</v>
      </c>
      <c r="AJ56" s="123">
        <f>SUMIF($E$7:$E$78,$AE56,$G$7:$G$78) + SUMIF($H$7:$H$78,$AE56,$F$7:$F$78)</f>
        <v>1</v>
      </c>
      <c r="AL56" s="123">
        <f>AI56-AJ56</f>
        <v>5</v>
      </c>
      <c r="AM56" s="123">
        <f>AL56-AL60</f>
        <v>11</v>
      </c>
      <c r="AN56" s="123">
        <f>AF56*3+AG56</f>
        <v>6</v>
      </c>
      <c r="AO56" s="123">
        <f>AN56/AN60*10+BA56</f>
        <v>8.5714285714285712</v>
      </c>
      <c r="AP56" s="123">
        <f>AO56*10000000+BI56*100+AM56/AM60*10+AI56/AI60*1++IF(AQ56=0,ROW(),AQ56)/2000000</f>
        <v>85714295.631891042</v>
      </c>
      <c r="AQ56" s="126">
        <f>VLOOKUP(AE56,db_fifarank,2,FALSE)</f>
        <v>1877.32</v>
      </c>
      <c r="AR56" s="125">
        <f>AP56/AP60</f>
        <v>0.99999998833333481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2</v>
      </c>
      <c r="L57" s="31">
        <f>VLOOKUP(1,AD56:AN59,3,FALSE)</f>
        <v>2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6 - 1</v>
      </c>
      <c r="P57" s="32">
        <f>L57*3+M57</f>
        <v>6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3</v>
      </c>
      <c r="AJ57" s="123">
        <f>SUMIF($E$7:$E$78,$AE57,$G$7:$G$78) + SUMIF($H$7:$H$78,$AE57,$F$7:$F$78)</f>
        <v>6</v>
      </c>
      <c r="AL57" s="123">
        <f>AI57-AJ57</f>
        <v>-3</v>
      </c>
      <c r="AM57" s="123">
        <f>AL57-AL60</f>
        <v>3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2.8758444949999999</v>
      </c>
      <c r="AQ57" s="126">
        <f>VLOOKUP(AE57,db_fifarank,2,FALSE)</f>
        <v>1688.99</v>
      </c>
      <c r="AR57" s="125">
        <f>AP57/AP60</f>
        <v>3.35515148348077E-8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2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7 - 3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2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7</v>
      </c>
      <c r="AL58" s="123">
        <f>AI58-AJ58</f>
        <v>-6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0.12572357000000001</v>
      </c>
      <c r="AQ58" s="126">
        <f>VLOOKUP(AE58,db_fifarank,2,FALSE)</f>
        <v>1447.14</v>
      </c>
      <c r="AR58" s="125">
        <f>AP58/AP60</f>
        <v>1.466774796507203E-9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2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3 - 6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7</v>
      </c>
      <c r="AJ59" s="123">
        <f>SUMIF($E$7:$E$78,$AE59,$G$7:$G$78) + SUMIF($H$7:$H$78,$AE59,$F$7:$F$78)</f>
        <v>3</v>
      </c>
      <c r="AL59" s="123">
        <f>AI59-AJ59</f>
        <v>4</v>
      </c>
      <c r="AM59" s="123">
        <f>AL59-AL60</f>
        <v>10</v>
      </c>
      <c r="AN59" s="123">
        <f>AF59*3+AG59</f>
        <v>6</v>
      </c>
      <c r="AO59" s="123">
        <f>AN59/AN60*10+BA59</f>
        <v>8.5714285714285712</v>
      </c>
      <c r="AP59" s="123">
        <f>AO59*10000000+BI59*100+AM59/AM60*10+AI59/AI60*1++IF(AQ59=0,ROW(),AQ59)/2000000</f>
        <v>85714294.923394516</v>
      </c>
      <c r="AQ59" s="126">
        <f>VLOOKUP(AE59,db_fifarank,2,FALSE)</f>
        <v>1550.94</v>
      </c>
      <c r="AR59" s="125">
        <f>AP59/AP60</f>
        <v>0.99999998006754309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2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2</v>
      </c>
      <c r="O60" s="36" t="str">
        <f>VLOOKUP(4,AD56:AN59,6,FALSE) &amp; " - " &amp; VLOOKUP(4,AD56:AN59,7,FALSE)</f>
        <v>1 - 7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3</v>
      </c>
      <c r="AG60" s="123">
        <f t="shared" si="27"/>
        <v>1</v>
      </c>
      <c r="AH60" s="123">
        <f t="shared" si="27"/>
        <v>3</v>
      </c>
      <c r="AI60" s="123">
        <f>MAX(AI56:AI59)+1</f>
        <v>8</v>
      </c>
      <c r="AL60" s="123">
        <f>MIN(AL56:AL59)</f>
        <v>-6</v>
      </c>
      <c r="AM60" s="123">
        <f>MAX(AM56:AM59)+1</f>
        <v>12</v>
      </c>
      <c r="AN60" s="123">
        <f>MAX(AN56:AN59)+1</f>
        <v>7</v>
      </c>
      <c r="AO60" s="123">
        <f>MAX(AO56:AO59)+1</f>
        <v>9.5714285714285712</v>
      </c>
      <c r="AP60" s="123">
        <f>MAX(AP56:AP59)+1</f>
        <v>85714296.631891042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2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5</v>
      </c>
      <c r="AJ62" s="123">
        <f>SUMIF($E$7:$E$78,$AE62,$G$7:$G$78) + SUMIF($H$7:$H$78,$AE62,$F$7:$F$78)</f>
        <v>0</v>
      </c>
      <c r="AL62" s="123">
        <f>AI62-AJ62</f>
        <v>5</v>
      </c>
      <c r="AM62" s="123">
        <f>AL62-AL66</f>
        <v>8</v>
      </c>
      <c r="AN62" s="123">
        <f>AF62*3+AG62</f>
        <v>6</v>
      </c>
      <c r="AO62" s="123">
        <f>AN62/AN66*10+BA62</f>
        <v>8.5714285714285712</v>
      </c>
      <c r="AP62" s="123">
        <f>AO62*10000000+BI62*100+AM62/AM66*10+AI62/AI66*1++IF(AQ62=0,ROW(),AQ62)/2000000</f>
        <v>85714295.437445357</v>
      </c>
      <c r="AQ62" s="126">
        <f>VLOOKUP(AE62,db_fifarank,2,FALSE)</f>
        <v>1874.82</v>
      </c>
      <c r="AR62" s="125">
        <f>AP62/AP66</f>
        <v>0.99999998833333481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2</v>
      </c>
      <c r="L63" s="31">
        <f>VLOOKUP(1,AD62:AN65,3,FALSE)</f>
        <v>2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5 - 0</v>
      </c>
      <c r="P63" s="32">
        <f>L63*3+M63</f>
        <v>6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2</v>
      </c>
      <c r="AJ63" s="123">
        <f>SUMIF($E$7:$E$78,$AE63,$G$7:$G$78) + SUMIF($H$7:$H$78,$AE63,$F$7:$F$78)</f>
        <v>4</v>
      </c>
      <c r="AL63" s="123">
        <f>AI63-AJ63</f>
        <v>-2</v>
      </c>
      <c r="AM63" s="123">
        <f>AL63-AL66</f>
        <v>1</v>
      </c>
      <c r="AN63" s="123">
        <f>AF63*3+AG63</f>
        <v>3</v>
      </c>
      <c r="AO63" s="123">
        <f>AN63/AN66*10+BA63</f>
        <v>4.2857142857142856</v>
      </c>
      <c r="AP63" s="123">
        <f>AO63*10000000+BI63*100+AM63/AM66*10+AI63/AI66*1++IF(AQ63=0,ROW(),AQ63)/2000000</f>
        <v>42857144.302369438</v>
      </c>
      <c r="AQ63" s="126">
        <f>VLOOKUP(AE63,db_fifarank,2,FALSE)</f>
        <v>1564.26</v>
      </c>
      <c r="AR63" s="125">
        <f>AP63/AP66</f>
        <v>0.4999999543092179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2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1</v>
      </c>
      <c r="O64" s="23" t="str">
        <f>VLOOKUP(2,AD62:AN65,6,FALSE) &amp; " - " &amp; VLOOKUP(2,AD62:AN65,7,FALSE)</f>
        <v>3 - 3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1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3</v>
      </c>
      <c r="AL64" s="123">
        <f>AI64-AJ64</f>
        <v>0</v>
      </c>
      <c r="AM64" s="123">
        <f>AL64-AL66</f>
        <v>3</v>
      </c>
      <c r="AN64" s="123">
        <f>AF64*3+AG64</f>
        <v>3</v>
      </c>
      <c r="AO64" s="123">
        <f>AN64/AN66*10+BA64</f>
        <v>4.2857142857142856</v>
      </c>
      <c r="AP64" s="123">
        <f>AO64*10000000+BI64*100+AM64/AM66*10+AI64/AI66*1++IF(AQ64=0,ROW(),AQ64)/2000000</f>
        <v>42857146.691272922</v>
      </c>
      <c r="AQ64" s="126">
        <f>VLOOKUP(AE64,db_fifarank,2,FALSE)</f>
        <v>1593.45</v>
      </c>
      <c r="AR64" s="125">
        <f>AP64/AP66</f>
        <v>0.49999998217975505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2</v>
      </c>
      <c r="L65" s="23">
        <f>VLOOKUP(3,AD62:AN65,3,FALSE)</f>
        <v>1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2 - 4</v>
      </c>
      <c r="P65" s="34">
        <f>L65*3+M65</f>
        <v>3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2</v>
      </c>
      <c r="AI65" s="123">
        <f>SUMIF($E$7:$E$78,$AE65,$F$7:$F$78) + SUMIF($H$7:$H$78,$AE65,$G$7:$G$78)</f>
        <v>2</v>
      </c>
      <c r="AJ65" s="123">
        <f>SUMIF($E$7:$E$78,$AE65,$G$7:$G$78) + SUMIF($H$7:$H$78,$AE65,$F$7:$F$78)</f>
        <v>5</v>
      </c>
      <c r="AL65" s="123">
        <f>AI65-AJ65</f>
        <v>-3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3.8970051930264523E-9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2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2</v>
      </c>
      <c r="O66" s="36" t="str">
        <f>VLOOKUP(4,AD62:AN65,6,FALSE) &amp; " - " &amp; VLOOKUP(4,AD62:AN65,7,FALSE)</f>
        <v>2 - 5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3</v>
      </c>
      <c r="AG66" s="123">
        <f t="shared" si="28"/>
        <v>1</v>
      </c>
      <c r="AH66" s="123">
        <f t="shared" si="28"/>
        <v>3</v>
      </c>
      <c r="AI66" s="123">
        <f>MAX(AI62:AI65)+1</f>
        <v>6</v>
      </c>
      <c r="AL66" s="123">
        <f>MIN(AL62:AL65)</f>
        <v>-3</v>
      </c>
      <c r="AM66" s="123">
        <f>MAX(AM62:AM65)+1</f>
        <v>9</v>
      </c>
      <c r="AN66" s="123">
        <f>MAX(AN62:AN65)+1</f>
        <v>7</v>
      </c>
      <c r="AO66" s="123">
        <f>MAX(AO62:AO65)+1</f>
        <v>9.5714285714285712</v>
      </c>
      <c r="AP66" s="123">
        <f>MAX(AP62:AP65)+1</f>
        <v>85714296.437445357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Switzerland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12</v>
      </c>
      <c r="AN68" s="123">
        <f>AF68*3+AG68</f>
        <v>4</v>
      </c>
      <c r="AO68" s="123">
        <f>AN68/AN72*10+BA68</f>
        <v>5.7142857142857135</v>
      </c>
      <c r="AP68" s="123">
        <f>AO68*10000000+BI68*100+AM68/AM72*10+AI68/AI72*1++IF(AQ68=0,ROW(),AQ68)/2000000</f>
        <v>57142867.231651142</v>
      </c>
      <c r="AQ68" s="126">
        <f>VLOOKUP(AE68,db_fifarank,2,FALSE)</f>
        <v>1763.83</v>
      </c>
      <c r="AR68" s="125">
        <f>AP68/AP72</f>
        <v>0.66666671231139207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2</v>
      </c>
      <c r="L69" s="31">
        <f>VLOOKUP(1,AD68:AN71,3,FALSE)</f>
        <v>2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6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2</v>
      </c>
      <c r="AL69" s="123">
        <f>AI69-AJ69</f>
        <v>-1</v>
      </c>
      <c r="AM69" s="123">
        <f>AL69-AL72</f>
        <v>6</v>
      </c>
      <c r="AN69" s="123">
        <f>AF69*3+AG69</f>
        <v>1</v>
      </c>
      <c r="AO69" s="123">
        <f>AN69/AN72*10+BA69</f>
        <v>1.4285714285714284</v>
      </c>
      <c r="AP69" s="123">
        <f>AO69*10000000+BI69*100+AM69/AM72*10+AI69/AI72*1++IF(AQ69=0,ROW(),AQ69)/2000000</f>
        <v>14285719.044695219</v>
      </c>
      <c r="AQ69" s="126">
        <f>VLOOKUP(AE69,db_fifarank,2,FALSE)</f>
        <v>1478.35</v>
      </c>
      <c r="AR69" s="125">
        <f>AP69/AP72</f>
        <v>0.16666670417364024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2</v>
      </c>
      <c r="L70" s="23">
        <f>VLOOKUP(2,AD68:AN71,3,FALSE)</f>
        <v>1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4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2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8</v>
      </c>
      <c r="AL70" s="123">
        <f>AI70-AJ70</f>
        <v>-7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0.14358981285714284</v>
      </c>
      <c r="AQ70" s="126">
        <f>VLOOKUP(AE70,db_fifarank,2,FALSE)</f>
        <v>1465.34</v>
      </c>
      <c r="AR70" s="125">
        <f>AP70/AP72</f>
        <v>1.6752143022647808E-9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2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1 - 2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10</v>
      </c>
      <c r="AN71" s="123">
        <f>AF71*3+AG71</f>
        <v>6</v>
      </c>
      <c r="AO71" s="123">
        <f>AN71/AN72*10+BA71</f>
        <v>8.5714285714285712</v>
      </c>
      <c r="AP71" s="123">
        <f>AO71*10000000+BI71*100+AM71/AM72*10+AI71/AI72*1++IF(AQ71=0,ROW(),AQ71)/2000000</f>
        <v>85714293.978868529</v>
      </c>
      <c r="AQ71" s="126">
        <f>VLOOKUP(AE71,db_fifarank,2,FALSE)</f>
        <v>1693.09</v>
      </c>
      <c r="AR71" s="125">
        <f>AP71/AP72</f>
        <v>0.99999998833333459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2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2</v>
      </c>
      <c r="O72" s="36" t="str">
        <f>VLOOKUP(4,AD68:AN71,6,FALSE) &amp; " - " &amp; VLOOKUP(4,AD68:AN71,7,FALSE)</f>
        <v>1 - 8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3</v>
      </c>
      <c r="AG72" s="123">
        <f t="shared" si="35"/>
        <v>2</v>
      </c>
      <c r="AH72" s="123">
        <f t="shared" si="35"/>
        <v>3</v>
      </c>
      <c r="AI72" s="123">
        <f>MAX(AI68:AI71)+1</f>
        <v>7</v>
      </c>
      <c r="AL72" s="123">
        <f>MIN(AL68:AL71)</f>
        <v>-7</v>
      </c>
      <c r="AM72" s="123">
        <f>MAX(AM68:AM71)+1</f>
        <v>13</v>
      </c>
      <c r="AN72" s="123">
        <f>MAX(AN68:AN71)+1</f>
        <v>7</v>
      </c>
      <c r="AO72" s="123">
        <f>MAX(AO68:AO71)+1</f>
        <v>9.5714285714285712</v>
      </c>
      <c r="AP72" s="123">
        <f>MAX(AP68:AP71)+1</f>
        <v>85714294.978868529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4</v>
      </c>
      <c r="AO74" s="123">
        <f>AN74/AN78*10+BA74</f>
        <v>8.9803921568627452</v>
      </c>
      <c r="AP74" s="123">
        <f>AO74*10000000+BI74*100+AM74/AM78*10+AI74/AI78*1++IF(AQ74=0,ROW(),AQ74)/2000000</f>
        <v>89804028.408756107</v>
      </c>
      <c r="AQ74" s="126">
        <f>VLOOKUP(AE74,db_fifarank,2,FALSE)</f>
        <v>1825.97</v>
      </c>
      <c r="AR74" s="125">
        <f>AP74/AP78</f>
        <v>0.99999998886464214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1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50</v>
      </c>
      <c r="BA74" s="126">
        <f>AZ74/AZ78</f>
        <v>0.98039215686274506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1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50</v>
      </c>
      <c r="BI74" s="126">
        <f>BH74/BH78</f>
        <v>0.98039215686274506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2</v>
      </c>
      <c r="L75" s="31">
        <f>VLOOKUP(1,AD74:AN77,3,FALSE)</f>
        <v>1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4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3</v>
      </c>
      <c r="AE75" s="124" t="str">
        <f>VLOOKUP("Croatia",T,lang,FALSE)</f>
        <v>Croatia</v>
      </c>
      <c r="AF75" s="123">
        <f>COUNTIF($S$7:$T$78,"=" &amp; AE75 &amp; "_win")</f>
        <v>1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3</v>
      </c>
      <c r="AJ75" s="123">
        <f>SUMIF($E$7:$E$78,$AE75,$G$7:$G$78) + SUMIF($H$7:$H$78,$AE75,$F$7:$F$78)</f>
        <v>4</v>
      </c>
      <c r="AL75" s="123">
        <f>AI75-AJ75</f>
        <v>-1</v>
      </c>
      <c r="AM75" s="123">
        <f>AL75-AL78</f>
        <v>1</v>
      </c>
      <c r="AN75" s="123">
        <f>AF75*3+AG75</f>
        <v>3</v>
      </c>
      <c r="AO75" s="123">
        <f>AN75/AN78*10+BA75</f>
        <v>6</v>
      </c>
      <c r="AP75" s="123">
        <f>AO75*10000000+BI75*100+AM75/AM78*10+AI75/AI78*1++IF(AQ75=0,ROW(),AQ75)/2000000</f>
        <v>60000002.600858539</v>
      </c>
      <c r="AQ75" s="126">
        <f>VLOOKUP(AE75,db_fifarank,2,FALSE)</f>
        <v>1717.07</v>
      </c>
      <c r="AR75" s="125">
        <f>AP75/AP78</f>
        <v>0.66812149739695748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2</v>
      </c>
      <c r="L76" s="23">
        <f>VLOOKUP(2,AD74:AN77,3,FALSE)</f>
        <v>1</v>
      </c>
      <c r="M76" s="23">
        <f>VLOOKUP(2,AD74:AN77,4,FALSE)</f>
        <v>1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4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4</v>
      </c>
      <c r="AO76" s="123">
        <f>AN76/AN78*10+BA76</f>
        <v>8.9803921568627452</v>
      </c>
      <c r="AP76" s="123">
        <f>AO76*10000000+BI76*100+AM76/AM78*10+AI76/AI78*1++IF(AQ76=0,ROW(),AQ76)/2000000</f>
        <v>89804025.808516294</v>
      </c>
      <c r="AQ76" s="126">
        <f>VLOOKUP(AE76,db_fifarank,2,FALSE)</f>
        <v>1346.31</v>
      </c>
      <c r="AR76" s="125">
        <f>AP76/AP78</f>
        <v>0.99999995991004154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1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50</v>
      </c>
      <c r="BA76" s="126">
        <f>AZ76/AZ78</f>
        <v>0.98039215686274506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1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50</v>
      </c>
      <c r="BI76" s="126">
        <f>BH76/BH78</f>
        <v>0.98039215686274506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Croatia</v>
      </c>
      <c r="K77" s="23">
        <f>L77+M77+N77</f>
        <v>2</v>
      </c>
      <c r="L77" s="23">
        <f>VLOOKUP(3,AD74:AN77,3,FALSE)</f>
        <v>1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3 - 4</v>
      </c>
      <c r="P77" s="34">
        <f>L77*3+M77</f>
        <v>3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2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2</v>
      </c>
      <c r="AL77" s="123">
        <f>AI77-AJ77</f>
        <v>-2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8.5777888260868168E-12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2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2</v>
      </c>
      <c r="O78" s="36" t="str">
        <f>VLOOKUP(4,AD74:AN77,6,FALSE) &amp; " - " &amp; VLOOKUP(4,AD74:AN77,7,FALSE)</f>
        <v>0 - 2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2</v>
      </c>
      <c r="AH78" s="123">
        <f t="shared" si="36"/>
        <v>3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5</v>
      </c>
      <c r="AO78" s="123">
        <f>MAX(AO74:AO77)+1</f>
        <v>9.9803921568627452</v>
      </c>
      <c r="AP78" s="123">
        <f>MAX(AP74:AP77)+1</f>
        <v>89804029.408756107</v>
      </c>
      <c r="AT78" s="126">
        <f>MAX(AT74:AT77)-MIN(AT74:AT77)+1</f>
        <v>1</v>
      </c>
      <c r="AU78" s="126">
        <f>MAX(AU74:AU77)-MIN(AU74:AU77)+1</f>
        <v>2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51</v>
      </c>
      <c r="BB78" s="126">
        <f>MAX(BB74:BB77)-MIN(BB74:BB77)+1</f>
        <v>1</v>
      </c>
      <c r="BC78" s="126">
        <f>MAX(BC74:BC77)-MIN(BC74:BC77)+1</f>
        <v>2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51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4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6528.5722229014282</v>
      </c>
      <c r="AQ80" s="126">
        <f t="shared" ref="AQ80:AQ91" si="37">VLOOKUP($AE80,$AE$8:$AQ$78,13,FALSE)</f>
        <v>1588.66</v>
      </c>
      <c r="AR80" s="125" t="str">
        <f>IF(AD80&lt;=8,RIGHT(AK80,1),"")</f>
        <v>A</v>
      </c>
      <c r="AS80" s="129" t="str">
        <f>IF(AD80&lt;=8,AE80,"")</f>
        <v>Korea Republic</v>
      </c>
      <c r="AT80" s="130" t="str">
        <f>"Ⓐ "&amp;AE80</f>
        <v>Ⓐ Korea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Ⓑ Bosnia and Herzegovina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5 - 6</v>
      </c>
      <c r="P81" s="98">
        <f>L81*3+M81</f>
        <v>4</v>
      </c>
      <c r="AD81" s="123">
        <f t="shared" ref="AD81:AD91" si="38">COUNTIF($AP$80:$AP$91,CONCATENATE("&gt;=",AP81))</f>
        <v>1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8571.4292643485715</v>
      </c>
      <c r="AQ81" s="126">
        <f t="shared" si="37"/>
        <v>1385.84</v>
      </c>
      <c r="AR81" s="125" t="str">
        <f>AR80&amp;IF(AD81&lt;=8,RIGHT(AK81,1),"")</f>
        <v>AB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6 - 6</v>
      </c>
      <c r="P82" s="101">
        <f t="shared" ref="P82:P92" si="48">L82*3+M82</f>
        <v>3</v>
      </c>
      <c r="AD82" s="123">
        <f t="shared" si="38"/>
        <v>7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6014.2864634607149</v>
      </c>
      <c r="AQ82" s="126">
        <f t="shared" si="37"/>
        <v>1498.35</v>
      </c>
      <c r="AR82" s="125" t="str">
        <f t="shared" ref="AR82:AR91" si="50">AR81&amp;IF(AD82&lt;=8,RIGHT(AK82,1),"")</f>
        <v>ABC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Ⓛ Croatia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3 - 4</v>
      </c>
      <c r="P83" s="101">
        <f t="shared" si="48"/>
        <v>3</v>
      </c>
      <c r="AD83" s="123">
        <f t="shared" si="38"/>
        <v>6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6278.5721803214283</v>
      </c>
      <c r="AQ83" s="126">
        <f t="shared" si="37"/>
        <v>1503.5</v>
      </c>
      <c r="AR83" s="125" t="str">
        <f t="shared" si="50"/>
        <v>ABCD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Ⓐ Korea Republic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0</v>
      </c>
      <c r="N84" s="100">
        <f>VLOOKUP(4,$AD$80:$AN$91,5,FALSE)</f>
        <v>2</v>
      </c>
      <c r="O84" s="100" t="str">
        <f>VLOOKUP(4,$AD$80:$AN$91,6,FALSE) &amp; " - " &amp; VLOOKUP(4,$AD$80:$AN$91,7,FALSE)</f>
        <v>2 - 3</v>
      </c>
      <c r="P84" s="101">
        <f t="shared" si="48"/>
        <v>3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11</v>
      </c>
      <c r="AE84" s="124" t="str">
        <f>J35</f>
        <v>Ecuador</v>
      </c>
      <c r="AF84" s="123">
        <f t="shared" si="39"/>
        <v>0</v>
      </c>
      <c r="AG84" s="123">
        <f t="shared" si="49"/>
        <v>1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1</v>
      </c>
      <c r="AP84" s="123">
        <f>AN84/AN92*10000+AM84/AM92*1000+AI84/AI92*100+IF(AQ84=0,ROW(),AQ84)/2000000</f>
        <v>2500.0007973900001</v>
      </c>
      <c r="AQ84" s="126">
        <f t="shared" si="37"/>
        <v>1594.78</v>
      </c>
      <c r="AR84" s="125" t="str">
        <f t="shared" si="50"/>
        <v>ABCD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Ⓙ Algeria</v>
      </c>
      <c r="K85" s="100">
        <f t="shared" si="47"/>
        <v>2</v>
      </c>
      <c r="L85" s="100">
        <f>VLOOKUP(5,$AD$80:$AN$91,3,FALSE)</f>
        <v>1</v>
      </c>
      <c r="M85" s="100">
        <f>VLOOKUP(5,$AD$80:$AN$91,4,FALSE)</f>
        <v>0</v>
      </c>
      <c r="N85" s="100">
        <f>VLOOKUP(5,$AD$80:$AN$91,5,FALSE)</f>
        <v>1</v>
      </c>
      <c r="O85" s="100" t="str">
        <f>VLOOKUP(5,$AD$80:$AN$91,6,FALSE) &amp; " - " &amp; VLOOKUP(5,$AD$80:$AN$91,7,FALSE)</f>
        <v>2 - 4</v>
      </c>
      <c r="P85" s="101">
        <f t="shared" si="48"/>
        <v>3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1</v>
      </c>
      <c r="AI85" s="123">
        <f t="shared" si="41"/>
        <v>6</v>
      </c>
      <c r="AJ85" s="123">
        <f t="shared" si="42"/>
        <v>6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3</v>
      </c>
      <c r="AP85" s="123">
        <f>AN85/AN92*10000+AM85/AM92*1000+AI85/AI92*100+IF(AQ85=0,ROW(),AQ85)/2000000</f>
        <v>6835.7150430992851</v>
      </c>
      <c r="AQ85" s="126">
        <f t="shared" si="37"/>
        <v>1514.77</v>
      </c>
      <c r="AR85" s="125" t="str">
        <f t="shared" si="50"/>
        <v>ABCDF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Ⓓ Paraguay</v>
      </c>
      <c r="K86" s="100">
        <f t="shared" si="47"/>
        <v>2</v>
      </c>
      <c r="L86" s="100">
        <f>VLOOKUP(6,$AD$80:$AN$91,3,FALSE)</f>
        <v>1</v>
      </c>
      <c r="M86" s="100">
        <f>VLOOKUP(6,$AD$80:$AN$91,4,FALSE)</f>
        <v>0</v>
      </c>
      <c r="N86" s="100">
        <f>VLOOKUP(6,$AD$80:$AN$91,5,FALSE)</f>
        <v>1</v>
      </c>
      <c r="O86" s="100" t="str">
        <f>VLOOKUP(6,$AD$80:$AN$91,6,FALSE) &amp; " - " &amp; VLOOKUP(6,$AD$80:$AN$91,7,FALSE)</f>
        <v>2 - 4</v>
      </c>
      <c r="P86" s="101">
        <f t="shared" si="48"/>
        <v>3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9</v>
      </c>
      <c r="AE86" s="124" t="str">
        <f>J47</f>
        <v>Belgium</v>
      </c>
      <c r="AF86" s="123">
        <f t="shared" si="39"/>
        <v>0</v>
      </c>
      <c r="AG86" s="123">
        <f t="shared" si="49"/>
        <v>2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2</v>
      </c>
      <c r="AP86" s="123">
        <f>AN86/AN92*10000+AM86/AM92*1000+AI86/AI92*100+IF(AQ86=0,ROW(),AQ86)/2000000</f>
        <v>4764.2865816407148</v>
      </c>
      <c r="AQ86" s="126">
        <f t="shared" si="37"/>
        <v>1734.71</v>
      </c>
      <c r="AR86" s="125" t="str">
        <f t="shared" si="50"/>
        <v>ABCDF</v>
      </c>
      <c r="AS86" s="129" t="str">
        <f t="shared" si="46"/>
        <v/>
      </c>
      <c r="AT86" s="130" t="str">
        <f>"Ⓖ "&amp;AE86</f>
        <v>Ⓖ Belgium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Ⓒ Scotland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0</v>
      </c>
      <c r="N87" s="100">
        <f>VLOOKUP(7,$AD$80:$AN$91,5,FALSE)</f>
        <v>2</v>
      </c>
      <c r="O87" s="100" t="str">
        <f>VLOOKUP(7,$AD$80:$AN$91,6,FALSE) &amp; " - " &amp; VLOOKUP(7,$AD$80:$AN$91,7,FALSE)</f>
        <v>1 - 4</v>
      </c>
      <c r="P87" s="101">
        <f t="shared" si="48"/>
        <v>3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8</v>
      </c>
      <c r="AE87" s="124" t="str">
        <f>J53</f>
        <v>Cape Verde</v>
      </c>
      <c r="AF87" s="123">
        <f t="shared" si="39"/>
        <v>0</v>
      </c>
      <c r="AG87" s="123">
        <f t="shared" si="49"/>
        <v>2</v>
      </c>
      <c r="AH87" s="123">
        <f t="shared" si="40"/>
        <v>0</v>
      </c>
      <c r="AI87" s="123">
        <f t="shared" si="41"/>
        <v>2</v>
      </c>
      <c r="AJ87" s="123">
        <f t="shared" si="42"/>
        <v>2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2</v>
      </c>
      <c r="AP87" s="123">
        <f>AN87/AN92*10000+AM87/AM92*1000+AI87/AI92*100+IF(AQ87=0,ROW(),AQ87)/2000000</f>
        <v>4778.5721116364284</v>
      </c>
      <c r="AQ87" s="126">
        <f t="shared" si="37"/>
        <v>1366.13</v>
      </c>
      <c r="AR87" s="125" t="str">
        <f t="shared" si="50"/>
        <v>ABCDFH</v>
      </c>
      <c r="AS87" s="129" t="str">
        <f t="shared" si="46"/>
        <v>Cape Verde</v>
      </c>
      <c r="AT87" s="130" t="str">
        <f>"Ⓗ "&amp;AE87</f>
        <v>Ⓗ Cape Verde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Ⓗ Cape Verde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2</v>
      </c>
      <c r="N88" s="100">
        <f>VLOOKUP(8,$AD$80:$AN$91,5,FALSE)</f>
        <v>0</v>
      </c>
      <c r="O88" s="100" t="str">
        <f>VLOOKUP(8,$AD$80:$AN$91,6,FALSE) &amp; " - " &amp; VLOOKUP(8,$AD$80:$AN$91,7,FALSE)</f>
        <v>2 - 2</v>
      </c>
      <c r="P88" s="101">
        <f t="shared" si="48"/>
        <v>2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12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2</v>
      </c>
      <c r="AI88" s="123">
        <f t="shared" si="41"/>
        <v>3</v>
      </c>
      <c r="AJ88" s="123">
        <f t="shared" si="42"/>
        <v>6</v>
      </c>
      <c r="AK88" s="123" t="s">
        <v>3189</v>
      </c>
      <c r="AL88" s="123">
        <f t="shared" si="43"/>
        <v>-3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42.857987352142857</v>
      </c>
      <c r="AQ88" s="126">
        <f t="shared" si="37"/>
        <v>1688.99</v>
      </c>
      <c r="AR88" s="125" t="str">
        <f t="shared" si="50"/>
        <v>ABCDFH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Belgium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2</v>
      </c>
      <c r="N89" s="103">
        <f>VLOOKUP(9,$AD$80:$AN$91,5,FALSE)</f>
        <v>0</v>
      </c>
      <c r="O89" s="103" t="str">
        <f>VLOOKUP(9,$AD$80:$AN$91,6,FALSE) &amp; " - " &amp; VLOOKUP(9,$AD$80:$AN$91,7,FALSE)</f>
        <v>1 - 1</v>
      </c>
      <c r="P89" s="104">
        <f t="shared" si="48"/>
        <v>2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5</v>
      </c>
      <c r="AE89" s="124" t="str">
        <f>J65</f>
        <v>Algeria</v>
      </c>
      <c r="AF89" s="123">
        <f t="shared" si="39"/>
        <v>1</v>
      </c>
      <c r="AG89" s="123">
        <f t="shared" si="49"/>
        <v>0</v>
      </c>
      <c r="AH89" s="123">
        <f t="shared" si="40"/>
        <v>1</v>
      </c>
      <c r="AI89" s="123">
        <f t="shared" si="41"/>
        <v>2</v>
      </c>
      <c r="AJ89" s="123">
        <f t="shared" si="42"/>
        <v>4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3</v>
      </c>
      <c r="AP89" s="123">
        <f>AN89/AN92*10000+AM89/AM92*1000+AI89/AI92*100+IF(AQ89=0,ROW(),AQ89)/2000000</f>
        <v>6278.572210701428</v>
      </c>
      <c r="AQ89" s="126">
        <f t="shared" si="37"/>
        <v>1564.26</v>
      </c>
      <c r="AR89" s="125" t="str">
        <f t="shared" si="50"/>
        <v>ABCDFHJ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Ⓚ DR Congo</v>
      </c>
      <c r="K90" s="103">
        <f t="shared" si="47"/>
        <v>2</v>
      </c>
      <c r="L90" s="103">
        <f>VLOOKUP(10,$AD$80:$AN$91,3,FALSE)</f>
        <v>0</v>
      </c>
      <c r="M90" s="103">
        <f>VLOOKUP(10,$AD$80:$AN$91,4,FALSE)</f>
        <v>1</v>
      </c>
      <c r="N90" s="103">
        <f>VLOOKUP(10,$AD$80:$AN$91,5,FALSE)</f>
        <v>1</v>
      </c>
      <c r="O90" s="103" t="str">
        <f>VLOOKUP(10,$AD$80:$AN$91,6,FALSE) &amp; " - " &amp; VLOOKUP(10,$AD$80:$AN$91,7,FALSE)</f>
        <v>1 - 2</v>
      </c>
      <c r="P90" s="104">
        <f t="shared" si="48"/>
        <v>1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10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1</v>
      </c>
      <c r="AI90" s="123">
        <f t="shared" si="41"/>
        <v>1</v>
      </c>
      <c r="AJ90" s="123">
        <f t="shared" si="42"/>
        <v>2</v>
      </c>
      <c r="AK90" s="123" t="s">
        <v>3191</v>
      </c>
      <c r="AL90" s="123">
        <f t="shared" si="43"/>
        <v>-1</v>
      </c>
      <c r="AM90" s="123">
        <f t="shared" si="44"/>
        <v>2</v>
      </c>
      <c r="AN90" s="123">
        <f t="shared" si="45"/>
        <v>1</v>
      </c>
      <c r="AP90" s="123">
        <f>AN90/AN92*10000+AM90/AM92*1000+AI90/AI92*100+IF(AQ90=0,ROW(),AQ90)/2000000</f>
        <v>2514.2864534607143</v>
      </c>
      <c r="AQ90" s="126">
        <f t="shared" si="37"/>
        <v>1478.35</v>
      </c>
      <c r="AR90" s="125" t="str">
        <f t="shared" si="50"/>
        <v>ABCDFHJ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Ⓔ Ecuador</v>
      </c>
      <c r="K91" s="103">
        <f t="shared" si="47"/>
        <v>2</v>
      </c>
      <c r="L91" s="103">
        <f>VLOOKUP(11,$AD$80:$AN$91,3,FALSE)</f>
        <v>0</v>
      </c>
      <c r="M91" s="103">
        <f>VLOOKUP(11,$AD$80:$AN$91,4,FALSE)</f>
        <v>1</v>
      </c>
      <c r="N91" s="103">
        <f>VLOOKUP(11,$AD$80:$AN$91,5,FALSE)</f>
        <v>1</v>
      </c>
      <c r="O91" s="103" t="str">
        <f>VLOOKUP(11,$AD$80:$AN$91,6,FALSE) &amp; " - " &amp; VLOOKUP(11,$AD$80:$AN$91,7,FALSE)</f>
        <v>0 - 1</v>
      </c>
      <c r="P91" s="104">
        <f t="shared" si="48"/>
        <v>1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3</v>
      </c>
      <c r="AE91" s="124" t="str">
        <f>J77</f>
        <v>Croatia</v>
      </c>
      <c r="AF91" s="123">
        <f t="shared" si="39"/>
        <v>1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3</v>
      </c>
      <c r="AJ91" s="123">
        <f>VLOOKUP($AE91,$AE$8:$AQ$78,6,FALSE)</f>
        <v>4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3</v>
      </c>
      <c r="AP91" s="123">
        <f>AN91/AN92*10000+AM91/AM92*1000+AI91/AI92*100+IF(AQ91=0,ROW(),AQ91)/2000000</f>
        <v>6542.8580013921428</v>
      </c>
      <c r="AQ91" s="126">
        <f t="shared" si="37"/>
        <v>1717.07</v>
      </c>
      <c r="AR91" s="125" t="str">
        <f t="shared" si="50"/>
        <v>ABCDFHJL</v>
      </c>
      <c r="AS91" s="129" t="str">
        <f t="shared" si="46"/>
        <v>Croatia</v>
      </c>
      <c r="AT91" s="130" t="str">
        <f>"Ⓛ "&amp;AE91</f>
        <v>Ⓛ Croatia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Ⓘ Senegal</v>
      </c>
      <c r="K92" s="106">
        <f t="shared" si="47"/>
        <v>2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2</v>
      </c>
      <c r="O92" s="106" t="str">
        <f>VLOOKUP(12,$AD$80:$AN$91,6,FALSE) &amp; " - " &amp; VLOOKUP(12,$AD$80:$AN$91,7,FALSE)</f>
        <v>3 - 6</v>
      </c>
      <c r="P92" s="107">
        <f t="shared" si="48"/>
        <v>0</v>
      </c>
      <c r="AF92" s="123">
        <f>MAX(AF80:AF91)+1</f>
        <v>2</v>
      </c>
      <c r="AG92" s="123">
        <f>MAX(AG80:AG91)+1</f>
        <v>3</v>
      </c>
      <c r="AH92" s="123">
        <f>MAX(AH80:AH91)+1</f>
        <v>3</v>
      </c>
      <c r="AI92" s="123">
        <f>MAX(AI80:AI91)+1</f>
        <v>7</v>
      </c>
      <c r="AJ92" s="123">
        <f>MAX(AJ80:AJ91)+1</f>
        <v>7</v>
      </c>
      <c r="AL92" s="123">
        <f>MIN(AL80:AL91)</f>
        <v>-3</v>
      </c>
      <c r="AM92" s="123">
        <f>MAX(AM80:AM91)+1</f>
        <v>4</v>
      </c>
      <c r="AN92" s="123">
        <f>MAX(AN80:AN91)+1</f>
        <v>5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446</v>
      </c>
      <c r="C3" s="121" t="str">
        <f>'2026 World Cup'!AR91</f>
        <v>ABCDFHJL</v>
      </c>
      <c r="D3" s="121" t="str">
        <f>VLOOKUP($C3,$C$6:$K$500,2,FALSE)</f>
        <v>3C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3H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2026-06-25T08:17:56Z</dcterms:modified>
  <cp:category>Sports</cp:category>
  <cp:contentStatus/>
</cp:coreProperties>
</file>
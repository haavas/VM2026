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0228E2A8-4687-468C-A561-6E8EC8F849A6}" xr6:coauthVersionLast="47" xr6:coauthVersionMax="47" xr10:uidLastSave="{00000000-0000-0000-0000-000000000000}"/>
  <bookViews>
    <workbookView xWindow="6120" yWindow="2910" windowWidth="28800" windowHeight="15345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23" i="3"/>
  <c r="T48" i="3"/>
  <c r="T43" i="3"/>
  <c r="S72" i="3"/>
  <c r="T19" i="3"/>
  <c r="T20" i="3"/>
  <c r="T44" i="3"/>
  <c r="T46" i="3"/>
  <c r="S70" i="3"/>
  <c r="T21" i="3"/>
  <c r="T45" i="3"/>
  <c r="S42" i="3"/>
  <c r="S64" i="3"/>
  <c r="T63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69" i="3" l="1"/>
  <c r="AR71" i="3"/>
  <c r="AR70" i="3"/>
  <c r="AR27" i="3"/>
  <c r="AR28" i="3"/>
  <c r="AR29" i="3"/>
  <c r="AR21" i="3"/>
  <c r="AR9" i="3"/>
  <c r="AR10" i="3"/>
  <c r="AR11" i="3"/>
  <c r="AD9" i="3" s="1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N58" i="3" s="1"/>
  <c r="AR16" i="3"/>
  <c r="AR17" i="3"/>
  <c r="AD59" i="3"/>
  <c r="AD68" i="3" l="1"/>
  <c r="AD70" i="3"/>
  <c r="M72" i="3" s="1"/>
  <c r="AD71" i="3"/>
  <c r="AD69" i="3"/>
  <c r="N71" i="3" s="1"/>
  <c r="AD75" i="3"/>
  <c r="AD28" i="3"/>
  <c r="AD8" i="3"/>
  <c r="N12" i="3" s="1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M76" i="3" s="1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N45" i="3" s="1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M51" i="3" s="1"/>
  <c r="N59" i="3"/>
  <c r="AD17" i="3"/>
  <c r="L69" i="3"/>
  <c r="M69" i="3"/>
  <c r="N69" i="3"/>
  <c r="O69" i="3"/>
  <c r="L70" i="3"/>
  <c r="M70" i="3"/>
  <c r="N70" i="3"/>
  <c r="O70" i="3"/>
  <c r="L71" i="3"/>
  <c r="M71" i="3"/>
  <c r="N72" i="3"/>
  <c r="O72" i="3"/>
  <c r="J71" i="3"/>
  <c r="AE90" i="3" s="1"/>
  <c r="AQ90" i="3" s="1"/>
  <c r="J70" i="3"/>
  <c r="AS69" i="3" s="1"/>
  <c r="BL26" i="3" s="1"/>
  <c r="J69" i="3"/>
  <c r="AS68" i="3" s="1"/>
  <c r="BL70" i="3" s="1"/>
  <c r="J72" i="3" l="1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P12" i="3" s="1"/>
  <c r="J29" i="3"/>
  <c r="AE83" i="3" s="1"/>
  <c r="AQ83" i="3" s="1"/>
  <c r="N9" i="3"/>
  <c r="K9" i="3" s="1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P76" i="3" s="1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AF90" i="3"/>
  <c r="AG90" i="3"/>
  <c r="AH90" i="3"/>
  <c r="AI90" i="3"/>
  <c r="AJ90" i="3"/>
  <c r="AL90" i="3"/>
  <c r="AN90" i="3"/>
  <c r="AT90" i="3"/>
  <c r="P72" i="3"/>
  <c r="K72" i="3"/>
  <c r="P71" i="3"/>
  <c r="K71" i="3"/>
  <c r="P70" i="3"/>
  <c r="K70" i="3"/>
  <c r="P69" i="3"/>
  <c r="K69" i="3"/>
  <c r="P9" i="3" l="1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/>
  <c r="AP85" i="3"/>
  <c r="AP83" i="3" l="1"/>
  <c r="AP82" i="3"/>
  <c r="AP88" i="3"/>
  <c r="AP90" i="3"/>
  <c r="AP86" i="3"/>
  <c r="AP81" i="3"/>
  <c r="AD81" i="3" s="1"/>
  <c r="AS81" i="3" s="1"/>
  <c r="AP89" i="3"/>
  <c r="AP84" i="3"/>
  <c r="AD84" i="3" s="1"/>
  <c r="AS84" i="3" s="1"/>
  <c r="AP80" i="3"/>
  <c r="AD82" i="3" s="1"/>
  <c r="AS82" i="3" s="1"/>
  <c r="AD85" i="3"/>
  <c r="AS85" i="3" s="1"/>
  <c r="AD89" i="3"/>
  <c r="AS89" i="3" s="1"/>
  <c r="AD86" i="3"/>
  <c r="AS86" i="3" s="1"/>
  <c r="AD83" i="3" l="1"/>
  <c r="AS83" i="3" s="1"/>
  <c r="AD91" i="3"/>
  <c r="AS91" i="3" s="1"/>
  <c r="AD87" i="3"/>
  <c r="AS87" i="3" s="1"/>
  <c r="AD80" i="3"/>
  <c r="N84" i="3" s="1"/>
  <c r="AD88" i="3"/>
  <c r="AS88" i="3" s="1"/>
  <c r="AD90" i="3"/>
  <c r="AS90" i="3" s="1"/>
  <c r="O87" i="3" l="1"/>
  <c r="N87" i="3"/>
  <c r="L92" i="3"/>
  <c r="N91" i="3"/>
  <c r="AS80" i="3"/>
  <c r="J92" i="3"/>
  <c r="O84" i="3"/>
  <c r="M81" i="3"/>
  <c r="P81" i="3" s="1"/>
  <c r="J91" i="3"/>
  <c r="M92" i="3"/>
  <c r="M82" i="3"/>
  <c r="O81" i="3"/>
  <c r="O83" i="3"/>
  <c r="M86" i="3"/>
  <c r="M83" i="3"/>
  <c r="K83" i="3" s="1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P91" i="3" s="1"/>
  <c r="L88" i="3"/>
  <c r="L87" i="3"/>
  <c r="J81" i="3"/>
  <c r="O90" i="3"/>
  <c r="J86" i="3"/>
  <c r="O86" i="3"/>
  <c r="N86" i="3"/>
  <c r="J89" i="3"/>
  <c r="N85" i="3"/>
  <c r="O85" i="3"/>
  <c r="M85" i="3"/>
  <c r="P85" i="3" s="1"/>
  <c r="N89" i="3"/>
  <c r="N90" i="3"/>
  <c r="P83" i="3"/>
  <c r="P92" i="3" l="1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<sst xmlns="http://schemas.openxmlformats.org/spreadsheetml/2006/main" count="9786" uniqueCount="3698">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</sst>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19" sqref="G19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/>
      <c r="G20" s="20"/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/>
      </c>
      <c r="T20" s="127" t="str">
        <f t="shared" si="2"/>
        <v/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 t="str">
        <f t="shared" si="6"/>
        <v/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0</v>
      </c>
      <c r="AO50" s="123">
        <f>AN50/AN54*10+BA50</f>
        <v>0</v>
      </c>
      <c r="AP50" s="123">
        <f>AO50*10000000+BI50*100+AM50/AM54*10+AI50/AI54*1++IF(AQ50=0,ROW(),AQ50)/2000000</f>
        <v>9.3820000000000004E-4</v>
      </c>
      <c r="AQ50" s="126">
        <f>VLOOKUP(AE50,db_fifarank,2,FALSE)</f>
        <v>1876.4</v>
      </c>
      <c r="AR50" s="125">
        <f>AP50/AP54</f>
        <v>9.3732060580763133E-4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0</v>
      </c>
      <c r="L51" s="31">
        <f>VLOOKUP(1,AD50:AN53,3,FALSE)</f>
        <v>0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0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6.8242474910039407E-4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0</v>
      </c>
      <c r="L52" s="23">
        <f>VLOOKUP(2,AD50:AN53,3,FALSE)</f>
        <v>0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0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7.1004883218564344E-4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8.3575089850702075E-4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1</v>
      </c>
      <c r="AO54" s="123">
        <f>MAX(AO50:AO53)+1</f>
        <v>1</v>
      </c>
      <c r="AP54" s="123">
        <f>MAX(AP50:AP53)+1</f>
        <v>1.0009382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3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Ⓑ Qatar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Ⓙ Algeria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11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BC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Ⓖ Egypt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BCF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Ⓘ Norway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5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0</v>
      </c>
      <c r="AP86" s="123">
        <f>AN86/AN92*10000+AM86/AM92*1000+AI86/AI92*100+IF(AQ86=0,ROW(),AQ86)/2000000</f>
        <v>666.66744828666663</v>
      </c>
      <c r="AQ86" s="126">
        <f t="shared" si="37"/>
        <v>1563.24</v>
      </c>
      <c r="AR86" s="125" t="str">
        <f t="shared" si="50"/>
        <v>BCFG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2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Ⓛ Panama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9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0</v>
      </c>
      <c r="AP87" s="123">
        <f>AN87/AN92*10000+AM87/AM92*1000+AI87/AI92*100+IF(AQ87=0,ROW(),AQ87)/2000000</f>
        <v>666.6673773816666</v>
      </c>
      <c r="AQ87" s="126">
        <f t="shared" si="37"/>
        <v>1421.43</v>
      </c>
      <c r="AR87" s="125" t="str">
        <f t="shared" si="50"/>
        <v>BCFG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Ⓚ DR Congo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6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2</v>
      </c>
      <c r="AN88" s="123">
        <f t="shared" si="45"/>
        <v>0</v>
      </c>
      <c r="AP88" s="123">
        <f>AN88/AN92*10000+AM88/AM92*1000+AI88/AI92*100+IF(AQ88=0,ROW(),AQ88)/2000000</f>
        <v>666.66744213666664</v>
      </c>
      <c r="AQ88" s="126">
        <f t="shared" si="37"/>
        <v>1550.94</v>
      </c>
      <c r="AR88" s="125" t="str">
        <f t="shared" si="50"/>
        <v>BCFGI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Ⓗ Saudi Arabia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4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666.66744879666658</v>
      </c>
      <c r="AQ89" s="126">
        <f t="shared" si="37"/>
        <v>1564.26</v>
      </c>
      <c r="AR89" s="125" t="str">
        <f t="shared" si="50"/>
        <v>BCFGIJ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Czech Republic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1 - 2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8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666.66740584166666</v>
      </c>
      <c r="AQ90" s="126">
        <f t="shared" si="37"/>
        <v>1478.35</v>
      </c>
      <c r="AR90" s="125" t="str">
        <f t="shared" si="50"/>
        <v>BCFGIJK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Ⓔ Ecuador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0 - 1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7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BCFGIJKL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3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84</v>
      </c>
      <c r="C3" s="121" t="str">
        <f>'2026 World Cup'!AR91</f>
        <v>BCFGIJKL</v>
      </c>
      <c r="D3" s="121" t="str">
        <f>VLOOKUP($C3,$C$6:$K$500,2,FALSE)</f>
        <v>3I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2026-06-15T06:18:23Z</dcterms:modified>
  <cp:category>Sports</cp:category>
  <cp:contentStatus/>
</cp:coreProperties>
</file>
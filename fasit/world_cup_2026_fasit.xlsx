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CD1E16B3-64B4-4CFF-8CD3-C8C0AEA41E3B}" xr6:coauthVersionLast="47" xr6:coauthVersionMax="47" xr10:uidLastSave="{00000000-0000-0000-0000-000000000000}"/>
  <bookViews>
    <workbookView xWindow="6120" yWindow="2910" windowWidth="28800" windowHeight="1534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69" i="3" l="1"/>
  <c r="AR71" i="3"/>
  <c r="AR70" i="3"/>
  <c r="AR27" i="3"/>
  <c r="AR28" i="3"/>
  <c r="AR29" i="3"/>
  <c r="AR21" i="3"/>
  <c r="AR9" i="3"/>
  <c r="AR10" i="3"/>
  <c r="AR11" i="3"/>
  <c r="AD9" i="3" s="1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8" i="3" l="1"/>
  <c r="AD70" i="3"/>
  <c r="AD71" i="3"/>
  <c r="AD69" i="3"/>
  <c r="N71" i="3" s="1"/>
  <c r="AD75" i="3"/>
  <c r="AD28" i="3"/>
  <c r="AD8" i="3"/>
  <c r="N12" i="3" s="1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M76" i="3" s="1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N45" i="3" s="1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M51" i="3" s="1"/>
  <c r="N59" i="3"/>
  <c r="AD17" i="3"/>
  <c r="L69" i="3"/>
  <c r="M69" i="3"/>
  <c r="N69" i="3"/>
  <c r="O69" i="3"/>
  <c r="L70" i="3"/>
  <c r="M70" i="3"/>
  <c r="N70" i="3"/>
  <c r="O70" i="3"/>
  <c r="L71" i="3"/>
  <c r="M71" i="3"/>
  <c r="J70" i="3"/>
  <c r="AS69" i="3" s="1"/>
  <c r="BL26" i="3" s="1"/>
  <c r="J69" i="3"/>
  <c r="AS68" i="3" s="1"/>
  <c r="BL70" i="3" s="1"/>
  <c r="O72" i="3" l="1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P12" i="3" s="1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P76" i="3" s="1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K9" i="3" l="1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/>
  <c r="AP85" i="3"/>
  <c r="AP83" i="3" l="1"/>
  <c r="AP82" i="3"/>
  <c r="AP88" i="3"/>
  <c r="AP90" i="3"/>
  <c r="AP86" i="3"/>
  <c r="AP81" i="3"/>
  <c r="AP89" i="3"/>
  <c r="AP84" i="3"/>
  <c r="AD84" i="3" s="1"/>
  <c r="AS84" i="3" s="1"/>
  <c r="AP80" i="3"/>
  <c r="AD82" i="3" s="1"/>
  <c r="AS82" i="3" s="1"/>
  <c r="AD85" i="3"/>
  <c r="AS85" i="3" s="1"/>
  <c r="AD89" i="3"/>
  <c r="AS89" i="3" s="1"/>
  <c r="AD86" i="3"/>
  <c r="AS86" i="3" s="1"/>
  <c r="AD81" i="3" l="1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P81" i="3" s="1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P85" i="3" s="1"/>
  <c r="N89" i="3"/>
  <c r="N90" i="3"/>
  <c r="P83" i="3" l="1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<sst xmlns="http://schemas.openxmlformats.org/spreadsheetml/2006/main" count="9786" uniqueCount="3698">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</sst>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21" sqref="G21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5.9803921568627452</v>
      </c>
      <c r="AP50" s="123">
        <f>AO50*10000000+BI50*100+AM50/AM54*10+AI50/AI54*1++IF(AQ50=0,ROW(),AQ50)/2000000</f>
        <v>59804019.608781338</v>
      </c>
      <c r="AQ50" s="126">
        <f>VLOOKUP(AE50,db_fifarank,2,FALSE)</f>
        <v>1876.4</v>
      </c>
      <c r="AR50" s="125">
        <f>AP50/AP54</f>
        <v>0.9999999832787162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50</v>
      </c>
      <c r="BA50" s="126">
        <f>AZ50/AZ54</f>
        <v>0.98039215686274506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50</v>
      </c>
      <c r="BI50" s="126">
        <f>BH50/BH54</f>
        <v>0.98039215686274506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5.9803921568627452</v>
      </c>
      <c r="AP51" s="123">
        <f>AO51*10000000+BI51*100+AM51/AM54*10+AI51/AI54*1++IF(AQ51=0,ROW(),AQ51)/2000000</f>
        <v>59804019.6085262</v>
      </c>
      <c r="AQ51" s="126">
        <f>VLOOKUP(AE51,db_fifarank,2,FALSE)</f>
        <v>1366.13</v>
      </c>
      <c r="AR51" s="125">
        <f>AP51/AP54</f>
        <v>0.99999998327444994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</v>
      </c>
      <c r="BA51" s="126">
        <f>AZ51/AZ54</f>
        <v>0.98039215686274506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</v>
      </c>
      <c r="BI51" s="126">
        <f>BH51/BH54</f>
        <v>0.98039215686274506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Cape Verde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1.1884067204264892E-11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Uruguay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1.3987939129918085E-11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Saudi Arabia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2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6.9803921568627452</v>
      </c>
      <c r="AP54" s="123">
        <f>MAX(AP50:AP53)+1</f>
        <v>59804020.608781338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51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51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3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Ⓑ Qatar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Ⓗ Uruguay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11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Ⓙ Algeria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Ⓖ Egypt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6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0</v>
      </c>
      <c r="AP86" s="123">
        <f>AN86/AN92*10000+AM86/AM92*1000+AI86/AI92*100+IF(AQ86=0,ROW(),AQ86)/2000000</f>
        <v>666.66744828666663</v>
      </c>
      <c r="AQ86" s="126">
        <f t="shared" si="37"/>
        <v>1563.24</v>
      </c>
      <c r="AR86" s="125" t="str">
        <f t="shared" si="50"/>
        <v>BCFG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Ⓘ Norway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4</v>
      </c>
      <c r="AE87" s="124" t="str">
        <f>J53</f>
        <v>Uruguay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0</v>
      </c>
      <c r="AP87" s="123">
        <f>AN87/AN92*10000+AM87/AM92*1000+AI87/AI92*100+IF(AQ87=0,ROW(),AQ87)/2000000</f>
        <v>666.66750320166659</v>
      </c>
      <c r="AQ87" s="126">
        <f t="shared" si="37"/>
        <v>1673.07</v>
      </c>
      <c r="AR87" s="125" t="str">
        <f t="shared" si="50"/>
        <v>BCFGH</v>
      </c>
      <c r="AS87" s="129" t="str">
        <f t="shared" si="46"/>
        <v>Uruguay</v>
      </c>
      <c r="AT87" s="130" t="str">
        <f>"Ⓗ "&amp;AE87</f>
        <v>Ⓗ Uruguay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Ⓛ Panama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7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666.66744213666664</v>
      </c>
      <c r="AQ88" s="126">
        <f t="shared" si="37"/>
        <v>1550.94</v>
      </c>
      <c r="AR88" s="125" t="str">
        <f t="shared" si="50"/>
        <v>BCFGHI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5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666.66744879666658</v>
      </c>
      <c r="AQ89" s="126">
        <f t="shared" si="37"/>
        <v>1564.26</v>
      </c>
      <c r="AR89" s="125" t="str">
        <f t="shared" si="50"/>
        <v>BCFGHIJ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Czech Republic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1 - 2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BCFGHIJ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Ⓔ Ecuador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8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BCFGHIJL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3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87</v>
      </c>
      <c r="C3" s="121" t="str">
        <f>'2026 World Cup'!AR91</f>
        <v>BCFGHIJL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2026-06-15T18:58:12Z</dcterms:modified>
  <cp:category>Sports</cp:category>
  <cp:contentStatus/>
</cp:coreProperties>
</file>
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20F109AC-820C-C946-86F6-D5DD9F3784ED}" xr6:coauthVersionLast="47" xr6:coauthVersionMax="47" xr10:uidLastSave="{00000000-0000-0000-0000-000000000000}"/>
  <bookViews>
    <workbookView xWindow="0" yWindow="660" windowWidth="302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88" i="3" a="1"/>
  <c r="T89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D77" i="3" a="1"/>
  <c r="BE76" i="3" a="1"/>
  <c r="BD76" i="3" a="1"/>
  <c r="BE75" i="3" a="1"/>
  <c r="BD75" i="3" a="1"/>
  <c r="BE74" i="3" a="1"/>
  <c r="BD74" i="3" a="1"/>
  <c r="BE71" i="3" a="1"/>
  <c r="BD71" i="3" a="1"/>
  <c r="BE70" i="3" a="1"/>
  <c r="BD70" i="3" a="1"/>
  <c r="BE69" i="3" a="1"/>
  <c r="BD69" i="3" a="1"/>
  <c r="BE68" i="3" a="1"/>
  <c r="BD68" i="3" a="1"/>
  <c r="BE65" i="3" a="1"/>
  <c r="BD65" i="3" a="1"/>
  <c r="BE64" i="3" a="1"/>
  <c r="BD64" i="3" a="1"/>
  <c r="BE63" i="3" a="1"/>
  <c r="BD63" i="3" a="1"/>
  <c r="BE62" i="3" a="1"/>
  <c r="BD62" i="3" a="1"/>
  <c r="BE59" i="3" a="1"/>
  <c r="BD59" i="3" a="1"/>
  <c r="BE58" i="3" a="1"/>
  <c r="BD58" i="3" a="1"/>
  <c r="BE57" i="3" a="1"/>
  <c r="BD57" i="3" a="1"/>
  <c r="BE56" i="3" a="1"/>
  <c r="BD56" i="3" a="1"/>
  <c r="BE53" i="3" a="1"/>
  <c r="BD53" i="3" a="1"/>
  <c r="BE52" i="3" a="1"/>
  <c r="BD52" i="3" a="1"/>
  <c r="BE51" i="3" a="1"/>
  <c r="BD51" i="3" a="1"/>
  <c r="BE50" i="3" a="1"/>
  <c r="BD50" i="3" a="1"/>
  <c r="BE47" i="3" a="1"/>
  <c r="BD47" i="3" a="1"/>
  <c r="BE46" i="3" a="1"/>
  <c r="BD46" i="3" a="1"/>
  <c r="BE45" i="3" a="1"/>
  <c r="BD45" i="3" a="1"/>
  <c r="BE44" i="3" a="1"/>
  <c r="BD44" i="3" a="1"/>
  <c r="BE41" i="3" a="1"/>
  <c r="BD41" i="3" a="1"/>
  <c r="BE40" i="3" a="1"/>
  <c r="BD40" i="3" a="1"/>
  <c r="BE39" i="3" a="1"/>
  <c r="BD39" i="3" a="1"/>
  <c r="BE38" i="3" a="1"/>
  <c r="BD38" i="3" a="1"/>
  <c r="BE35" i="3" a="1"/>
  <c r="BD35" i="3" a="1"/>
  <c r="BE34" i="3" a="1"/>
  <c r="BD34" i="3" a="1"/>
  <c r="BE33" i="3" a="1"/>
  <c r="BD33" i="3" a="1"/>
  <c r="BE32" i="3" a="1"/>
  <c r="BD32" i="3" a="1"/>
  <c r="BE29" i="3" a="1"/>
  <c r="BD29" i="3" a="1"/>
  <c r="BE28" i="3" a="1"/>
  <c r="BD28" i="3" a="1"/>
  <c r="BE27" i="3" a="1"/>
  <c r="BD27" i="3" a="1"/>
  <c r="BE26" i="3" a="1"/>
  <c r="BD26" i="3" a="1"/>
  <c r="BE23" i="3" a="1"/>
  <c r="BD23" i="3" a="1"/>
  <c r="BE22" i="3" a="1"/>
  <c r="BD22" i="3" a="1"/>
  <c r="BE21" i="3" a="1"/>
  <c r="BD21" i="3" a="1"/>
  <c r="BE20" i="3" a="1"/>
  <c r="BD20" i="3" a="1"/>
  <c r="BE17" i="3" a="1"/>
  <c r="BD17" i="3" a="1"/>
  <c r="BE16" i="3" a="1"/>
  <c r="BD16" i="3" a="1"/>
  <c r="BE15" i="3" a="1"/>
  <c r="BD15" i="3" a="1"/>
  <c r="BE14" i="3" a="1"/>
  <c r="BD14" i="3" a="1"/>
  <c r="BE11" i="3" a="1"/>
  <c r="BD11" i="3" a="1"/>
  <c r="BE10" i="3" a="1"/>
  <c r="BD10" i="3" a="1"/>
  <c r="BE9" i="3" a="1"/>
  <c r="BD9" i="3" a="1"/>
  <c r="BE8" i="3" a="1"/>
  <c r="BD8" i="3" a="1"/>
  <c r="BC77" i="3" a="1"/>
  <c r="BB77" i="3" a="1"/>
  <c r="BC76" i="3" a="1"/>
  <c r="BB76" i="3" a="1"/>
  <c r="BC75" i="3" a="1"/>
  <c r="BB75" i="3" a="1"/>
  <c r="BC74" i="3" a="1"/>
  <c r="BB74" i="3" a="1"/>
  <c r="BC71" i="3" a="1"/>
  <c r="BB71" i="3" a="1"/>
  <c r="BC70" i="3" a="1"/>
  <c r="BB70" i="3" a="1"/>
  <c r="BC69" i="3" a="1"/>
  <c r="BB69" i="3" a="1"/>
  <c r="BC68" i="3" a="1"/>
  <c r="BB68" i="3" a="1"/>
  <c r="BC65" i="3" a="1"/>
  <c r="BB65" i="3" a="1"/>
  <c r="BC64" i="3" a="1"/>
  <c r="BB64" i="3" a="1"/>
  <c r="BC63" i="3" a="1"/>
  <c r="BB63" i="3" a="1"/>
  <c r="BC62" i="3" a="1"/>
  <c r="BB62" i="3" a="1"/>
  <c r="BC59" i="3" a="1"/>
  <c r="BB59" i="3" a="1"/>
  <c r="BC58" i="3" a="1"/>
  <c r="BB58" i="3" a="1"/>
  <c r="BC57" i="3" a="1"/>
  <c r="BB57" i="3" a="1"/>
  <c r="BC56" i="3" a="1"/>
  <c r="BB56" i="3" a="1"/>
  <c r="BC53" i="3" a="1"/>
  <c r="BB53" i="3" a="1"/>
  <c r="BC52" i="3" a="1"/>
  <c r="BB52" i="3" a="1"/>
  <c r="BC51" i="3" a="1"/>
  <c r="BB51" i="3" a="1"/>
  <c r="BC50" i="3" a="1"/>
  <c r="BB50" i="3" a="1"/>
  <c r="BC47" i="3" a="1"/>
  <c r="BB47" i="3" a="1"/>
  <c r="BC46" i="3" a="1"/>
  <c r="BB46" i="3" a="1"/>
  <c r="BC45" i="3" a="1"/>
  <c r="BB45" i="3" a="1"/>
  <c r="BC44" i="3" a="1"/>
  <c r="BB44" i="3" a="1"/>
  <c r="BC41" i="3" a="1"/>
  <c r="BB41" i="3" a="1"/>
  <c r="BC40" i="3" a="1"/>
  <c r="BB40" i="3" a="1"/>
  <c r="BC39" i="3" a="1"/>
  <c r="BB39" i="3" a="1"/>
  <c r="BC38" i="3" a="1"/>
  <c r="BB38" i="3" a="1"/>
  <c r="BC35" i="3" a="1"/>
  <c r="BB35" i="3" a="1"/>
  <c r="BC34" i="3" a="1"/>
  <c r="BB34" i="3" a="1"/>
  <c r="BC33" i="3" a="1"/>
  <c r="BB33" i="3" a="1"/>
  <c r="BC32" i="3" a="1"/>
  <c r="BB32" i="3" a="1"/>
  <c r="BC29" i="3" a="1"/>
  <c r="BB29" i="3" a="1"/>
  <c r="BC28" i="3" a="1"/>
  <c r="BB28" i="3" a="1"/>
  <c r="BC27" i="3" a="1"/>
  <c r="BB27" i="3" a="1"/>
  <c r="BC26" i="3" a="1"/>
  <c r="BB26" i="3" a="1"/>
  <c r="BC23" i="3" a="1"/>
  <c r="BB23" i="3" a="1"/>
  <c r="BC22" i="3" a="1"/>
  <c r="BB22" i="3" a="1"/>
  <c r="BC21" i="3" a="1"/>
  <c r="BB21" i="3" a="1"/>
  <c r="BC20" i="3" a="1"/>
  <c r="BB20" i="3" a="1"/>
  <c r="BC17" i="3" a="1"/>
  <c r="BB17" i="3" a="1"/>
  <c r="BC16" i="3" a="1"/>
  <c r="BB16" i="3" a="1"/>
  <c r="BC15" i="3" a="1"/>
  <c r="BB15" i="3" a="1"/>
  <c r="BC14" i="3" a="1"/>
  <c r="BB14" i="3" a="1"/>
  <c r="BC11" i="3" a="1"/>
  <c r="BB11" i="3" a="1"/>
  <c r="BC10" i="3" a="1"/>
  <c r="BB10" i="3" a="1"/>
  <c r="BC9" i="3" a="1"/>
  <c r="BB9" i="3" a="1"/>
  <c r="BC8" i="3" a="1"/>
  <c r="BB8" i="3" a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8" i="3" l="1"/>
  <c r="AD57" i="3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BS13" i="3"/>
  <c r="S84" i="3"/>
  <c r="T84" i="3" s="1" a="1"/>
  <c r="BS12" i="3"/>
  <c r="AM92" i="3" l="1"/>
  <c r="AP87" i="3" s="1"/>
  <c r="BZ16" i="3"/>
  <c r="S95" i="3"/>
  <c r="T95" i="3" s="1" a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<sst xmlns="http://schemas.openxmlformats.org/spreadsheetml/2006/main" count="9786" uniqueCount="3698">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</sst>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B38" zoomScaleNormal="100" workbookViewId="0">
      <selection activeCell="G73" sqref="G73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>A</v>
      </c>
      <c r="AS80" s="129" t="str">
        <f>IF(AD80&lt;=8,AE80,"")</f>
        <v>Korea Republic</v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7 - 7</v>
      </c>
      <c r="P81" s="98">
        <f>L81*3+M81</f>
        <v>4</v>
      </c>
      <c r="AD81" s="123">
        <f t="shared" ref="AD81:AD91" si="38">COUNTIF($AP$80:$AP$91,CONCATENATE("&gt;=",AP81))</f>
        <v>3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Ⓔ Ecuador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2 - 2</v>
      </c>
      <c r="P82" s="101">
        <f t="shared" ref="P82:P92" si="48">L82*3+M82</f>
        <v>4</v>
      </c>
      <c r="AD82" s="123">
        <f t="shared" si="38"/>
        <v>10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AB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Ⓑ Bosnia and Herzegovina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5 - 6</v>
      </c>
      <c r="P83" s="101">
        <f t="shared" si="48"/>
        <v>4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ABD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Ⓓ Paraguay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2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ABDE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Ⓘ Senegal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2</v>
      </c>
      <c r="O85" s="100" t="str">
        <f>VLOOKUP(5,$AD$80:$AN$91,6,FALSE) &amp; " - " &amp; VLOOKUP(5,$AD$80:$AN$91,7,FALSE)</f>
        <v>8 - 6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ABDEF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Ⓖ Iran</v>
      </c>
      <c r="K86" s="100">
        <f t="shared" si="47"/>
        <v>3</v>
      </c>
      <c r="L86" s="100">
        <f>VLOOKUP(6,$AD$80:$AN$91,3,FALSE)</f>
        <v>0</v>
      </c>
      <c r="M86" s="100">
        <f>VLOOKUP(6,$AD$80:$AN$91,4,FALSE)</f>
        <v>3</v>
      </c>
      <c r="N86" s="100">
        <f>VLOOKUP(6,$AD$80:$AN$91,5,FALSE)</f>
        <v>0</v>
      </c>
      <c r="O86" s="100" t="str">
        <f>VLOOKUP(6,$AD$80:$AN$91,6,FALSE) &amp; " - " &amp; VLOOKUP(6,$AD$80:$AN$91,7,FALSE)</f>
        <v>3 - 3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ABDEFG</v>
      </c>
      <c r="AS86" s="129" t="str">
        <f t="shared" si="46"/>
        <v>Iran</v>
      </c>
      <c r="AT86" s="130" t="str">
        <f>"Ⓖ "&amp;AE86</f>
        <v>Ⓖ Iran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Ⓛ Croatia</v>
      </c>
      <c r="K87" s="100">
        <f t="shared" si="47"/>
        <v>2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1</v>
      </c>
      <c r="O87" s="100" t="str">
        <f>VLOOKUP(7,$AD$80:$AN$91,6,FALSE) &amp; " - " &amp; VLOOKUP(7,$AD$80:$AN$91,7,FALSE)</f>
        <v>3 - 4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ABDEFG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Ⓐ Korea Republic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2 - 3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ABDEFGI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Ⓙ Algeria</v>
      </c>
      <c r="K89" s="103">
        <f t="shared" si="47"/>
        <v>2</v>
      </c>
      <c r="L89" s="103">
        <f>VLOOKUP(9,$AD$80:$AN$91,3,FALSE)</f>
        <v>1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2 - 4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9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6188.8896710188892</v>
      </c>
      <c r="AQ89" s="126">
        <f t="shared" si="37"/>
        <v>1564.26</v>
      </c>
      <c r="AR89" s="125" t="str">
        <f t="shared" si="50"/>
        <v>ABDEFGI</v>
      </c>
      <c r="AS89" s="129" t="str">
        <f t="shared" si="46"/>
        <v/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Ⓒ Scotland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1 - 4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12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2344.4451836194448</v>
      </c>
      <c r="AQ90" s="126">
        <f t="shared" si="37"/>
        <v>1478.35</v>
      </c>
      <c r="AR90" s="125" t="str">
        <f t="shared" si="50"/>
        <v>ABDEFGI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Uruguay</v>
      </c>
      <c r="K91" s="103">
        <f t="shared" si="47"/>
        <v>3</v>
      </c>
      <c r="L91" s="103">
        <f>VLOOKUP(11,$AD$80:$AN$91,3,FALSE)</f>
        <v>0</v>
      </c>
      <c r="M91" s="103">
        <f>VLOOKUP(11,$AD$80:$AN$91,4,FALSE)</f>
        <v>2</v>
      </c>
      <c r="N91" s="103">
        <f>VLOOKUP(11,$AD$80:$AN$91,5,FALSE)</f>
        <v>1</v>
      </c>
      <c r="O91" s="103" t="str">
        <f>VLOOKUP(11,$AD$80:$AN$91,6,FALSE) &amp; " - " &amp; VLOOKUP(11,$AD$80:$AN$91,7,FALSE)</f>
        <v>3 - 4</v>
      </c>
      <c r="P91" s="104">
        <f t="shared" si="48"/>
        <v>2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6366.6675252016657</v>
      </c>
      <c r="AQ91" s="126">
        <f t="shared" si="37"/>
        <v>1717.07</v>
      </c>
      <c r="AR91" s="125" t="str">
        <f t="shared" si="50"/>
        <v>ABDEFGIL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Ⓚ DR Congo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1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1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363</v>
      </c>
      <c r="C3" s="121" t="str">
        <f>'2026 World Cup'!AR91</f>
        <v>ABDEFGIL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2026-06-27T07:42:57Z</dcterms:modified>
  <cp:category>Sports</cp:category>
  <cp:contentStatus/>
</cp:coreProperties>
</file>
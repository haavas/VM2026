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2A8A4FD8-E24C-024F-B03D-5F05D0F5E6EE}" xr6:coauthVersionLast="47" xr6:coauthVersionMax="47" xr10:uidLastSave="{00000000-0000-0000-0000-000000000000}"/>
  <bookViews>
    <workbookView xWindow="1440" yWindow="2920" windowWidth="28800" windowHeight="1534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T18" i="3" s="1"/>
  <c r="S63" i="3"/>
  <c r="S17" i="3"/>
  <c r="T17" i="3" s="1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48" i="3"/>
  <c r="T43" i="3"/>
  <c r="S72" i="3"/>
  <c r="T20" i="3"/>
  <c r="T44" i="3"/>
  <c r="T46" i="3"/>
  <c r="S70" i="3"/>
  <c r="T45" i="3"/>
  <c r="S42" i="3"/>
  <c r="S64" i="3"/>
  <c r="T63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69" i="3" l="1"/>
  <c r="AR71" i="3"/>
  <c r="AR70" i="3"/>
  <c r="AR27" i="3"/>
  <c r="AR28" i="3"/>
  <c r="AR29" i="3"/>
  <c r="AR21" i="3"/>
  <c r="AR9" i="3"/>
  <c r="AR10" i="3"/>
  <c r="AR11" i="3"/>
  <c r="AD9" i="3" s="1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8" i="3" l="1"/>
  <c r="AD70" i="3"/>
  <c r="AD71" i="3"/>
  <c r="AD69" i="3"/>
  <c r="N71" i="3" s="1"/>
  <c r="AD75" i="3"/>
  <c r="AD28" i="3"/>
  <c r="AD8" i="3"/>
  <c r="N12" i="3" s="1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45" i="3" l="1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P85" i="3" s="1"/>
  <c r="N89" i="3"/>
  <c r="N90" i="3"/>
  <c r="P81" i="3" l="1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<sst xmlns="http://schemas.openxmlformats.org/spreadsheetml/2006/main" count="9786" uniqueCount="3698">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</sst>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24" sqref="G24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4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75000008.750938654</v>
      </c>
      <c r="AQ56" s="126">
        <f>VLOOKUP(AE56,db_fifarank,2,FALSE)</f>
        <v>1877.32</v>
      </c>
      <c r="AR56" s="125">
        <f>AP56/AP60</f>
        <v>0.99999998666666845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3 - 1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4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0.250844495</v>
      </c>
      <c r="AQ57" s="126">
        <f>VLOOKUP(AE57,db_fifarank,2,FALSE)</f>
        <v>1688.99</v>
      </c>
      <c r="AR57" s="125">
        <f>AP57/AP60</f>
        <v>3.3445928318277399E-9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3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2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4.0007235699999999</v>
      </c>
      <c r="AQ58" s="126">
        <f>VLOOKUP(AE58,db_fifarank,2,FALSE)</f>
        <v>1447.14</v>
      </c>
      <c r="AR58" s="125">
        <f>AP58/AP60</f>
        <v>5.3342973998079103E-8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Iraq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2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4.0007754699999998</v>
      </c>
      <c r="AQ59" s="126">
        <f>VLOOKUP(AE59,db_fifarank,2,FALSE)</f>
        <v>1550.94</v>
      </c>
      <c r="AR59" s="125">
        <f>AP59/AP60</f>
        <v>5.3343665997989134E-8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Senegal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1 - 3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4</v>
      </c>
      <c r="AL60" s="123">
        <f>MIN(AL56:AL59)</f>
        <v>-2</v>
      </c>
      <c r="AM60" s="123">
        <f>MAX(AM56:AM59)+1</f>
        <v>5</v>
      </c>
      <c r="AN60" s="123">
        <f>MAX(AN56:AN59)+1</f>
        <v>4</v>
      </c>
      <c r="AO60" s="123">
        <f>MAX(AO56:AO59)+1</f>
        <v>8.5</v>
      </c>
      <c r="AP60" s="123">
        <f>MAX(AP56:AP59)+1</f>
        <v>75000009.750938654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4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Ⓑ Qatar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11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Ⓙ Algeria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1</v>
      </c>
      <c r="AP86" s="123">
        <f>AN86/AN92*10000+AM86/AM92*1000+AI86/AI92*100+IF(AQ86=0,ROW(),AQ86)/2000000</f>
        <v>5700.0008673550001</v>
      </c>
      <c r="AQ86" s="126">
        <f t="shared" si="37"/>
        <v>1734.71</v>
      </c>
      <c r="AR86" s="125" t="str">
        <f t="shared" si="50"/>
        <v>BCFG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Ⓛ Panama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1</v>
      </c>
      <c r="AP87" s="123">
        <f>AN87/AN92*10000+AM87/AM92*1000+AI87/AI92*100+IF(AQ87=0,ROW(),AQ87)/2000000</f>
        <v>5666.6676048666668</v>
      </c>
      <c r="AQ87" s="126">
        <f t="shared" si="37"/>
        <v>1876.4</v>
      </c>
      <c r="AR87" s="125" t="str">
        <f t="shared" si="50"/>
        <v>BCFGH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Ⓚ DR Congo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9</v>
      </c>
      <c r="AE88" s="124" t="str">
        <f>J59</f>
        <v>Iraq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666.66739023666662</v>
      </c>
      <c r="AQ88" s="126">
        <f t="shared" si="37"/>
        <v>1447.14</v>
      </c>
      <c r="AR88" s="125" t="str">
        <f t="shared" si="50"/>
        <v>BCFGH</v>
      </c>
      <c r="AS88" s="129" t="str">
        <f t="shared" si="46"/>
        <v/>
      </c>
      <c r="AT88" s="130" t="str">
        <f>"Ⓘ "&amp;AE88</f>
        <v>Ⓘ Iraq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Ⓘ Iraq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6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666.66744879666658</v>
      </c>
      <c r="AQ89" s="126">
        <f t="shared" si="37"/>
        <v>1564.26</v>
      </c>
      <c r="AR89" s="125" t="str">
        <f t="shared" si="50"/>
        <v>BCFGHJ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Czech Republic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1 - 2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8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BCFGHJK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Ⓔ Ecuador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7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BCFGHJKL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3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85</v>
      </c>
      <c r="C3" s="121" t="str">
        <f>'2026 World Cup'!AR91</f>
        <v>BCFGHJKL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2026-06-16T22:57:20Z</dcterms:modified>
  <cp:category>Sports</cp:category>
  <cp:contentStatus/>
</cp:coreProperties>
</file>
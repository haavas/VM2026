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fasit\"/>
    </mc:Choice>
  </mc:AlternateContent>
  <xr:revisionPtr revIDLastSave="0" documentId="13_ncr:1_{37120A9E-9D0E-488D-A5FD-8502A37A14E8}" xr6:coauthVersionLast="47" xr6:coauthVersionMax="47" xr10:uidLastSave="{00000000-0000-0000-0000-000000000000}"/>
  <bookViews>
    <workbookView xWindow="57480" yWindow="-120" windowWidth="38640" windowHeight="2112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S37" i="3"/>
  <c r="S11" i="3"/>
  <c r="S56" i="3"/>
  <c r="S13" i="3"/>
  <c r="S32" i="3"/>
  <c r="S14" i="3"/>
  <c r="S8" i="3"/>
  <c r="T8" i="3" s="1"/>
  <c r="S9" i="3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10" i="3"/>
  <c r="T37" i="3"/>
  <c r="S55" i="3"/>
  <c r="T11" i="3"/>
  <c r="T56" i="3"/>
  <c r="T13" i="3"/>
  <c r="T32" i="3"/>
  <c r="S57" i="3"/>
  <c r="T14" i="3"/>
  <c r="T9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/>
  <c r="AP26" i="3" s="1"/>
  <c r="BI69" i="3" l="1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21" i="3"/>
  <c r="AR29" i="3"/>
  <c r="AR28" i="3"/>
  <c r="AR27" i="3"/>
  <c r="AR71" i="3"/>
  <c r="AR70" i="3"/>
  <c r="AR69" i="3"/>
  <c r="AR22" i="3" l="1"/>
  <c r="AR76" i="3"/>
  <c r="AR77" i="3"/>
  <c r="AR75" i="3"/>
  <c r="AD75" i="3" s="1"/>
  <c r="AR34" i="3"/>
  <c r="AR35" i="3"/>
  <c r="AR40" i="3"/>
  <c r="AR33" i="3"/>
  <c r="AD34" i="3" s="1"/>
  <c r="AR65" i="3"/>
  <c r="AR41" i="3"/>
  <c r="AR23" i="3"/>
  <c r="AD22" i="3" s="1"/>
  <c r="AR51" i="3"/>
  <c r="AR52" i="3"/>
  <c r="AR53" i="3"/>
  <c r="AR46" i="3"/>
  <c r="AR15" i="3"/>
  <c r="AR45" i="3"/>
  <c r="AR63" i="3"/>
  <c r="AD62" i="3" s="1"/>
  <c r="AR47" i="3"/>
  <c r="AR64" i="3"/>
  <c r="AR39" i="3"/>
  <c r="AD56" i="3"/>
  <c r="N58" i="3" s="1"/>
  <c r="AR16" i="3"/>
  <c r="AD15" i="3" s="1"/>
  <c r="AR17" i="3"/>
  <c r="AD59" i="3"/>
  <c r="AD69" i="3"/>
  <c r="AD68" i="3"/>
  <c r="AD70" i="3"/>
  <c r="AD71" i="3"/>
  <c r="AD33" i="3"/>
  <c r="AD27" i="3"/>
  <c r="AD26" i="3"/>
  <c r="AD28" i="3"/>
  <c r="AD29" i="3"/>
  <c r="AD9" i="3"/>
  <c r="AD8" i="3"/>
  <c r="AD10" i="3"/>
  <c r="AD11" i="3"/>
  <c r="AD77" i="3" l="1"/>
  <c r="AD76" i="3"/>
  <c r="AD41" i="3"/>
  <c r="AD63" i="3"/>
  <c r="AD74" i="3"/>
  <c r="M76" i="3" s="1"/>
  <c r="AD32" i="3"/>
  <c r="L33" i="3" s="1"/>
  <c r="L59" i="3"/>
  <c r="AD47" i="3"/>
  <c r="AD20" i="3"/>
  <c r="N21" i="3" s="1"/>
  <c r="AD53" i="3"/>
  <c r="M59" i="3"/>
  <c r="AD21" i="3"/>
  <c r="L58" i="3"/>
  <c r="M58" i="3"/>
  <c r="O60" i="3"/>
  <c r="AD35" i="3"/>
  <c r="M34" i="3" s="1"/>
  <c r="AD14" i="3"/>
  <c r="J18" i="3" s="1"/>
  <c r="AD39" i="3"/>
  <c r="AD44" i="3"/>
  <c r="N45" i="3" s="1"/>
  <c r="L57" i="3"/>
  <c r="AD64" i="3"/>
  <c r="M66" i="3" s="1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K58" i="3"/>
  <c r="P59" i="3"/>
  <c r="K59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23" i="3"/>
  <c r="AE82" i="3" s="1"/>
  <c r="AQ82" i="3" s="1"/>
  <c r="J22" i="3"/>
  <c r="AS21" i="3" s="1"/>
  <c r="BL23" i="3" s="1"/>
  <c r="J21" i="3"/>
  <c r="AS20" i="3" s="1"/>
  <c r="BL42" i="3" s="1"/>
  <c r="BS44" i="3" s="1"/>
  <c r="L21" i="3"/>
  <c r="J30" i="3"/>
  <c r="J29" i="3"/>
  <c r="AE83" i="3" s="1"/>
  <c r="AQ83" i="3" s="1"/>
  <c r="J28" i="3"/>
  <c r="AS27" i="3" s="1"/>
  <c r="BL62" i="3" s="1"/>
  <c r="BS61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3" i="3"/>
  <c r="AS32" i="3" s="1"/>
  <c r="BL10" i="3" s="1"/>
  <c r="L36" i="3"/>
  <c r="O35" i="3"/>
  <c r="O36" i="3"/>
  <c r="L35" i="3"/>
  <c r="M36" i="3"/>
  <c r="N35" i="3"/>
  <c r="N36" i="3"/>
  <c r="L63" i="3"/>
  <c r="M63" i="3"/>
  <c r="N63" i="3"/>
  <c r="O63" i="3"/>
  <c r="L65" i="3"/>
  <c r="M65" i="3"/>
  <c r="N65" i="3"/>
  <c r="O65" i="3"/>
  <c r="J65" i="3"/>
  <c r="AE89" i="3" s="1"/>
  <c r="AQ89" i="3" s="1"/>
  <c r="J63" i="3"/>
  <c r="AS62" i="3" s="1"/>
  <c r="BL58" i="3" s="1"/>
  <c r="BS60" i="3" s="1"/>
  <c r="BZ64" i="3" s="1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L75" i="3"/>
  <c r="O75" i="3"/>
  <c r="N75" i="3"/>
  <c r="J75" i="3"/>
  <c r="AS74" i="3" s="1"/>
  <c r="BL54" i="3" s="1"/>
  <c r="M75" i="3"/>
  <c r="N76" i="3"/>
  <c r="J78" i="3"/>
  <c r="M78" i="3"/>
  <c r="L78" i="3"/>
  <c r="O78" i="3"/>
  <c r="O76" i="3"/>
  <c r="J76" i="3"/>
  <c r="AS75" i="3" s="1"/>
  <c r="BL27" i="3" s="1"/>
  <c r="L77" i="3"/>
  <c r="O77" i="3"/>
  <c r="J77" i="3"/>
  <c r="AE91" i="3" s="1"/>
  <c r="AQ91" i="3" s="1"/>
  <c r="M77" i="3"/>
  <c r="N77" i="3"/>
  <c r="N24" i="3" l="1"/>
  <c r="N78" i="3"/>
  <c r="L76" i="3"/>
  <c r="O33" i="3"/>
  <c r="M35" i="3"/>
  <c r="M33" i="3"/>
  <c r="N33" i="3"/>
  <c r="O21" i="3"/>
  <c r="L24" i="3"/>
  <c r="N40" i="3"/>
  <c r="M54" i="3"/>
  <c r="L45" i="3"/>
  <c r="O45" i="3"/>
  <c r="M45" i="3"/>
  <c r="K45" i="3" s="1"/>
  <c r="J45" i="3"/>
  <c r="AS44" i="3" s="1"/>
  <c r="BL38" i="3" s="1"/>
  <c r="AI88" i="3"/>
  <c r="J48" i="3"/>
  <c r="L66" i="3"/>
  <c r="N54" i="3"/>
  <c r="M21" i="3"/>
  <c r="P21" i="3" s="1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K24" i="3" s="1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P18" i="3" s="1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P64" i="3" s="1"/>
  <c r="O53" i="3"/>
  <c r="J17" i="3"/>
  <c r="AE81" i="3" s="1"/>
  <c r="AQ81" i="3" s="1"/>
  <c r="O66" i="3"/>
  <c r="O52" i="3"/>
  <c r="N66" i="3"/>
  <c r="AL88" i="3"/>
  <c r="M52" i="3"/>
  <c r="AJ88" i="3"/>
  <c r="L54" i="3"/>
  <c r="P54" i="3" s="1"/>
  <c r="O54" i="3"/>
  <c r="AG88" i="3"/>
  <c r="K57" i="3"/>
  <c r="L41" i="3"/>
  <c r="M48" i="3"/>
  <c r="J42" i="3"/>
  <c r="O46" i="3"/>
  <c r="L48" i="3"/>
  <c r="K48" i="3" s="1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5" i="3"/>
  <c r="AF91" i="3"/>
  <c r="AG91" i="3"/>
  <c r="AH91" i="3"/>
  <c r="AI91" i="3"/>
  <c r="AJ91" i="3"/>
  <c r="AL91" i="3"/>
  <c r="AN91" i="3"/>
  <c r="AT91" i="3"/>
  <c r="P77" i="3"/>
  <c r="K77" i="3"/>
  <c r="K78" i="3"/>
  <c r="P78" i="3"/>
  <c r="P76" i="3"/>
  <c r="K76" i="3"/>
  <c r="K75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AF89" i="3"/>
  <c r="AG89" i="3"/>
  <c r="AH89" i="3"/>
  <c r="AI89" i="3"/>
  <c r="AJ89" i="3"/>
  <c r="AL89" i="3"/>
  <c r="AN89" i="3"/>
  <c r="AT89" i="3"/>
  <c r="P66" i="3"/>
  <c r="P65" i="3"/>
  <c r="K65" i="3"/>
  <c r="P63" i="3"/>
  <c r="K63" i="3"/>
  <c r="AL87" i="3"/>
  <c r="K51" i="3"/>
  <c r="P51" i="3"/>
  <c r="AH85" i="3"/>
  <c r="P35" i="3"/>
  <c r="K35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AF82" i="3"/>
  <c r="AG82" i="3"/>
  <c r="AH82" i="3"/>
  <c r="AI82" i="3"/>
  <c r="AJ82" i="3"/>
  <c r="AL82" i="3"/>
  <c r="AN82" i="3"/>
  <c r="AT82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K21" i="3" l="1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92" i="3" s="1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L92" i="3" l="1"/>
  <c r="AM88" i="3" s="1"/>
  <c r="AJ92" i="3"/>
  <c r="AN92" i="3"/>
  <c r="AH92" i="3"/>
  <c r="AF92" i="3"/>
  <c r="AI92" i="3"/>
  <c r="AS92" i="3"/>
  <c r="AM83" i="3"/>
  <c r="AM91" i="3"/>
  <c r="AM82" i="3"/>
  <c r="AM90" i="3"/>
  <c r="AM89" i="3"/>
  <c r="AM80" i="3"/>
  <c r="AM81" i="3"/>
  <c r="AM87" i="3"/>
  <c r="AM86" i="3"/>
  <c r="AM85" i="3"/>
  <c r="AM84" i="3"/>
  <c r="AM92" i="3" l="1"/>
  <c r="AP87" i="3" s="1"/>
  <c r="S85" i="3"/>
  <c r="T85" i="3" s="1" a="1"/>
  <c r="T85" i="3" s="1"/>
  <c r="BS13" i="3"/>
  <c r="S84" i="3"/>
  <c r="T84" i="3" s="1" a="1"/>
  <c r="T84" i="3" s="1"/>
  <c r="BS12" i="3"/>
  <c r="BZ16" i="3" l="1"/>
  <c r="S95" i="3"/>
  <c r="T95" i="3" s="1" a="1"/>
  <c r="T95" i="3" s="1"/>
  <c r="AP81" i="3"/>
  <c r="AP84" i="3"/>
  <c r="AP86" i="3"/>
  <c r="AP89" i="3"/>
  <c r="AP90" i="3"/>
  <c r="AP88" i="3"/>
  <c r="AP82" i="3"/>
  <c r="AP83" i="3"/>
  <c r="AP91" i="3"/>
  <c r="AP85" i="3"/>
  <c r="AP80" i="3"/>
  <c r="AD85" i="3" l="1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2" i="3"/>
  <c r="AS82" i="3" s="1"/>
  <c r="AD90" i="3"/>
  <c r="AS90" i="3" s="1"/>
  <c r="AD88" i="3"/>
  <c r="AS88" i="3" s="1"/>
  <c r="AD87" i="3"/>
  <c r="AS87" i="3" s="1"/>
  <c r="AD80" i="3"/>
  <c r="AD81" i="3"/>
  <c r="AS81" i="3" s="1"/>
  <c r="J92" i="3" l="1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J85" i="3"/>
  <c r="L91" i="3"/>
  <c r="N82" i="3"/>
  <c r="J86" i="3"/>
  <c r="N81" i="3"/>
  <c r="J88" i="3"/>
  <c r="L81" i="3"/>
  <c r="N90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P92" i="3" l="1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<sst xmlns="http://schemas.openxmlformats.org/spreadsheetml/2006/main" count="9786" uniqueCount="3698">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</sst>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26953125" style="10" customWidth="1"/>
    <col min="4" max="4" width="9.1796875" style="10"/>
    <col min="5" max="5" width="1.1796875" style="10" customWidth="1"/>
    <col min="6" max="6" width="9.1796875" style="10"/>
    <col min="7" max="7" width="27.54296875" style="10" bestFit="1" customWidth="1"/>
    <col min="8" max="8" width="2.7265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35">
      <c r="B3" s="42"/>
      <c r="C3" s="43"/>
      <c r="D3" s="44"/>
      <c r="F3" s="42"/>
      <c r="G3" s="43"/>
      <c r="H3" s="44"/>
    </row>
    <row r="4" spans="2:27" x14ac:dyDescent="0.3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3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3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3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3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3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3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35">
      <c r="B11" s="54"/>
      <c r="C11" s="43"/>
      <c r="D11" s="44"/>
      <c r="F11" s="51"/>
      <c r="G11" s="52"/>
      <c r="H11" s="53"/>
    </row>
    <row r="12" spans="2:27" ht="15" customHeight="1" x14ac:dyDescent="0.3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3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3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3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3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3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5" x14ac:dyDescent="0.3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3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3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3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3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3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3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3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3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3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3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3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3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3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3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3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3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3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3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3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3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3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3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3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3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3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3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3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3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3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3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3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3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3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3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3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3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3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3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3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3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3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3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3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3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3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3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3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3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3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3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3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3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3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3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9" sqref="G9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7265625" style="3" bestFit="1" customWidth="1"/>
    <col min="4" max="4" width="9" style="4" customWidth="1"/>
    <col min="5" max="5" width="22.54296875" style="5" customWidth="1"/>
    <col min="6" max="7" width="4.26953125" style="6" customWidth="1"/>
    <col min="8" max="8" width="22.5429687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7265625" style="9" customWidth="1"/>
    <col min="16" max="16" width="6.7265625" style="9" customWidth="1"/>
    <col min="17" max="17" width="3.453125" style="68" customWidth="1"/>
    <col min="18" max="18" width="15.453125" style="123" hidden="1" customWidth="1"/>
    <col min="19" max="20" width="16" style="127" hidden="1" customWidth="1"/>
    <col min="21" max="28" width="4" style="123" hidden="1" customWidth="1"/>
    <col min="29" max="29" width="4.26953125" style="124" hidden="1" customWidth="1"/>
    <col min="30" max="30" width="5.453125" style="123" hidden="1" customWidth="1"/>
    <col min="31" max="31" width="13.453125" style="124" hidden="1" customWidth="1"/>
    <col min="32" max="36" width="5.453125" style="123" hidden="1" customWidth="1"/>
    <col min="37" max="39" width="6" style="123" hidden="1" customWidth="1"/>
    <col min="40" max="40" width="5.453125" style="123" hidden="1" customWidth="1"/>
    <col min="41" max="42" width="6" style="123" hidden="1" customWidth="1"/>
    <col min="43" max="43" width="7.1796875" style="125" hidden="1" customWidth="1"/>
    <col min="44" max="44" width="10" style="125" hidden="1" customWidth="1"/>
    <col min="45" max="45" width="15.26953125" style="125" hidden="1" customWidth="1"/>
    <col min="46" max="50" width="4.7265625" style="126" hidden="1" customWidth="1"/>
    <col min="51" max="51" width="9.1796875" style="125" hidden="1" customWidth="1"/>
    <col min="52" max="61" width="9.1796875" style="126" hidden="1" customWidth="1"/>
    <col min="62" max="62" width="9.1796875" style="112" hidden="1" customWidth="1"/>
    <col min="63" max="63" width="3.26953125" style="2" customWidth="1"/>
    <col min="64" max="64" width="19.7265625" style="2" customWidth="1"/>
    <col min="65" max="67" width="3" style="2" customWidth="1"/>
    <col min="68" max="69" width="2" style="111" customWidth="1"/>
    <col min="70" max="70" width="3.26953125" style="2" customWidth="1"/>
    <col min="71" max="71" width="19.7265625" style="2" customWidth="1"/>
    <col min="72" max="74" width="3" style="2" customWidth="1"/>
    <col min="75" max="76" width="2" style="111" customWidth="1"/>
    <col min="77" max="77" width="4" style="2" customWidth="1"/>
    <col min="78" max="78" width="19.7265625" style="2" customWidth="1"/>
    <col min="79" max="81" width="3" style="2" customWidth="1"/>
    <col min="82" max="83" width="2" style="111" customWidth="1"/>
    <col min="84" max="84" width="3.81640625" style="2" customWidth="1"/>
    <col min="85" max="85" width="19.7265625" style="2" customWidth="1"/>
    <col min="86" max="88" width="3" style="2" customWidth="1"/>
    <col min="89" max="90" width="2" style="111" customWidth="1"/>
    <col min="91" max="91" width="3.7265625" style="2" customWidth="1"/>
    <col min="92" max="92" width="19.7265625" style="2" customWidth="1"/>
    <col min="93" max="95" width="3" style="2" customWidth="1"/>
    <col min="96" max="96" width="2" style="111" customWidth="1"/>
    <col min="97" max="16384" width="9.1796875" style="2"/>
  </cols>
  <sheetData>
    <row r="1" spans="1:95" ht="46" x14ac:dyDescent="0.3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3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35"/>
    <row r="5" spans="1:95" x14ac:dyDescent="0.3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3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3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3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/>
      <c r="G9" s="20"/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/>
      </c>
      <c r="T9" s="127" t="str">
        <f t="shared" si="2"/>
        <v/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 t="str">
        <f t="shared" si="6"/>
        <v/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3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/>
      <c r="G10" s="20"/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/>
      </c>
      <c r="T10" s="127" t="str">
        <f t="shared" si="2"/>
        <v/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 t="str">
        <f t="shared" si="6"/>
        <v/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3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3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3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3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0</v>
      </c>
      <c r="AH14" s="123">
        <f>COUNTIF($S$7:$T$78,"=" &amp; AE14 &amp; "_lose")</f>
        <v>0</v>
      </c>
      <c r="AI14" s="123">
        <f>SUMIF($E$7:$E$78,$AE14,$F$7:$F$78) + SUMIF($H$7:$H$78,$AE14,$G$7:$G$78)</f>
        <v>0</v>
      </c>
      <c r="AJ14" s="123">
        <f>SUMIF($E$7:$E$78,$AE14,$G$7:$G$78) + SUMIF($H$7:$H$78,$AE14,$F$7:$F$78)</f>
        <v>0</v>
      </c>
      <c r="AL14" s="123">
        <f>AI14-AJ14</f>
        <v>0</v>
      </c>
      <c r="AM14" s="123">
        <f>AL14-AL18</f>
        <v>0</v>
      </c>
      <c r="AN14" s="123">
        <f>AF14*3+AG14</f>
        <v>0</v>
      </c>
      <c r="AO14" s="123">
        <f>AN14/AN18*10+BA14</f>
        <v>0</v>
      </c>
      <c r="AP14" s="123">
        <f>AO14*10000000+BI14*100+AM14/AM18*10+AI14/AI18*1++IF(AQ14=0,ROW(),AQ14)/2000000</f>
        <v>7.7824000000000003E-4</v>
      </c>
      <c r="AQ14" s="126">
        <f>VLOOKUP(AE14,db_fifarank,2,FALSE)</f>
        <v>1556.48</v>
      </c>
      <c r="AR14" s="125">
        <f>AP14/AP18</f>
        <v>7.7759871434028365E-4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3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0</v>
      </c>
      <c r="L15" s="31">
        <f>VLOOKUP(1,AD14:AN17,3,FALSE)</f>
        <v>0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0 - 0</v>
      </c>
      <c r="P15" s="32">
        <f>L15*3+M15</f>
        <v>0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0</v>
      </c>
      <c r="AH15" s="123">
        <f>COUNTIF($S$7:$T$78,"=" &amp; AE15 &amp; "_lose")</f>
        <v>0</v>
      </c>
      <c r="AI15" s="123">
        <f>SUMIF($E$7:$E$78,$AE15,$F$7:$F$78) + SUMIF($H$7:$H$78,$AE15,$G$7:$G$78)</f>
        <v>0</v>
      </c>
      <c r="AJ15" s="123">
        <f>SUMIF($E$7:$E$78,$AE15,$G$7:$G$78) + SUMIF($H$7:$H$78,$AE15,$F$7:$F$78)</f>
        <v>0</v>
      </c>
      <c r="AL15" s="123">
        <f>AI15-AJ15</f>
        <v>0</v>
      </c>
      <c r="AM15" s="123">
        <f>AL15-AL18</f>
        <v>0</v>
      </c>
      <c r="AN15" s="123">
        <f>AF15*3+AG15</f>
        <v>0</v>
      </c>
      <c r="AO15" s="123">
        <f>AN15/AN18*10+BA15</f>
        <v>0</v>
      </c>
      <c r="AP15" s="123">
        <f>AO15*10000000+BI15*100+AM15/AM18*10+AI15/AI18*1++IF(AQ15=0,ROW(),AQ15)/2000000</f>
        <v>6.9291999999999997E-4</v>
      </c>
      <c r="AQ15" s="126">
        <f>VLOOKUP(AE15,db_fifarank,2,FALSE)</f>
        <v>1385.84</v>
      </c>
      <c r="AR15" s="125">
        <f>AP15/AP18</f>
        <v>6.9234901976340118E-4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3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0</v>
      </c>
      <c r="L16" s="23">
        <f>VLOOKUP(2,AD14:AN17,3,FALSE)</f>
        <v>0</v>
      </c>
      <c r="M16" s="23">
        <f>VLOOKUP(2,AD14:AN17,4,FALSE)</f>
        <v>0</v>
      </c>
      <c r="N16" s="23">
        <f>VLOOKUP(2,AD14:AN17,5,FALSE)</f>
        <v>0</v>
      </c>
      <c r="O16" s="23" t="str">
        <f>VLOOKUP(2,AD14:AN17,6,FALSE) &amp; " - " &amp; VLOOKUP(2,AD14:AN17,7,FALSE)</f>
        <v>0 - 0</v>
      </c>
      <c r="P16" s="34">
        <f>L16*3+M16</f>
        <v>0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7.268805416173282E-4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3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8.2402043035108958E-4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3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1</v>
      </c>
      <c r="AL18" s="123">
        <f>MIN(AL14:AL17)</f>
        <v>0</v>
      </c>
      <c r="AM18" s="123">
        <f>MAX(AM14:AM17)+1</f>
        <v>1</v>
      </c>
      <c r="AN18" s="123">
        <f>MAX(AN14:AN17)+1</f>
        <v>1</v>
      </c>
      <c r="AO18" s="123">
        <f>MAX(AO14:AO17)+1</f>
        <v>1</v>
      </c>
      <c r="AP18" s="123">
        <f>MAX(AP14:AP17)+1</f>
        <v>1.0008246999999999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3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3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3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3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3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3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3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3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0</v>
      </c>
      <c r="AJ26" s="123">
        <f>SUMIF($E$7:$E$78,$AE26,$G$7:$G$78) + SUMIF($H$7:$H$78,$AE26,$F$7:$F$78)</f>
        <v>0</v>
      </c>
      <c r="AL26" s="123">
        <f>AI26-AJ26</f>
        <v>0</v>
      </c>
      <c r="AM26" s="123">
        <f>AL26-AL30</f>
        <v>0</v>
      </c>
      <c r="AN26" s="123">
        <f>AF26*3+AG26</f>
        <v>0</v>
      </c>
      <c r="AO26" s="123">
        <f>AN26/AN30*10+BA26</f>
        <v>0</v>
      </c>
      <c r="AP26" s="123">
        <f>AO26*10000000+BI26*100+AM26/AM30*10+AI26/AI30*1++IF(AQ26=0,ROW(),AQ26)/2000000</f>
        <v>8.3656500000000005E-4</v>
      </c>
      <c r="AQ26" s="126">
        <f>VLOOKUP(AE26,db_fifarank,2,FALSE)</f>
        <v>1673.13</v>
      </c>
      <c r="AR26" s="125">
        <f>AP26/AP30</f>
        <v>8.3586574397389256E-4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3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0</v>
      </c>
      <c r="L27" s="31">
        <f>VLOOKUP(1,AD26:AN29,3,FALSE)</f>
        <v>0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0 - 0</v>
      </c>
      <c r="P27" s="32">
        <f>L27*3+M27</f>
        <v>0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0</v>
      </c>
      <c r="AI27" s="123">
        <f>SUMIF($E$7:$E$78,$AE27,$F$7:$F$78) + SUMIF($H$7:$H$78,$AE27,$G$7:$G$78)</f>
        <v>0</v>
      </c>
      <c r="AJ27" s="123">
        <f>SUMIF($E$7:$E$78,$AE27,$G$7:$G$78) + SUMIF($H$7:$H$78,$AE27,$F$7:$F$78)</f>
        <v>0</v>
      </c>
      <c r="AL27" s="123">
        <f>AI27-AJ27</f>
        <v>0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7.5175000000000003E-4</v>
      </c>
      <c r="AQ27" s="126">
        <f>VLOOKUP(AE27,db_fifarank,2,FALSE)</f>
        <v>1503.5</v>
      </c>
      <c r="AR27" s="125">
        <f>AP27/AP30</f>
        <v>7.5112163792696765E-4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3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7.8967438604723647E-4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3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7.9885170862037803E-4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3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0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0</v>
      </c>
      <c r="O30" s="36" t="str">
        <f>VLOOKUP(4,AD26:AN29,6,FALSE) &amp; " - " &amp; VLOOKUP(4,AD26:AN29,7,FALSE)</f>
        <v>0 - 0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1</v>
      </c>
      <c r="AG30" s="123">
        <f t="shared" si="15"/>
        <v>1</v>
      </c>
      <c r="AH30" s="123">
        <f t="shared" si="15"/>
        <v>1</v>
      </c>
      <c r="AI30" s="123">
        <f>MAX(AI26:AI29)+1</f>
        <v>1</v>
      </c>
      <c r="AL30" s="123">
        <f>MIN(AL26:AL29)</f>
        <v>0</v>
      </c>
      <c r="AM30" s="123">
        <f>MAX(AM26:AM29)+1</f>
        <v>1</v>
      </c>
      <c r="AN30" s="123">
        <f>MAX(AN26:AN29)+1</f>
        <v>1</v>
      </c>
      <c r="AO30" s="123">
        <f>MAX(AO26:AO29)+1</f>
        <v>1</v>
      </c>
      <c r="AP30" s="123">
        <f>MAX(AP26:AP29)+1</f>
        <v>1.000836565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3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3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3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3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3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3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3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3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3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3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3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3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3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3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3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3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3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3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3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3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3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3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3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3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3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3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3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3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3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3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3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3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3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3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3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3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3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3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3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3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3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3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3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3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3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3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3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3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3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3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3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Ⓓ Australia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10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500.00072748000002</v>
      </c>
      <c r="AQ81" s="126">
        <f t="shared" si="37"/>
        <v>1454.96</v>
      </c>
      <c r="AR81" s="125" t="str">
        <f>AR80&amp;IF(AD81&lt;=8,RIGHT(AK81,1),"")</f>
        <v/>
      </c>
      <c r="AS81" s="129" t="str">
        <f t="shared" ref="AS81:AS91" si="46">IF(AD81&lt;=8,AE81,"")</f>
        <v/>
      </c>
      <c r="AT81" s="130" t="str">
        <f>"Ⓑ "&amp;AE81</f>
        <v>Ⓑ Qatar</v>
      </c>
    </row>
    <row r="82" spans="1:46" ht="15" customHeight="1" x14ac:dyDescent="0.3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Ⓙ Algeria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8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3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Ⓖ Egypt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CD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3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Ⓘ Norway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6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CDE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3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Ⓛ Panama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7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3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Ⓔ Ivory Coast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CDEFG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3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Ⓕ Sweden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CDEFG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3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Ⓒ Scotland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4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CDEFGI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3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2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CDEFGIJ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3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Qatar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CDEFGIJ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3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5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CDEFGIJL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3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1</v>
      </c>
      <c r="AS92" s="126" t="b">
        <f>SUM(K9:K78)=144</f>
        <v>0</v>
      </c>
    </row>
    <row r="93" spans="1:46" x14ac:dyDescent="0.3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3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3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3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3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3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3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3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82" customWidth="1"/>
    <col min="2" max="2" width="9.1796875" style="81"/>
    <col min="3" max="3" width="13.7265625" style="81" customWidth="1"/>
    <col min="4" max="11" width="9.453125" style="81" customWidth="1"/>
    <col min="12" max="16384" width="9.1796875" style="82"/>
  </cols>
  <sheetData>
    <row r="1" spans="2:11" ht="8.25" customHeight="1" x14ac:dyDescent="0.35"/>
    <row r="2" spans="2:11" ht="21" x14ac:dyDescent="0.35">
      <c r="B2" s="108" t="s">
        <v>3193</v>
      </c>
    </row>
    <row r="3" spans="2:11" x14ac:dyDescent="0.35">
      <c r="B3" s="109">
        <f>MATCH(C3,C6:C500,0)</f>
        <v>38</v>
      </c>
      <c r="C3" s="121" t="str">
        <f>'2026 World Cup'!AR91</f>
        <v>CDEFGIJL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3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3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3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3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3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3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3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3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3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3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3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3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3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3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3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3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3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3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3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3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3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3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3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3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3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3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3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3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3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3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3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3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3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3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3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3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3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3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3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3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3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3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3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3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3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3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3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3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3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3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3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3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3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3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3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3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3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3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3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3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3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3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3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3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3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3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3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3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3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3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3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3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3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3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3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3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3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3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3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3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3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3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3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3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3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3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3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3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3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3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3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3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3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3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3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3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3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3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3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3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3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3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3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3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3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3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3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3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3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3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3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3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3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3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3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3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3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3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3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3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3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3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3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3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3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3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3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3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3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3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3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3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3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3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3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3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3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3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3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3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3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3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3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3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3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3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3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3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3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3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3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3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3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3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3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3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3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3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3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3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3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3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3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3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3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3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3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3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3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3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3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3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3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3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3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3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3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3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3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3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3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3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3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3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3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3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3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3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3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3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3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3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3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3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3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3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3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3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3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3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3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3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3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3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3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3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3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3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3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3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3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3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3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3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3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3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3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3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3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3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3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3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3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3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3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3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3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3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3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3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3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3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3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3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3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3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3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3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3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3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3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3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3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3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3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3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3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3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3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3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3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3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3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3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3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3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3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3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3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3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3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3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3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3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3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3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3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3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3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3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3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3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3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3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3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3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3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3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3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3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3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3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3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3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3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3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3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3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3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3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3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3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3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3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3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3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3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3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3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3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3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3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3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3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3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3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3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3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3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3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3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3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3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3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3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3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3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3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3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3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3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3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3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3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3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3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3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3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3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3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3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3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3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3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3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3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3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3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3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3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3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3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3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3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3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3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3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3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3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3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3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3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3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3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3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3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3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3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3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3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3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3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3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3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3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3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3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3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3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3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3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3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3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3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3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3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3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3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3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3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3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3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3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3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3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3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3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3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3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3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3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3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3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3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3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3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3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3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3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3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3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3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3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3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3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3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3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3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3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3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3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3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3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3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3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3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3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3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3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3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3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3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3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3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3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3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3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3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3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3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3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3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3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3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3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3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3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3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3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3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3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3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3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3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3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3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3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3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3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3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3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3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3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3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3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3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3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3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3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3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3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3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3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3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3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3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3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3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3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3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3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3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3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3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3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3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3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3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3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3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3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3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3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3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3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3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3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3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3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3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3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3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3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3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3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3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2026-06-12T08:41:28Z</dcterms:modified>
  <cp:category>Sports</cp:category>
  <cp:contentStatus/>
</cp:coreProperties>
</file>
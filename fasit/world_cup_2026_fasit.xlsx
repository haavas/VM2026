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2F0A3F42-F085-480C-9D6C-1FC783BF04E6}" xr6:coauthVersionLast="47" xr6:coauthVersionMax="47" xr10:uidLastSave="{00000000-0000-0000-0000-000000000000}"/>
  <bookViews>
    <workbookView xWindow="6120" yWindow="29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T29" i="3" s="1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<sst xmlns="http://schemas.openxmlformats.org/spreadsheetml/2006/main" count="9786" uniqueCount="3698">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</sst>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31" sqref="G31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5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AB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ABC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ABC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Ⓚ DR Congo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8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ABCE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Ⓑ Qatar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ABCEF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Ⓗ Spain</v>
      </c>
      <c r="K86" s="100">
        <f t="shared" si="47"/>
        <v>1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ABCEFG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Ⓐ Czech Republic</v>
      </c>
      <c r="K87" s="100">
        <f t="shared" si="47"/>
        <v>1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1</v>
      </c>
      <c r="O87" s="100" t="str">
        <f>VLOOKUP(7,$AD$80:$AN$91,6,FALSE) &amp; " - " &amp; VLOOKUP(7,$AD$80:$AN$91,7,FALSE)</f>
        <v>1 - 2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6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ABCEFGH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Ⓔ Ecuador</v>
      </c>
      <c r="K88" s="100">
        <f t="shared" si="47"/>
        <v>1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10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33.334177828333331</v>
      </c>
      <c r="AQ88" s="126">
        <f t="shared" si="37"/>
        <v>1688.99</v>
      </c>
      <c r="AR88" s="125" t="str">
        <f t="shared" si="50"/>
        <v>ABCEFGH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Ⓛ Panama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11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0</v>
      </c>
      <c r="AN89" s="123">
        <f t="shared" si="45"/>
        <v>0</v>
      </c>
      <c r="AP89" s="123">
        <f>AN89/AN92*10000+AM89/AM92*1000+AI89/AI92*100+IF(AQ89=0,ROW(),AQ89)/2000000</f>
        <v>33.334029058333329</v>
      </c>
      <c r="AQ89" s="126">
        <f t="shared" si="37"/>
        <v>1391.45</v>
      </c>
      <c r="AR89" s="125" t="str">
        <f t="shared" si="50"/>
        <v>ABCEFGH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Ⓘ Senegal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1 - 3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4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5700.0007391749996</v>
      </c>
      <c r="AQ90" s="126">
        <f t="shared" si="37"/>
        <v>1478.35</v>
      </c>
      <c r="AR90" s="125" t="str">
        <f t="shared" si="50"/>
        <v>ABCEFGHK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Ⓙ Jordan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9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1</v>
      </c>
      <c r="AN91" s="123">
        <f>VLOOKUP($AE91,$AE$8:$AQ$78,10,FALSE)</f>
        <v>0</v>
      </c>
      <c r="AP91" s="123">
        <f>AN91/AN92*10000+AM91/AM92*1000+AI91/AI92*100+IF(AQ91=0,ROW(),AQ91)/2000000</f>
        <v>333.33410365333333</v>
      </c>
      <c r="AQ91" s="126">
        <f t="shared" si="37"/>
        <v>1540.64</v>
      </c>
      <c r="AR91" s="125" t="str">
        <f t="shared" si="50"/>
        <v>ABCEFGHK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4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423</v>
      </c>
      <c r="C3" s="121" t="str">
        <f>'2026 World Cup'!AR91</f>
        <v>ABCEFGHK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3E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2026-06-18T06:36:25Z</dcterms:modified>
  <cp:category>Sports</cp:category>
  <cp:contentStatus/>
</cp:coreProperties>
</file>
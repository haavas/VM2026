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BFF7A359-22E7-48E9-BDB4-27F40460D7AB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<sst xmlns="http://schemas.openxmlformats.org/spreadsheetml/2006/main" count="9786" uniqueCount="3698">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</sst>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F49" sqref="F49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9.1248488584492048E-12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1.2784735027777778</v>
      </c>
      <c r="AQ65" s="126">
        <f>VLOOKUP(AE65,db_fifarank,2,FALSE)</f>
        <v>1391.45</v>
      </c>
      <c r="AR65" s="125">
        <f>AP65/AP66</f>
        <v>1.4915522333089591E-8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2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9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Ⓓ Paraguay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3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Ⓗ Cape Verde</v>
      </c>
      <c r="K84" s="100">
        <f t="shared" si="47"/>
        <v>2</v>
      </c>
      <c r="L84" s="100">
        <f>VLOOKUP(4,$AD$80:$AN$91,3,FALSE)</f>
        <v>0</v>
      </c>
      <c r="M84" s="100">
        <f>VLOOKUP(4,$AD$80:$AN$91,4,FALSE)</f>
        <v>2</v>
      </c>
      <c r="N84" s="100">
        <f>VLOOKUP(4,$AD$80:$AN$91,5,FALSE)</f>
        <v>0</v>
      </c>
      <c r="O84" s="100" t="str">
        <f>VLOOKUP(4,$AD$80:$AN$91,6,FALSE) &amp; " - " &amp; VLOOKUP(4,$AD$80:$AN$91,7,FALSE)</f>
        <v>2 - 2</v>
      </c>
      <c r="P84" s="101">
        <f t="shared" si="48"/>
        <v>2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Ⓖ Belgium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Ⓚ DR Congo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5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Ⓐ Czech Republic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2 - 3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4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ACDEFGH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Ⓔ Ecuador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264.2865587807143</v>
      </c>
      <c r="AQ88" s="126">
        <f t="shared" si="37"/>
        <v>1688.99</v>
      </c>
      <c r="AR88" s="125" t="str">
        <f t="shared" si="50"/>
        <v>ACDEFGH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Ⓑ Bosnia and Herzegovina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2 - 5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264.28641001071429</v>
      </c>
      <c r="AQ89" s="126">
        <f t="shared" si="37"/>
        <v>1391.45</v>
      </c>
      <c r="AR89" s="125" t="str">
        <f t="shared" si="50"/>
        <v>ACDEFGH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6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2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283</v>
      </c>
      <c r="C3" s="121" t="str">
        <f>'2026 World Cup'!AR91</f>
        <v>ACDEFGHK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3E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2026-06-22T21:32:57Z</dcterms:modified>
  <cp:category>Sports</cp:category>
  <cp:contentStatus/>
</cp:coreProperties>
</file>